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80" yWindow="75" windowWidth="10515" windowHeight="7500"/>
  </bookViews>
  <sheets>
    <sheet name="Morgan Stanley" sheetId="1" r:id="rId1"/>
    <sheet name="S&amp;P 500" sheetId="2" r:id="rId2"/>
  </sheets>
  <calcPr calcId="144525"/>
</workbook>
</file>

<file path=xl/calcChain.xml><?xml version="1.0" encoding="utf-8"?>
<calcChain xmlns="http://schemas.openxmlformats.org/spreadsheetml/2006/main">
  <c r="D278" i="1" l="1"/>
  <c r="D273" i="1"/>
  <c r="J264" i="1"/>
  <c r="J263" i="1"/>
  <c r="J262" i="1"/>
  <c r="J261" i="1"/>
  <c r="J260" i="1"/>
  <c r="J259" i="1"/>
  <c r="J258" i="1"/>
  <c r="J257" i="1"/>
  <c r="J256" i="1"/>
  <c r="J255" i="1"/>
  <c r="J254" i="1"/>
  <c r="J253" i="1"/>
  <c r="J252" i="1"/>
  <c r="J251" i="1"/>
  <c r="J250" i="1"/>
  <c r="J249" i="1"/>
  <c r="J248" i="1"/>
  <c r="J247" i="1"/>
  <c r="J246" i="1"/>
  <c r="J245" i="1"/>
  <c r="J244" i="1"/>
  <c r="J243" i="1"/>
  <c r="J242" i="1"/>
  <c r="J241" i="1"/>
  <c r="J240" i="1"/>
  <c r="J239" i="1"/>
  <c r="J238" i="1"/>
  <c r="J237" i="1"/>
  <c r="J236" i="1"/>
  <c r="J235" i="1"/>
  <c r="J234" i="1"/>
  <c r="J233" i="1"/>
  <c r="J232" i="1"/>
  <c r="J231" i="1"/>
  <c r="J230" i="1"/>
  <c r="J229" i="1"/>
  <c r="J228" i="1"/>
  <c r="J227" i="1"/>
  <c r="J226" i="1"/>
  <c r="J225" i="1"/>
  <c r="J224" i="1"/>
  <c r="J223" i="1"/>
  <c r="J222" i="1"/>
  <c r="J221" i="1"/>
  <c r="J220" i="1"/>
  <c r="J219" i="1"/>
  <c r="J218" i="1"/>
  <c r="J217" i="1"/>
  <c r="J216" i="1"/>
  <c r="J215" i="1"/>
  <c r="J214" i="1"/>
  <c r="J213" i="1"/>
  <c r="J212" i="1"/>
  <c r="J211" i="1"/>
  <c r="J210" i="1"/>
  <c r="J209" i="1"/>
  <c r="J208" i="1"/>
  <c r="J207" i="1"/>
  <c r="J206" i="1"/>
  <c r="J205" i="1"/>
  <c r="J204" i="1"/>
  <c r="J203" i="1"/>
  <c r="J202" i="1"/>
  <c r="J201" i="1"/>
  <c r="J200" i="1"/>
  <c r="J199" i="1"/>
  <c r="J198" i="1"/>
  <c r="J197" i="1"/>
  <c r="J196" i="1"/>
  <c r="J195" i="1"/>
  <c r="J194" i="1"/>
  <c r="J193" i="1"/>
  <c r="J192" i="1"/>
  <c r="J191" i="1"/>
  <c r="J190" i="1"/>
  <c r="J189" i="1"/>
  <c r="J188" i="1"/>
  <c r="J187" i="1"/>
  <c r="J186" i="1"/>
  <c r="J185" i="1"/>
  <c r="J184" i="1"/>
  <c r="J183" i="1"/>
  <c r="J182" i="1"/>
  <c r="J181" i="1"/>
  <c r="J180" i="1"/>
  <c r="J179" i="1"/>
  <c r="J178" i="1"/>
  <c r="J177" i="1"/>
  <c r="J176" i="1"/>
  <c r="J175" i="1"/>
  <c r="J174" i="1"/>
  <c r="J173" i="1"/>
  <c r="J172" i="1"/>
  <c r="J171" i="1"/>
  <c r="J170" i="1"/>
  <c r="J169" i="1"/>
  <c r="J168" i="1"/>
  <c r="J167" i="1"/>
  <c r="J166" i="1"/>
  <c r="J165" i="1"/>
  <c r="J164" i="1"/>
  <c r="J163" i="1"/>
  <c r="J162" i="1"/>
  <c r="J161" i="1"/>
  <c r="J160" i="1"/>
  <c r="J159" i="1"/>
  <c r="J158" i="1"/>
  <c r="J157" i="1"/>
  <c r="J156" i="1"/>
  <c r="J155" i="1"/>
  <c r="J154" i="1"/>
  <c r="J153" i="1"/>
  <c r="J152" i="1"/>
  <c r="J151" i="1"/>
  <c r="J150" i="1"/>
  <c r="J149" i="1"/>
  <c r="J148" i="1"/>
  <c r="J147" i="1"/>
  <c r="J146" i="1"/>
  <c r="J145" i="1"/>
  <c r="J144" i="1"/>
  <c r="J143" i="1"/>
  <c r="J142" i="1"/>
  <c r="J141" i="1"/>
  <c r="J140" i="1"/>
  <c r="J139" i="1"/>
  <c r="J138" i="1"/>
  <c r="J137" i="1"/>
  <c r="J136" i="1"/>
  <c r="J135" i="1"/>
  <c r="J134" i="1"/>
  <c r="J133" i="1"/>
  <c r="J132" i="1"/>
  <c r="J131" i="1"/>
  <c r="J130" i="1"/>
  <c r="J129" i="1"/>
  <c r="J128" i="1"/>
  <c r="J127" i="1"/>
  <c r="J126" i="1"/>
  <c r="J125" i="1"/>
  <c r="J124" i="1"/>
  <c r="J123" i="1"/>
  <c r="J122" i="1"/>
  <c r="J121" i="1"/>
  <c r="J120" i="1"/>
  <c r="J119" i="1"/>
  <c r="J118" i="1"/>
  <c r="J117" i="1"/>
  <c r="J116" i="1"/>
  <c r="J115" i="1"/>
  <c r="J114" i="1"/>
  <c r="J113" i="1"/>
  <c r="J112" i="1"/>
  <c r="J111" i="1"/>
  <c r="J110" i="1"/>
  <c r="J109" i="1"/>
  <c r="J108" i="1"/>
  <c r="J107" i="1"/>
  <c r="J106" i="1"/>
  <c r="J105" i="1"/>
  <c r="J104" i="1"/>
  <c r="J103" i="1"/>
  <c r="J102" i="1"/>
  <c r="J101" i="1"/>
  <c r="J100" i="1"/>
  <c r="J99" i="1"/>
  <c r="J98" i="1"/>
  <c r="J97" i="1"/>
  <c r="J96" i="1"/>
  <c r="J95" i="1"/>
  <c r="J94" i="1"/>
  <c r="J93" i="1"/>
  <c r="J92" i="1"/>
  <c r="J91" i="1"/>
  <c r="J90" i="1"/>
  <c r="J89" i="1"/>
  <c r="J88" i="1"/>
  <c r="J87" i="1"/>
  <c r="J86" i="1"/>
  <c r="J85" i="1"/>
  <c r="J84" i="1"/>
  <c r="J83" i="1"/>
  <c r="J82" i="1"/>
  <c r="J81" i="1"/>
  <c r="J80" i="1"/>
  <c r="J79" i="1"/>
  <c r="J78" i="1"/>
  <c r="J77" i="1"/>
  <c r="J76" i="1"/>
  <c r="J75" i="1"/>
  <c r="J74" i="1"/>
  <c r="J73" i="1"/>
  <c r="J72" i="1"/>
  <c r="J71" i="1"/>
  <c r="J70" i="1"/>
  <c r="J69" i="1"/>
  <c r="J68" i="1"/>
  <c r="J67" i="1"/>
  <c r="J66" i="1"/>
  <c r="J65" i="1"/>
  <c r="J64" i="1"/>
  <c r="J63" i="1"/>
  <c r="J62" i="1"/>
  <c r="J61" i="1"/>
  <c r="J60" i="1"/>
  <c r="J59" i="1"/>
  <c r="J58" i="1"/>
  <c r="J57" i="1"/>
  <c r="J56" i="1"/>
  <c r="J55" i="1"/>
  <c r="J54" i="1"/>
  <c r="J53" i="1"/>
  <c r="J52" i="1"/>
  <c r="J51" i="1"/>
  <c r="J50" i="1"/>
  <c r="J49" i="1"/>
  <c r="J48" i="1"/>
  <c r="J47" i="1"/>
  <c r="J46" i="1"/>
  <c r="J45" i="1"/>
  <c r="J44" i="1"/>
  <c r="J43" i="1"/>
  <c r="J42" i="1"/>
  <c r="J41" i="1"/>
  <c r="J40" i="1"/>
  <c r="J39" i="1"/>
  <c r="J38" i="1"/>
  <c r="J37" i="1"/>
  <c r="J36" i="1"/>
  <c r="J35" i="1"/>
  <c r="J34" i="1"/>
  <c r="J33" i="1"/>
  <c r="J32" i="1"/>
  <c r="J31" i="1"/>
  <c r="J30" i="1"/>
  <c r="J29" i="1"/>
  <c r="J28" i="1"/>
  <c r="J27" i="1"/>
  <c r="J26" i="1"/>
  <c r="J25" i="1"/>
  <c r="J24" i="1"/>
  <c r="J23" i="1"/>
  <c r="J22" i="1"/>
  <c r="J21" i="1"/>
  <c r="J20" i="1"/>
  <c r="J19" i="1"/>
  <c r="J18" i="1"/>
  <c r="J17" i="1"/>
  <c r="J16" i="1"/>
  <c r="J15" i="1"/>
  <c r="J14" i="1"/>
  <c r="J13" i="1"/>
  <c r="J12" i="1"/>
  <c r="J11" i="1"/>
  <c r="J10" i="1"/>
  <c r="J9" i="1"/>
  <c r="J8" i="1"/>
  <c r="J7" i="1"/>
  <c r="J6" i="1"/>
  <c r="J5" i="1"/>
  <c r="J4" i="1"/>
  <c r="J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166" i="1"/>
  <c r="D167" i="1"/>
  <c r="D168" i="1"/>
  <c r="D169" i="1"/>
  <c r="D170" i="1"/>
  <c r="D171" i="1"/>
  <c r="D172" i="1"/>
  <c r="D173" i="1"/>
  <c r="D174" i="1"/>
  <c r="D175" i="1"/>
  <c r="D176" i="1"/>
  <c r="D177" i="1"/>
  <c r="D178" i="1"/>
  <c r="D179" i="1"/>
  <c r="D180" i="1"/>
  <c r="D181" i="1"/>
  <c r="D182" i="1"/>
  <c r="D183" i="1"/>
  <c r="D184" i="1"/>
  <c r="D185" i="1"/>
  <c r="D186" i="1"/>
  <c r="D187" i="1"/>
  <c r="D188" i="1"/>
  <c r="D189" i="1"/>
  <c r="D190" i="1"/>
  <c r="D191" i="1"/>
  <c r="D192" i="1"/>
  <c r="D193" i="1"/>
  <c r="D194" i="1"/>
  <c r="D195" i="1"/>
  <c r="D196" i="1"/>
  <c r="D197" i="1"/>
  <c r="D198" i="1"/>
  <c r="D199" i="1"/>
  <c r="D200" i="1"/>
  <c r="D201" i="1"/>
  <c r="D202" i="1"/>
  <c r="D203" i="1"/>
  <c r="D204" i="1"/>
  <c r="D205" i="1"/>
  <c r="D206" i="1"/>
  <c r="D207" i="1"/>
  <c r="D208" i="1"/>
  <c r="D209" i="1"/>
  <c r="D210" i="1"/>
  <c r="D211" i="1"/>
  <c r="D212" i="1"/>
  <c r="D213" i="1"/>
  <c r="D214" i="1"/>
  <c r="D215" i="1"/>
  <c r="D216" i="1"/>
  <c r="D217" i="1"/>
  <c r="D218" i="1"/>
  <c r="D219" i="1"/>
  <c r="D220" i="1"/>
  <c r="D221" i="1"/>
  <c r="D222" i="1"/>
  <c r="D223" i="1"/>
  <c r="D224" i="1"/>
  <c r="D225" i="1"/>
  <c r="D226" i="1"/>
  <c r="D227" i="1"/>
  <c r="D228" i="1"/>
  <c r="D229" i="1"/>
  <c r="D230" i="1"/>
  <c r="D231" i="1"/>
  <c r="D232" i="1"/>
  <c r="D233" i="1"/>
  <c r="D234" i="1"/>
  <c r="D235" i="1"/>
  <c r="D236" i="1"/>
  <c r="D237" i="1"/>
  <c r="D238" i="1"/>
  <c r="D239" i="1"/>
  <c r="D240" i="1"/>
  <c r="D241" i="1"/>
  <c r="D242" i="1"/>
  <c r="D243" i="1"/>
  <c r="D244" i="1"/>
  <c r="D245" i="1"/>
  <c r="D246" i="1"/>
  <c r="D247" i="1"/>
  <c r="D248" i="1"/>
  <c r="D249" i="1"/>
  <c r="D250" i="1"/>
  <c r="D251" i="1"/>
  <c r="D252" i="1"/>
  <c r="D253" i="1"/>
  <c r="D254" i="1"/>
  <c r="D255" i="1"/>
  <c r="D256" i="1"/>
  <c r="D257" i="1"/>
  <c r="D258" i="1"/>
  <c r="D259" i="1"/>
  <c r="D260" i="1"/>
  <c r="D261" i="1"/>
  <c r="D262" i="1"/>
  <c r="D263" i="1"/>
  <c r="D264" i="1"/>
  <c r="D3" i="1"/>
  <c r="D2" i="2"/>
  <c r="J268" i="1" l="1"/>
  <c r="J267" i="1"/>
  <c r="E273" i="1" s="1"/>
  <c r="D267" i="1"/>
  <c r="D268" i="1"/>
  <c r="E263" i="1"/>
  <c r="D263" i="2"/>
  <c r="E264" i="1" s="1"/>
  <c r="D262" i="2"/>
  <c r="D261" i="2"/>
  <c r="E262" i="1" s="1"/>
  <c r="D260" i="2"/>
  <c r="E261" i="1" s="1"/>
  <c r="D259" i="2"/>
  <c r="E260" i="1" s="1"/>
  <c r="D258" i="2"/>
  <c r="E259" i="1" s="1"/>
  <c r="D257" i="2"/>
  <c r="E258" i="1" s="1"/>
  <c r="D256" i="2"/>
  <c r="E257" i="1" s="1"/>
  <c r="D255" i="2"/>
  <c r="E256" i="1" s="1"/>
  <c r="D254" i="2"/>
  <c r="E255" i="1" s="1"/>
  <c r="D253" i="2"/>
  <c r="E254" i="1" s="1"/>
  <c r="D252" i="2"/>
  <c r="E253" i="1" s="1"/>
  <c r="D251" i="2"/>
  <c r="E252" i="1" s="1"/>
  <c r="D250" i="2"/>
  <c r="E251" i="1" s="1"/>
  <c r="D249" i="2"/>
  <c r="E250" i="1" s="1"/>
  <c r="D248" i="2"/>
  <c r="E249" i="1" s="1"/>
  <c r="D247" i="2"/>
  <c r="E248" i="1" s="1"/>
  <c r="D246" i="2"/>
  <c r="E247" i="1" s="1"/>
  <c r="D245" i="2"/>
  <c r="E246" i="1" s="1"/>
  <c r="D244" i="2"/>
  <c r="E245" i="1" s="1"/>
  <c r="D243" i="2"/>
  <c r="E244" i="1" s="1"/>
  <c r="D242" i="2"/>
  <c r="E243" i="1" s="1"/>
  <c r="D241" i="2"/>
  <c r="E242" i="1" s="1"/>
  <c r="D240" i="2"/>
  <c r="E241" i="1" s="1"/>
  <c r="D239" i="2"/>
  <c r="E240" i="1" s="1"/>
  <c r="D238" i="2"/>
  <c r="E239" i="1" s="1"/>
  <c r="D237" i="2"/>
  <c r="E238" i="1" s="1"/>
  <c r="D236" i="2"/>
  <c r="E237" i="1" s="1"/>
  <c r="D235" i="2"/>
  <c r="E236" i="1" s="1"/>
  <c r="D234" i="2"/>
  <c r="E235" i="1" s="1"/>
  <c r="D233" i="2"/>
  <c r="E234" i="1" s="1"/>
  <c r="D232" i="2"/>
  <c r="E233" i="1" s="1"/>
  <c r="D231" i="2"/>
  <c r="E232" i="1" s="1"/>
  <c r="D230" i="2"/>
  <c r="E231" i="1" s="1"/>
  <c r="D229" i="2"/>
  <c r="E230" i="1" s="1"/>
  <c r="D228" i="2"/>
  <c r="E229" i="1" s="1"/>
  <c r="D227" i="2"/>
  <c r="E228" i="1" s="1"/>
  <c r="D226" i="2"/>
  <c r="E227" i="1" s="1"/>
  <c r="D225" i="2"/>
  <c r="E226" i="1" s="1"/>
  <c r="D224" i="2"/>
  <c r="E225" i="1" s="1"/>
  <c r="D223" i="2"/>
  <c r="E224" i="1" s="1"/>
  <c r="D222" i="2"/>
  <c r="E223" i="1" s="1"/>
  <c r="D221" i="2"/>
  <c r="E222" i="1" s="1"/>
  <c r="D220" i="2"/>
  <c r="E221" i="1" s="1"/>
  <c r="D219" i="2"/>
  <c r="E220" i="1" s="1"/>
  <c r="D218" i="2"/>
  <c r="E219" i="1" s="1"/>
  <c r="D217" i="2"/>
  <c r="E218" i="1" s="1"/>
  <c r="D216" i="2"/>
  <c r="E217" i="1" s="1"/>
  <c r="D215" i="2"/>
  <c r="E216" i="1" s="1"/>
  <c r="D214" i="2"/>
  <c r="E215" i="1" s="1"/>
  <c r="D213" i="2"/>
  <c r="E214" i="1" s="1"/>
  <c r="D212" i="2"/>
  <c r="E213" i="1" s="1"/>
  <c r="D211" i="2"/>
  <c r="E212" i="1" s="1"/>
  <c r="D210" i="2"/>
  <c r="E211" i="1" s="1"/>
  <c r="D209" i="2"/>
  <c r="E210" i="1" s="1"/>
  <c r="D208" i="2"/>
  <c r="E209" i="1" s="1"/>
  <c r="D207" i="2"/>
  <c r="E208" i="1" s="1"/>
  <c r="D206" i="2"/>
  <c r="E207" i="1" s="1"/>
  <c r="D205" i="2"/>
  <c r="E206" i="1" s="1"/>
  <c r="D204" i="2"/>
  <c r="E205" i="1" s="1"/>
  <c r="D203" i="2"/>
  <c r="E204" i="1" s="1"/>
  <c r="D202" i="2"/>
  <c r="E203" i="1" s="1"/>
  <c r="D201" i="2"/>
  <c r="E202" i="1" s="1"/>
  <c r="D200" i="2"/>
  <c r="E201" i="1" s="1"/>
  <c r="D199" i="2"/>
  <c r="E200" i="1" s="1"/>
  <c r="D198" i="2"/>
  <c r="E199" i="1" s="1"/>
  <c r="D197" i="2"/>
  <c r="E198" i="1" s="1"/>
  <c r="D196" i="2"/>
  <c r="E197" i="1" s="1"/>
  <c r="D195" i="2"/>
  <c r="E196" i="1" s="1"/>
  <c r="D194" i="2"/>
  <c r="E195" i="1" s="1"/>
  <c r="D193" i="2"/>
  <c r="E194" i="1" s="1"/>
  <c r="D192" i="2"/>
  <c r="E193" i="1" s="1"/>
  <c r="D191" i="2"/>
  <c r="E192" i="1" s="1"/>
  <c r="D190" i="2"/>
  <c r="E191" i="1" s="1"/>
  <c r="D189" i="2"/>
  <c r="E190" i="1" s="1"/>
  <c r="D188" i="2"/>
  <c r="E189" i="1" s="1"/>
  <c r="D187" i="2"/>
  <c r="E188" i="1" s="1"/>
  <c r="D186" i="2"/>
  <c r="E187" i="1" s="1"/>
  <c r="D185" i="2"/>
  <c r="E186" i="1" s="1"/>
  <c r="D184" i="2"/>
  <c r="E185" i="1" s="1"/>
  <c r="D183" i="2"/>
  <c r="E184" i="1" s="1"/>
  <c r="D182" i="2"/>
  <c r="E183" i="1" s="1"/>
  <c r="D181" i="2"/>
  <c r="E182" i="1" s="1"/>
  <c r="D180" i="2"/>
  <c r="E181" i="1" s="1"/>
  <c r="D179" i="2"/>
  <c r="E180" i="1" s="1"/>
  <c r="D178" i="2"/>
  <c r="E179" i="1" s="1"/>
  <c r="D177" i="2"/>
  <c r="E178" i="1" s="1"/>
  <c r="D176" i="2"/>
  <c r="E177" i="1" s="1"/>
  <c r="D175" i="2"/>
  <c r="E176" i="1" s="1"/>
  <c r="D174" i="2"/>
  <c r="E175" i="1" s="1"/>
  <c r="D173" i="2"/>
  <c r="E174" i="1" s="1"/>
  <c r="D172" i="2"/>
  <c r="E173" i="1" s="1"/>
  <c r="D171" i="2"/>
  <c r="E172" i="1" s="1"/>
  <c r="D170" i="2"/>
  <c r="E171" i="1" s="1"/>
  <c r="D169" i="2"/>
  <c r="E170" i="1" s="1"/>
  <c r="D168" i="2"/>
  <c r="E169" i="1" s="1"/>
  <c r="D167" i="2"/>
  <c r="E168" i="1" s="1"/>
  <c r="D166" i="2"/>
  <c r="E167" i="1" s="1"/>
  <c r="D165" i="2"/>
  <c r="E166" i="1" s="1"/>
  <c r="D164" i="2"/>
  <c r="E165" i="1" s="1"/>
  <c r="D163" i="2"/>
  <c r="E164" i="1" s="1"/>
  <c r="D162" i="2"/>
  <c r="E163" i="1" s="1"/>
  <c r="D161" i="2"/>
  <c r="E162" i="1" s="1"/>
  <c r="D160" i="2"/>
  <c r="E161" i="1" s="1"/>
  <c r="D159" i="2"/>
  <c r="E160" i="1" s="1"/>
  <c r="D158" i="2"/>
  <c r="E159" i="1" s="1"/>
  <c r="D157" i="2"/>
  <c r="E158" i="1" s="1"/>
  <c r="D156" i="2"/>
  <c r="E157" i="1" s="1"/>
  <c r="D155" i="2"/>
  <c r="E156" i="1" s="1"/>
  <c r="D154" i="2"/>
  <c r="E155" i="1" s="1"/>
  <c r="D153" i="2"/>
  <c r="E154" i="1" s="1"/>
  <c r="D152" i="2"/>
  <c r="E153" i="1" s="1"/>
  <c r="D151" i="2"/>
  <c r="E152" i="1" s="1"/>
  <c r="D150" i="2"/>
  <c r="E151" i="1" s="1"/>
  <c r="D149" i="2"/>
  <c r="E150" i="1" s="1"/>
  <c r="D148" i="2"/>
  <c r="E149" i="1" s="1"/>
  <c r="D147" i="2"/>
  <c r="E148" i="1" s="1"/>
  <c r="D146" i="2"/>
  <c r="E147" i="1" s="1"/>
  <c r="D145" i="2"/>
  <c r="E146" i="1" s="1"/>
  <c r="D144" i="2"/>
  <c r="E145" i="1" s="1"/>
  <c r="D143" i="2"/>
  <c r="E144" i="1" s="1"/>
  <c r="D142" i="2"/>
  <c r="E143" i="1" s="1"/>
  <c r="D141" i="2"/>
  <c r="E142" i="1" s="1"/>
  <c r="D140" i="2"/>
  <c r="E141" i="1" s="1"/>
  <c r="D139" i="2"/>
  <c r="E140" i="1" s="1"/>
  <c r="D138" i="2"/>
  <c r="E139" i="1" s="1"/>
  <c r="D137" i="2"/>
  <c r="E138" i="1" s="1"/>
  <c r="D136" i="2"/>
  <c r="E137" i="1" s="1"/>
  <c r="D135" i="2"/>
  <c r="E136" i="1" s="1"/>
  <c r="D134" i="2"/>
  <c r="E135" i="1" s="1"/>
  <c r="D133" i="2"/>
  <c r="E134" i="1" s="1"/>
  <c r="D132" i="2"/>
  <c r="E133" i="1" s="1"/>
  <c r="D131" i="2"/>
  <c r="E132" i="1" s="1"/>
  <c r="D130" i="2"/>
  <c r="E131" i="1" s="1"/>
  <c r="D129" i="2"/>
  <c r="E130" i="1" s="1"/>
  <c r="D128" i="2"/>
  <c r="E129" i="1" s="1"/>
  <c r="D127" i="2"/>
  <c r="E128" i="1" s="1"/>
  <c r="D126" i="2"/>
  <c r="E127" i="1" s="1"/>
  <c r="D125" i="2"/>
  <c r="E126" i="1" s="1"/>
  <c r="D124" i="2"/>
  <c r="E125" i="1" s="1"/>
  <c r="D123" i="2"/>
  <c r="E124" i="1" s="1"/>
  <c r="D122" i="2"/>
  <c r="E123" i="1" s="1"/>
  <c r="D121" i="2"/>
  <c r="E122" i="1" s="1"/>
  <c r="D120" i="2"/>
  <c r="E121" i="1" s="1"/>
  <c r="D119" i="2"/>
  <c r="E120" i="1" s="1"/>
  <c r="D118" i="2"/>
  <c r="E119" i="1" s="1"/>
  <c r="D117" i="2"/>
  <c r="E118" i="1" s="1"/>
  <c r="D116" i="2"/>
  <c r="E117" i="1" s="1"/>
  <c r="D115" i="2"/>
  <c r="E116" i="1" s="1"/>
  <c r="D114" i="2"/>
  <c r="E115" i="1" s="1"/>
  <c r="D113" i="2"/>
  <c r="E114" i="1" s="1"/>
  <c r="D112" i="2"/>
  <c r="E113" i="1" s="1"/>
  <c r="D111" i="2"/>
  <c r="E112" i="1" s="1"/>
  <c r="D110" i="2"/>
  <c r="E111" i="1" s="1"/>
  <c r="D109" i="2"/>
  <c r="E110" i="1" s="1"/>
  <c r="D108" i="2"/>
  <c r="E109" i="1" s="1"/>
  <c r="D107" i="2"/>
  <c r="E108" i="1" s="1"/>
  <c r="D106" i="2"/>
  <c r="E107" i="1" s="1"/>
  <c r="D105" i="2"/>
  <c r="E106" i="1" s="1"/>
  <c r="D104" i="2"/>
  <c r="E105" i="1" s="1"/>
  <c r="D103" i="2"/>
  <c r="E104" i="1" s="1"/>
  <c r="D102" i="2"/>
  <c r="E103" i="1" s="1"/>
  <c r="D101" i="2"/>
  <c r="E102" i="1" s="1"/>
  <c r="D100" i="2"/>
  <c r="E101" i="1" s="1"/>
  <c r="D99" i="2"/>
  <c r="E100" i="1" s="1"/>
  <c r="D98" i="2"/>
  <c r="E99" i="1" s="1"/>
  <c r="D97" i="2"/>
  <c r="E98" i="1" s="1"/>
  <c r="D96" i="2"/>
  <c r="E97" i="1" s="1"/>
  <c r="D95" i="2"/>
  <c r="E96" i="1" s="1"/>
  <c r="D94" i="2"/>
  <c r="E95" i="1" s="1"/>
  <c r="D93" i="2"/>
  <c r="E94" i="1" s="1"/>
  <c r="D92" i="2"/>
  <c r="E93" i="1" s="1"/>
  <c r="D91" i="2"/>
  <c r="E92" i="1" s="1"/>
  <c r="D90" i="2"/>
  <c r="E91" i="1" s="1"/>
  <c r="D89" i="2"/>
  <c r="E90" i="1" s="1"/>
  <c r="D88" i="2"/>
  <c r="E89" i="1" s="1"/>
  <c r="D87" i="2"/>
  <c r="E88" i="1" s="1"/>
  <c r="D86" i="2"/>
  <c r="E87" i="1" s="1"/>
  <c r="D85" i="2"/>
  <c r="E86" i="1" s="1"/>
  <c r="D84" i="2"/>
  <c r="E85" i="1" s="1"/>
  <c r="D83" i="2"/>
  <c r="E84" i="1" s="1"/>
  <c r="D82" i="2"/>
  <c r="E83" i="1" s="1"/>
  <c r="D81" i="2"/>
  <c r="E82" i="1" s="1"/>
  <c r="D80" i="2"/>
  <c r="E81" i="1" s="1"/>
  <c r="D79" i="2"/>
  <c r="E80" i="1" s="1"/>
  <c r="D78" i="2"/>
  <c r="E79" i="1" s="1"/>
  <c r="D77" i="2"/>
  <c r="E78" i="1" s="1"/>
  <c r="D76" i="2"/>
  <c r="E77" i="1" s="1"/>
  <c r="D75" i="2"/>
  <c r="E76" i="1" s="1"/>
  <c r="D74" i="2"/>
  <c r="E75" i="1" s="1"/>
  <c r="D73" i="2"/>
  <c r="E74" i="1" s="1"/>
  <c r="D72" i="2"/>
  <c r="E73" i="1" s="1"/>
  <c r="D71" i="2"/>
  <c r="E72" i="1" s="1"/>
  <c r="D70" i="2"/>
  <c r="E71" i="1" s="1"/>
  <c r="D69" i="2"/>
  <c r="E70" i="1" s="1"/>
  <c r="D68" i="2"/>
  <c r="E69" i="1" s="1"/>
  <c r="D67" i="2"/>
  <c r="E68" i="1" s="1"/>
  <c r="D66" i="2"/>
  <c r="E67" i="1" s="1"/>
  <c r="D65" i="2"/>
  <c r="E66" i="1" s="1"/>
  <c r="D64" i="2"/>
  <c r="E65" i="1" s="1"/>
  <c r="D63" i="2"/>
  <c r="E64" i="1" s="1"/>
  <c r="D62" i="2"/>
  <c r="E63" i="1" s="1"/>
  <c r="D61" i="2"/>
  <c r="E62" i="1" s="1"/>
  <c r="D60" i="2"/>
  <c r="E61" i="1" s="1"/>
  <c r="D59" i="2"/>
  <c r="E60" i="1" s="1"/>
  <c r="D58" i="2"/>
  <c r="E59" i="1" s="1"/>
  <c r="D57" i="2"/>
  <c r="E58" i="1" s="1"/>
  <c r="D56" i="2"/>
  <c r="E57" i="1" s="1"/>
  <c r="D55" i="2"/>
  <c r="E56" i="1" s="1"/>
  <c r="D54" i="2"/>
  <c r="E55" i="1" s="1"/>
  <c r="D53" i="2"/>
  <c r="E54" i="1" s="1"/>
  <c r="D52" i="2"/>
  <c r="E53" i="1" s="1"/>
  <c r="D51" i="2"/>
  <c r="E52" i="1" s="1"/>
  <c r="D50" i="2"/>
  <c r="E51" i="1" s="1"/>
  <c r="D49" i="2"/>
  <c r="E50" i="1" s="1"/>
  <c r="D48" i="2"/>
  <c r="E49" i="1" s="1"/>
  <c r="D47" i="2"/>
  <c r="E48" i="1" s="1"/>
  <c r="D46" i="2"/>
  <c r="E47" i="1" s="1"/>
  <c r="D45" i="2"/>
  <c r="E46" i="1" s="1"/>
  <c r="D44" i="2"/>
  <c r="E45" i="1" s="1"/>
  <c r="D43" i="2"/>
  <c r="E44" i="1" s="1"/>
  <c r="D42" i="2"/>
  <c r="E43" i="1" s="1"/>
  <c r="D41" i="2"/>
  <c r="E42" i="1" s="1"/>
  <c r="D40" i="2"/>
  <c r="E41" i="1" s="1"/>
  <c r="D39" i="2"/>
  <c r="E40" i="1" s="1"/>
  <c r="D38" i="2"/>
  <c r="E39" i="1" s="1"/>
  <c r="D37" i="2"/>
  <c r="E38" i="1" s="1"/>
  <c r="D36" i="2"/>
  <c r="E37" i="1" s="1"/>
  <c r="D35" i="2"/>
  <c r="E36" i="1" s="1"/>
  <c r="D34" i="2"/>
  <c r="E35" i="1" s="1"/>
  <c r="D33" i="2"/>
  <c r="E34" i="1" s="1"/>
  <c r="D32" i="2"/>
  <c r="E33" i="1" s="1"/>
  <c r="D31" i="2"/>
  <c r="E32" i="1" s="1"/>
  <c r="D30" i="2"/>
  <c r="E31" i="1" s="1"/>
  <c r="D29" i="2"/>
  <c r="E30" i="1" s="1"/>
  <c r="D28" i="2"/>
  <c r="E29" i="1" s="1"/>
  <c r="D27" i="2"/>
  <c r="E28" i="1" s="1"/>
  <c r="D26" i="2"/>
  <c r="E27" i="1" s="1"/>
  <c r="D25" i="2"/>
  <c r="E26" i="1" s="1"/>
  <c r="D24" i="2"/>
  <c r="E25" i="1" s="1"/>
  <c r="D23" i="2"/>
  <c r="E24" i="1" s="1"/>
  <c r="D22" i="2"/>
  <c r="E23" i="1" s="1"/>
  <c r="D21" i="2"/>
  <c r="E22" i="1" s="1"/>
  <c r="D20" i="2"/>
  <c r="E21" i="1" s="1"/>
  <c r="D19" i="2"/>
  <c r="E20" i="1" s="1"/>
  <c r="D18" i="2"/>
  <c r="E19" i="1" s="1"/>
  <c r="D17" i="2"/>
  <c r="E18" i="1" s="1"/>
  <c r="D16" i="2"/>
  <c r="E17" i="1" s="1"/>
  <c r="D15" i="2"/>
  <c r="E16" i="1" s="1"/>
  <c r="D14" i="2"/>
  <c r="E15" i="1" s="1"/>
  <c r="D13" i="2"/>
  <c r="E14" i="1" s="1"/>
  <c r="D12" i="2"/>
  <c r="E13" i="1" s="1"/>
  <c r="D11" i="2"/>
  <c r="E12" i="1" s="1"/>
  <c r="D10" i="2"/>
  <c r="E11" i="1" s="1"/>
  <c r="D9" i="2"/>
  <c r="E10" i="1" s="1"/>
  <c r="D8" i="2"/>
  <c r="E9" i="1" s="1"/>
  <c r="D7" i="2"/>
  <c r="E8" i="1" s="1"/>
  <c r="D6" i="2"/>
  <c r="E7" i="1" s="1"/>
  <c r="D5" i="2"/>
  <c r="E6" i="1" s="1"/>
  <c r="D4" i="2"/>
  <c r="E5" i="1" s="1"/>
  <c r="D3" i="2"/>
  <c r="E4" i="1" s="1"/>
  <c r="E3" i="1"/>
  <c r="D272" i="1" l="1"/>
  <c r="D269" i="1"/>
  <c r="D271" i="1" s="1"/>
  <c r="D277" i="1" l="1"/>
</calcChain>
</file>

<file path=xl/sharedStrings.xml><?xml version="1.0" encoding="utf-8"?>
<sst xmlns="http://schemas.openxmlformats.org/spreadsheetml/2006/main" count="36" uniqueCount="24">
  <si>
    <t>Date</t>
  </si>
  <si>
    <t>Open</t>
  </si>
  <si>
    <t>Close</t>
  </si>
  <si>
    <t>HPR MS</t>
  </si>
  <si>
    <t>HPR S&amp;P 500</t>
  </si>
  <si>
    <t>BETA 1st Method</t>
  </si>
  <si>
    <t>Risk Free Rate</t>
  </si>
  <si>
    <t>CAPM</t>
  </si>
  <si>
    <t>HPR-S&amp;P500</t>
  </si>
  <si>
    <t xml:space="preserve">BETA using slope </t>
  </si>
  <si>
    <t xml:space="preserve">Effective Annual Rate </t>
  </si>
  <si>
    <t>S&amp;P 500</t>
  </si>
  <si>
    <t>Morgan Stanley</t>
  </si>
  <si>
    <t>Weekly Mean</t>
  </si>
  <si>
    <t>Standard Deviation</t>
  </si>
  <si>
    <t>Correlation</t>
  </si>
  <si>
    <t xml:space="preserve">E(s)=(RFR + MRP) * β </t>
  </si>
  <si>
    <t>SOURCES</t>
  </si>
  <si>
    <t>Morgan Stanley historical data</t>
  </si>
  <si>
    <t>Market Risk Premium (EAR-RFR)</t>
  </si>
  <si>
    <t>S&amp;P 500 historical data</t>
  </si>
  <si>
    <t xml:space="preserve">Risk Free Rate </t>
  </si>
  <si>
    <t>MORGAN STANLEY</t>
  </si>
  <si>
    <t>S &amp; P 500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</si>
</sst>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164" formatCode="mmm\ dd\,\ yyyy"/>
    <numFmt numFmtId="165" formatCode="mmm\ d\,\ yyyy"/>
    <numFmt numFmtId="166" formatCode="mmmm\ dd\,\ yyyy"/>
    <numFmt numFmtId="167" formatCode="mmmm\ d\,\ yyyy"/>
    <numFmt numFmtId="168" formatCode="[$-14009]dd/mm/yyyy;@"/>
  </numFmts>
  <fonts count="27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rgb="FF232A31"/>
      <name val="&quot;Yahoo Sans Finance&quot;"/>
    </font>
    <font>
      <sz val="10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rgb="FF232A31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b/>
      <sz val="12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rgb="FFFFFFFF"/>
      </patternFill>
    </fill>
  </fills>
  <borders count="19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double">
        <color rgb="FF3F3F3F"/>
      </top>
      <bottom/>
      <diagonal/>
    </border>
    <border>
      <left/>
      <right style="thin">
        <color indexed="64"/>
      </right>
      <top style="double">
        <color rgb="FF3F3F3F"/>
      </top>
      <bottom/>
      <diagonal/>
    </border>
  </borders>
  <cellStyleXfs count="44">
    <xf numFmtId="0" fontId="0" fillId="0" borderId="0"/>
    <xf numFmtId="9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20" fillId="0" borderId="0" applyNumberFormat="0" applyFill="0" applyBorder="0" applyAlignment="0" applyProtection="0"/>
  </cellStyleXfs>
  <cellXfs count="55">
    <xf numFmtId="0" fontId="0" fillId="0" borderId="0" xfId="0"/>
    <xf numFmtId="14" fontId="0" fillId="0" borderId="0" xfId="0" applyNumberFormat="1"/>
    <xf numFmtId="10" fontId="0" fillId="0" borderId="0" xfId="0" applyNumberFormat="1"/>
    <xf numFmtId="0" fontId="0" fillId="0" borderId="10" xfId="0" applyBorder="1"/>
    <xf numFmtId="2" fontId="18" fillId="33" borderId="10" xfId="0" applyNumberFormat="1" applyFont="1" applyFill="1" applyBorder="1" applyAlignment="1">
      <alignment horizontal="right"/>
    </xf>
    <xf numFmtId="10" fontId="19" fillId="0" borderId="10" xfId="0" applyNumberFormat="1" applyFont="1" applyBorder="1"/>
    <xf numFmtId="0" fontId="16" fillId="0" borderId="0" xfId="0" applyFont="1"/>
    <xf numFmtId="0" fontId="20" fillId="0" borderId="0" xfId="43"/>
    <xf numFmtId="0" fontId="0" fillId="0" borderId="0" xfId="0" applyBorder="1"/>
    <xf numFmtId="0" fontId="0" fillId="0" borderId="13" xfId="0" applyBorder="1"/>
    <xf numFmtId="0" fontId="0" fillId="0" borderId="16" xfId="0" applyBorder="1"/>
    <xf numFmtId="0" fontId="0" fillId="0" borderId="0" xfId="0" applyAlignment="1">
      <alignment horizontal="center"/>
    </xf>
    <xf numFmtId="0" fontId="16" fillId="0" borderId="0" xfId="0" applyFont="1" applyAlignment="1"/>
    <xf numFmtId="0" fontId="21" fillId="0" borderId="0" xfId="0" applyFont="1"/>
    <xf numFmtId="0" fontId="22" fillId="0" borderId="11" xfId="0" applyFont="1" applyBorder="1"/>
    <xf numFmtId="164" fontId="18" fillId="33" borderId="11" xfId="0" applyNumberFormat="1" applyFont="1" applyFill="1" applyBorder="1" applyAlignment="1">
      <alignment horizontal="left"/>
    </xf>
    <xf numFmtId="2" fontId="18" fillId="33" borderId="11" xfId="0" applyNumberFormat="1" applyFont="1" applyFill="1" applyBorder="1" applyAlignment="1">
      <alignment horizontal="right"/>
    </xf>
    <xf numFmtId="10" fontId="19" fillId="0" borderId="11" xfId="0" applyNumberFormat="1" applyFont="1" applyBorder="1"/>
    <xf numFmtId="165" fontId="18" fillId="33" borderId="11" xfId="0" applyNumberFormat="1" applyFont="1" applyFill="1" applyBorder="1" applyAlignment="1">
      <alignment horizontal="left"/>
    </xf>
    <xf numFmtId="166" fontId="18" fillId="33" borderId="11" xfId="0" applyNumberFormat="1" applyFont="1" applyFill="1" applyBorder="1" applyAlignment="1">
      <alignment horizontal="left"/>
    </xf>
    <xf numFmtId="167" fontId="18" fillId="33" borderId="11" xfId="0" applyNumberFormat="1" applyFont="1" applyFill="1" applyBorder="1" applyAlignment="1">
      <alignment horizontal="left"/>
    </xf>
    <xf numFmtId="0" fontId="23" fillId="33" borderId="11" xfId="0" applyFont="1" applyFill="1" applyBorder="1" applyAlignment="1">
      <alignment horizontal="left"/>
    </xf>
    <xf numFmtId="0" fontId="23" fillId="33" borderId="11" xfId="0" applyFont="1" applyFill="1" applyBorder="1" applyAlignment="1">
      <alignment horizontal="center"/>
    </xf>
    <xf numFmtId="0" fontId="16" fillId="0" borderId="0" xfId="0" applyFont="1" applyBorder="1"/>
    <xf numFmtId="0" fontId="0" fillId="0" borderId="0" xfId="0" applyBorder="1" applyAlignment="1">
      <alignment horizontal="center" vertical="center"/>
    </xf>
    <xf numFmtId="168" fontId="0" fillId="0" borderId="0" xfId="0" applyNumberFormat="1"/>
    <xf numFmtId="0" fontId="16" fillId="0" borderId="0" xfId="0" applyFont="1" applyBorder="1" applyAlignment="1">
      <alignment vertical="center"/>
    </xf>
    <xf numFmtId="0" fontId="16" fillId="0" borderId="10" xfId="0" applyFont="1" applyBorder="1" applyAlignment="1">
      <alignment horizontal="center" vertical="center"/>
    </xf>
    <xf numFmtId="0" fontId="16" fillId="0" borderId="10" xfId="0" applyFont="1" applyBorder="1" applyAlignment="1">
      <alignment vertical="center"/>
    </xf>
    <xf numFmtId="14" fontId="0" fillId="0" borderId="10" xfId="0" applyNumberFormat="1" applyFont="1" applyBorder="1" applyAlignment="1">
      <alignment horizontal="center" vertical="center"/>
    </xf>
    <xf numFmtId="0" fontId="0" fillId="0" borderId="10" xfId="0" applyFont="1" applyBorder="1" applyAlignment="1">
      <alignment horizontal="center" vertical="center"/>
    </xf>
    <xf numFmtId="10" fontId="0" fillId="0" borderId="10" xfId="0" applyNumberFormat="1" applyFont="1" applyBorder="1" applyAlignment="1">
      <alignment horizontal="center" vertical="center"/>
    </xf>
    <xf numFmtId="168" fontId="23" fillId="33" borderId="10" xfId="0" applyNumberFormat="1" applyFont="1" applyFill="1" applyBorder="1" applyAlignment="1">
      <alignment horizontal="left"/>
    </xf>
    <xf numFmtId="0" fontId="23" fillId="33" borderId="10" xfId="0" applyFont="1" applyFill="1" applyBorder="1" applyAlignment="1">
      <alignment horizontal="center"/>
    </xf>
    <xf numFmtId="0" fontId="22" fillId="0" borderId="10" xfId="0" applyFont="1" applyBorder="1"/>
    <xf numFmtId="168" fontId="18" fillId="33" borderId="10" xfId="0" applyNumberFormat="1" applyFont="1" applyFill="1" applyBorder="1" applyAlignment="1">
      <alignment horizontal="left"/>
    </xf>
    <xf numFmtId="0" fontId="20" fillId="0" borderId="0" xfId="43" applyAlignment="1">
      <alignment horizontal="center"/>
    </xf>
    <xf numFmtId="0" fontId="0" fillId="0" borderId="10" xfId="0" applyBorder="1" applyAlignment="1">
      <alignment wrapText="1"/>
    </xf>
    <xf numFmtId="2" fontId="0" fillId="0" borderId="10" xfId="0" applyNumberFormat="1" applyBorder="1"/>
    <xf numFmtId="10" fontId="0" fillId="0" borderId="10" xfId="1" applyNumberFormat="1" applyFont="1" applyBorder="1"/>
    <xf numFmtId="0" fontId="25" fillId="0" borderId="10" xfId="0" applyFont="1" applyBorder="1"/>
    <xf numFmtId="10" fontId="25" fillId="0" borderId="10" xfId="1" applyNumberFormat="1" applyFont="1" applyBorder="1"/>
    <xf numFmtId="0" fontId="25" fillId="0" borderId="10" xfId="0" applyFont="1" applyBorder="1" applyAlignment="1">
      <alignment wrapText="1"/>
    </xf>
    <xf numFmtId="0" fontId="0" fillId="0" borderId="0" xfId="0" applyAlignment="1">
      <alignment horizontal="right"/>
    </xf>
    <xf numFmtId="0" fontId="20" fillId="0" borderId="12" xfId="43" applyBorder="1"/>
    <xf numFmtId="0" fontId="20" fillId="0" borderId="14" xfId="43" applyBorder="1"/>
    <xf numFmtId="0" fontId="16" fillId="0" borderId="0" xfId="0" applyFont="1" applyBorder="1" applyAlignment="1"/>
    <xf numFmtId="0" fontId="26" fillId="0" borderId="15" xfId="0" applyFont="1" applyBorder="1" applyAlignment="1">
      <alignment horizontal="center"/>
    </xf>
    <xf numFmtId="168" fontId="22" fillId="0" borderId="15" xfId="0" applyNumberFormat="1" applyFont="1" applyBorder="1" applyAlignment="1">
      <alignment horizontal="center"/>
    </xf>
    <xf numFmtId="0" fontId="0" fillId="0" borderId="12" xfId="0" applyBorder="1" applyAlignment="1">
      <alignment horizontal="left"/>
    </xf>
    <xf numFmtId="0" fontId="0" fillId="0" borderId="13" xfId="0" applyBorder="1" applyAlignment="1">
      <alignment horizontal="left"/>
    </xf>
    <xf numFmtId="0" fontId="0" fillId="0" borderId="17" xfId="0" applyBorder="1" applyAlignment="1">
      <alignment horizontal="left"/>
    </xf>
    <xf numFmtId="0" fontId="0" fillId="0" borderId="18" xfId="0" applyBorder="1" applyAlignment="1">
      <alignment horizontal="left"/>
    </xf>
    <xf numFmtId="0" fontId="24" fillId="7" borderId="7" xfId="14" applyFont="1" applyAlignment="1">
      <alignment horizontal="center"/>
    </xf>
    <xf numFmtId="0" fontId="24" fillId="7" borderId="10" xfId="14" applyFont="1" applyBorder="1" applyAlignment="1">
      <alignment horizontal="center"/>
    </xf>
  </cellXfs>
  <cellStyles count="44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8" builtinId="27" customBuiltin="1"/>
    <cellStyle name="Calculation" xfId="12" builtinId="22" customBuiltin="1"/>
    <cellStyle name="Check Cell" xfId="14" builtinId="23" customBuiltin="1"/>
    <cellStyle name="Explanatory Text" xfId="17" builtinId="53" customBuiltin="1"/>
    <cellStyle name="Good" xfId="7" builtinId="26" customBuiltin="1"/>
    <cellStyle name="Heading 1" xfId="3" builtinId="16" customBuiltin="1"/>
    <cellStyle name="Heading 2" xfId="4" builtinId="17" customBuiltin="1"/>
    <cellStyle name="Heading 3" xfId="5" builtinId="18" customBuiltin="1"/>
    <cellStyle name="Heading 4" xfId="6" builtinId="19" customBuiltin="1"/>
    <cellStyle name="Hyperlink" xfId="43" builtinId="8"/>
    <cellStyle name="Input" xfId="10" builtinId="20" customBuiltin="1"/>
    <cellStyle name="Linked Cell" xfId="13" builtinId="24" customBuiltin="1"/>
    <cellStyle name="Neutral" xfId="9" builtinId="28" customBuiltin="1"/>
    <cellStyle name="Normal" xfId="0" builtinId="0"/>
    <cellStyle name="Note" xfId="16" builtinId="10" customBuiltin="1"/>
    <cellStyle name="Output" xfId="11" builtinId="21" customBuiltin="1"/>
    <cellStyle name="Percent" xfId="1" builtinId="5"/>
    <cellStyle name="Title" xfId="2" builtinId="15" customBuiltin="1"/>
    <cellStyle name="Total" xfId="18" builtinId="25" customBuiltin="1"/>
    <cellStyle name="Warning Text" xfId="15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finance.yahoo.com/quote/%5EGSPC/history?period1=1533859200&amp;period2=1691539200&amp;interval=1wk&amp;filter=history&amp;frequency=1wk&amp;includeAdjustedClose=true" TargetMode="External"/><Relationship Id="rId2" Type="http://schemas.openxmlformats.org/officeDocument/2006/relationships/hyperlink" Target="https://home.treasury.gov/resource-center/data-chart-center/interest-rates/TextView?type=daily_treasury_yield_curve&amp;field_tdr_date_value_month=202308" TargetMode="External"/><Relationship Id="rId1" Type="http://schemas.openxmlformats.org/officeDocument/2006/relationships/hyperlink" Target="https://finance.yahoo.com/quote/MS/history?period1=1533945600&amp;period2=1691712000&amp;interval=1wk&amp;filter=history&amp;frequency=1wk&amp;includeAdjustedClose=true" TargetMode="External"/><Relationship Id="rId4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298"/>
  <sheetViews>
    <sheetView tabSelected="1" topLeftCell="B260" zoomScaleNormal="100" workbookViewId="0">
      <selection activeCell="L263" sqref="L263"/>
    </sheetView>
  </sheetViews>
  <sheetFormatPr defaultRowHeight="15"/>
  <cols>
    <col min="1" max="1" width="17" customWidth="1"/>
    <col min="2" max="2" width="10" customWidth="1"/>
    <col min="3" max="3" width="20.5703125" customWidth="1"/>
    <col min="4" max="4" width="11.28515625" customWidth="1"/>
    <col min="5" max="5" width="13.140625" customWidth="1"/>
    <col min="6" max="6" width="15.28515625" customWidth="1"/>
    <col min="7" max="7" width="12.140625" style="25" customWidth="1"/>
    <col min="8" max="8" width="10.140625" customWidth="1"/>
    <col min="9" max="9" width="20.140625" customWidth="1"/>
    <col min="10" max="10" width="13.28515625" customWidth="1"/>
    <col min="11" max="11" width="13.85546875" customWidth="1"/>
    <col min="23" max="23" width="3.42578125" customWidth="1"/>
  </cols>
  <sheetData>
    <row r="1" spans="1:10" ht="15.75">
      <c r="A1" s="47" t="s">
        <v>22</v>
      </c>
      <c r="B1" s="47"/>
      <c r="C1" s="47"/>
      <c r="D1" s="47"/>
      <c r="E1" s="47"/>
      <c r="F1" s="13"/>
      <c r="G1" s="48" t="s">
        <v>23</v>
      </c>
      <c r="H1" s="48"/>
      <c r="I1" s="48"/>
      <c r="J1" s="48"/>
    </row>
    <row r="2" spans="1:10" ht="15.75">
      <c r="A2" s="27" t="s">
        <v>0</v>
      </c>
      <c r="B2" s="27" t="s">
        <v>1</v>
      </c>
      <c r="C2" s="27" t="s">
        <v>2</v>
      </c>
      <c r="D2" s="27" t="s">
        <v>3</v>
      </c>
      <c r="E2" s="28" t="s">
        <v>4</v>
      </c>
      <c r="F2" s="26"/>
      <c r="G2" s="32" t="s">
        <v>0</v>
      </c>
      <c r="H2" s="33" t="s">
        <v>1</v>
      </c>
      <c r="I2" s="33" t="s">
        <v>2</v>
      </c>
      <c r="J2" s="34" t="s">
        <v>8</v>
      </c>
    </row>
    <row r="3" spans="1:10">
      <c r="A3" s="29">
        <v>43318</v>
      </c>
      <c r="B3" s="30">
        <v>50.13</v>
      </c>
      <c r="C3" s="30">
        <v>48.39</v>
      </c>
      <c r="D3" s="31">
        <f>(C3-B3)/B3</f>
        <v>-3.470975463794139E-2</v>
      </c>
      <c r="E3" s="31">
        <f>'S&amp;P 500'!D2:D263</f>
        <v>5.17376369266365E-3</v>
      </c>
      <c r="G3" s="35">
        <v>43318</v>
      </c>
      <c r="H3" s="4">
        <v>2855.92</v>
      </c>
      <c r="I3" s="4">
        <v>2833.28</v>
      </c>
      <c r="J3" s="5">
        <f>(I3-H3)/H3</f>
        <v>-7.9273929241714999E-3</v>
      </c>
    </row>
    <row r="4" spans="1:10">
      <c r="A4" s="29">
        <v>43325</v>
      </c>
      <c r="B4" s="30">
        <v>48.34</v>
      </c>
      <c r="C4" s="30">
        <v>48.37</v>
      </c>
      <c r="D4" s="31">
        <f t="shared" ref="D4:D67" si="0">(C4-B4)/B4</f>
        <v>6.2060405461303325E-4</v>
      </c>
      <c r="E4" s="31">
        <f>'S&amp;P 500'!D3:D264</f>
        <v>7.2741798152022715E-3</v>
      </c>
      <c r="G4" s="35">
        <v>43325</v>
      </c>
      <c r="H4" s="4">
        <v>2835.46</v>
      </c>
      <c r="I4" s="4">
        <v>2850.13</v>
      </c>
      <c r="J4" s="5">
        <f t="shared" ref="J4:J258" si="1">(I4-H4)/H4</f>
        <v>5.17376369266365E-3</v>
      </c>
    </row>
    <row r="5" spans="1:10">
      <c r="A5" s="29">
        <v>43332</v>
      </c>
      <c r="B5" s="30">
        <v>48.33</v>
      </c>
      <c r="C5" s="30">
        <v>48.14</v>
      </c>
      <c r="D5" s="31">
        <f t="shared" si="0"/>
        <v>-3.9313056072832137E-3</v>
      </c>
      <c r="E5" s="31">
        <f>'S&amp;P 500'!D4:D265</f>
        <v>5.8342490874235802E-3</v>
      </c>
      <c r="G5" s="35">
        <v>43332</v>
      </c>
      <c r="H5" s="4">
        <v>2853.93</v>
      </c>
      <c r="I5" s="4">
        <v>2874.69</v>
      </c>
      <c r="J5" s="5">
        <f t="shared" si="1"/>
        <v>7.2741798152022715E-3</v>
      </c>
    </row>
    <row r="6" spans="1:10">
      <c r="A6" s="29">
        <v>43339</v>
      </c>
      <c r="B6" s="30">
        <v>48.48</v>
      </c>
      <c r="C6" s="30">
        <v>48.83</v>
      </c>
      <c r="D6" s="31">
        <f t="shared" si="0"/>
        <v>7.2194719471947496E-3</v>
      </c>
      <c r="E6" s="31">
        <f>'S&amp;P 500'!D5:D266</f>
        <v>-8.7263890423064875E-3</v>
      </c>
      <c r="G6" s="35">
        <v>43339</v>
      </c>
      <c r="H6" s="4">
        <v>2884.69</v>
      </c>
      <c r="I6" s="4">
        <v>2901.52</v>
      </c>
      <c r="J6" s="5">
        <f t="shared" si="1"/>
        <v>5.8342490874235802E-3</v>
      </c>
    </row>
    <row r="7" spans="1:10">
      <c r="A7" s="29">
        <v>43346</v>
      </c>
      <c r="B7" s="30">
        <v>48.86</v>
      </c>
      <c r="C7" s="30">
        <v>48.22</v>
      </c>
      <c r="D7" s="31">
        <f t="shared" si="0"/>
        <v>-1.3098649201801076E-2</v>
      </c>
      <c r="E7" s="31">
        <f>'S&amp;P 500'!D6:D267</f>
        <v>8.1870208475770881E-3</v>
      </c>
      <c r="G7" s="35">
        <v>43346</v>
      </c>
      <c r="H7" s="4">
        <v>2896.96</v>
      </c>
      <c r="I7" s="4">
        <v>2871.68</v>
      </c>
      <c r="J7" s="5">
        <f t="shared" si="1"/>
        <v>-8.7263890423064875E-3</v>
      </c>
    </row>
    <row r="8" spans="1:10">
      <c r="A8" s="29">
        <v>43353</v>
      </c>
      <c r="B8" s="30">
        <v>48.37</v>
      </c>
      <c r="C8" s="30">
        <v>48.19</v>
      </c>
      <c r="D8" s="31">
        <f t="shared" si="0"/>
        <v>-3.7213148645854812E-3</v>
      </c>
      <c r="E8" s="31">
        <f>'S&amp;P 500'!D7:D268</f>
        <v>8.8985925484619099E-3</v>
      </c>
      <c r="G8" s="35">
        <v>43353</v>
      </c>
      <c r="H8" s="4">
        <v>2881.39</v>
      </c>
      <c r="I8" s="4">
        <v>2904.98</v>
      </c>
      <c r="J8" s="5">
        <f t="shared" si="1"/>
        <v>8.1870208475770881E-3</v>
      </c>
    </row>
    <row r="9" spans="1:10">
      <c r="A9" s="29">
        <v>43360</v>
      </c>
      <c r="B9" s="30">
        <v>48.5</v>
      </c>
      <c r="C9" s="30">
        <v>49.41</v>
      </c>
      <c r="D9" s="31">
        <f t="shared" si="0"/>
        <v>1.8762886597938074E-2</v>
      </c>
      <c r="E9" s="31">
        <f>'S&amp;P 500'!D8:D269</f>
        <v>-2.6866723936710586E-3</v>
      </c>
      <c r="G9" s="35">
        <v>43360</v>
      </c>
      <c r="H9" s="4">
        <v>2903.83</v>
      </c>
      <c r="I9" s="4">
        <v>2929.67</v>
      </c>
      <c r="J9" s="5">
        <f t="shared" si="1"/>
        <v>8.8985925484619099E-3</v>
      </c>
    </row>
    <row r="10" spans="1:10">
      <c r="A10" s="29">
        <v>43367</v>
      </c>
      <c r="B10" s="30">
        <v>49.37</v>
      </c>
      <c r="C10" s="30">
        <v>46.57</v>
      </c>
      <c r="D10" s="31">
        <f t="shared" si="0"/>
        <v>-5.671460401053266E-2</v>
      </c>
      <c r="E10" s="31">
        <f>'S&amp;P 500'!D9:D270</f>
        <v>-1.3915230547895048E-2</v>
      </c>
      <c r="G10" s="35">
        <v>43367</v>
      </c>
      <c r="H10" s="4">
        <v>2921.83</v>
      </c>
      <c r="I10" s="4">
        <v>2913.98</v>
      </c>
      <c r="J10" s="5">
        <f t="shared" si="1"/>
        <v>-2.6866723936710586E-3</v>
      </c>
    </row>
    <row r="11" spans="1:10">
      <c r="A11" s="29">
        <v>43374</v>
      </c>
      <c r="B11" s="30">
        <v>46.92</v>
      </c>
      <c r="C11" s="30">
        <v>46.75</v>
      </c>
      <c r="D11" s="31">
        <f t="shared" si="0"/>
        <v>-3.6231884057971375E-3</v>
      </c>
      <c r="E11" s="31">
        <f>'S&amp;P 500'!D10:D271</f>
        <v>-3.8366237710814509E-2</v>
      </c>
      <c r="G11" s="35">
        <v>43374</v>
      </c>
      <c r="H11" s="4">
        <v>2926.29</v>
      </c>
      <c r="I11" s="4">
        <v>2885.57</v>
      </c>
      <c r="J11" s="5">
        <f t="shared" si="1"/>
        <v>-1.3915230547895048E-2</v>
      </c>
    </row>
    <row r="12" spans="1:10">
      <c r="A12" s="29">
        <v>43381</v>
      </c>
      <c r="B12" s="30">
        <v>46.51</v>
      </c>
      <c r="C12" s="30">
        <v>43.43</v>
      </c>
      <c r="D12" s="31">
        <f t="shared" si="0"/>
        <v>-6.6222317781122308E-2</v>
      </c>
      <c r="E12" s="31">
        <f>'S&amp;P 500'!D11:D272</f>
        <v>1.4291761794322636E-3</v>
      </c>
      <c r="G12" s="35">
        <v>43381</v>
      </c>
      <c r="H12" s="4">
        <v>2877.53</v>
      </c>
      <c r="I12" s="4">
        <v>2767.13</v>
      </c>
      <c r="J12" s="5">
        <f t="shared" si="1"/>
        <v>-3.8366237710814509E-2</v>
      </c>
    </row>
    <row r="13" spans="1:10">
      <c r="A13" s="29">
        <v>43388</v>
      </c>
      <c r="B13" s="30">
        <v>43.42</v>
      </c>
      <c r="C13" s="30">
        <v>46.42</v>
      </c>
      <c r="D13" s="31">
        <f t="shared" si="0"/>
        <v>6.9092584062643944E-2</v>
      </c>
      <c r="E13" s="31">
        <f>'S&amp;P 500'!D12:D273</f>
        <v>-4.1547401890451849E-2</v>
      </c>
      <c r="G13" s="35">
        <v>43388</v>
      </c>
      <c r="H13" s="4">
        <v>2763.83</v>
      </c>
      <c r="I13" s="4">
        <v>2767.78</v>
      </c>
      <c r="J13" s="5">
        <f t="shared" si="1"/>
        <v>1.4291761794322636E-3</v>
      </c>
    </row>
    <row r="14" spans="1:10">
      <c r="A14" s="29">
        <v>43395</v>
      </c>
      <c r="B14" s="30">
        <v>46.43</v>
      </c>
      <c r="C14" s="30">
        <v>43.97</v>
      </c>
      <c r="D14" s="31">
        <f t="shared" si="0"/>
        <v>-5.2982985138918824E-2</v>
      </c>
      <c r="E14" s="31">
        <f>'S&amp;P 500'!D13:D274</f>
        <v>1.5063463366447302E-2</v>
      </c>
      <c r="G14" s="35">
        <v>43395</v>
      </c>
      <c r="H14" s="4">
        <v>2773.94</v>
      </c>
      <c r="I14" s="4">
        <v>2658.69</v>
      </c>
      <c r="J14" s="5">
        <f t="shared" si="1"/>
        <v>-4.1547401890451849E-2</v>
      </c>
    </row>
    <row r="15" spans="1:10">
      <c r="A15" s="29">
        <v>43402</v>
      </c>
      <c r="B15" s="30">
        <v>44.59</v>
      </c>
      <c r="C15" s="30">
        <v>45.95</v>
      </c>
      <c r="D15" s="31">
        <f t="shared" si="0"/>
        <v>3.050011213276518E-2</v>
      </c>
      <c r="E15" s="31">
        <f>'S&amp;P 500'!D14:D275</f>
        <v>2.004130033707836E-2</v>
      </c>
      <c r="G15" s="35">
        <v>43402</v>
      </c>
      <c r="H15" s="4">
        <v>2682.65</v>
      </c>
      <c r="I15" s="4">
        <v>2723.06</v>
      </c>
      <c r="J15" s="5">
        <f t="shared" si="1"/>
        <v>1.5063463366447302E-2</v>
      </c>
    </row>
    <row r="16" spans="1:10">
      <c r="A16" s="29">
        <v>43409</v>
      </c>
      <c r="B16" s="30">
        <v>46.02</v>
      </c>
      <c r="C16" s="30">
        <v>45.73</v>
      </c>
      <c r="D16" s="31">
        <f t="shared" si="0"/>
        <v>-6.3016079965233862E-3</v>
      </c>
      <c r="E16" s="31">
        <f>'S&amp;P 500'!D15:D276</f>
        <v>-1.3576406037643292E-2</v>
      </c>
      <c r="G16" s="35">
        <v>43409</v>
      </c>
      <c r="H16" s="4">
        <v>2726.37</v>
      </c>
      <c r="I16" s="4">
        <v>2781.01</v>
      </c>
      <c r="J16" s="5">
        <f t="shared" si="1"/>
        <v>2.004130033707836E-2</v>
      </c>
    </row>
    <row r="17" spans="1:10">
      <c r="A17" s="29">
        <v>43416</v>
      </c>
      <c r="B17" s="30">
        <v>45.52</v>
      </c>
      <c r="C17" s="30">
        <v>44.13</v>
      </c>
      <c r="D17" s="31">
        <f t="shared" si="0"/>
        <v>-3.0536028119507921E-2</v>
      </c>
      <c r="E17" s="31">
        <f>'S&amp;P 500'!D16:D277</f>
        <v>-3.5953624292316314E-2</v>
      </c>
      <c r="G17" s="35">
        <v>43416</v>
      </c>
      <c r="H17" s="4">
        <v>2773.93</v>
      </c>
      <c r="I17" s="4">
        <v>2736.27</v>
      </c>
      <c r="J17" s="5">
        <f t="shared" si="1"/>
        <v>-1.3576406037643292E-2</v>
      </c>
    </row>
    <row r="18" spans="1:10">
      <c r="A18" s="29">
        <v>43423</v>
      </c>
      <c r="B18" s="30">
        <v>44.17</v>
      </c>
      <c r="C18" s="30">
        <v>43.08</v>
      </c>
      <c r="D18" s="31">
        <f t="shared" si="0"/>
        <v>-2.4677382839031092E-2</v>
      </c>
      <c r="E18" s="31">
        <f>'S&amp;P 500'!D17:D278</f>
        <v>4.1585376438223937E-2</v>
      </c>
      <c r="G18" s="35">
        <v>43423</v>
      </c>
      <c r="H18" s="4">
        <v>2730.74</v>
      </c>
      <c r="I18" s="4">
        <v>2632.56</v>
      </c>
      <c r="J18" s="5">
        <f t="shared" si="1"/>
        <v>-3.5953624292316314E-2</v>
      </c>
    </row>
    <row r="19" spans="1:10">
      <c r="A19" s="29">
        <v>43430</v>
      </c>
      <c r="B19" s="30">
        <v>43.72</v>
      </c>
      <c r="C19" s="30">
        <v>44.39</v>
      </c>
      <c r="D19" s="31">
        <f t="shared" si="0"/>
        <v>1.5324794144556307E-2</v>
      </c>
      <c r="E19" s="31">
        <f>'S&amp;P 500'!D18:D279</f>
        <v>-5.641282924207134E-2</v>
      </c>
      <c r="G19" s="35">
        <v>43430</v>
      </c>
      <c r="H19" s="4">
        <v>2649.97</v>
      </c>
      <c r="I19" s="4">
        <v>2760.17</v>
      </c>
      <c r="J19" s="5">
        <f t="shared" si="1"/>
        <v>4.1585376438223937E-2</v>
      </c>
    </row>
    <row r="20" spans="1:10">
      <c r="A20" s="29">
        <v>43437</v>
      </c>
      <c r="B20" s="30">
        <v>45.07</v>
      </c>
      <c r="C20" s="30">
        <v>41.32</v>
      </c>
      <c r="D20" s="31">
        <f t="shared" si="0"/>
        <v>-8.3203905036609724E-2</v>
      </c>
      <c r="E20" s="31">
        <f>'S&amp;P 500'!D19:D280</f>
        <v>-1.1749009829485532E-2</v>
      </c>
      <c r="G20" s="35">
        <v>43437</v>
      </c>
      <c r="H20" s="4">
        <v>2790.5</v>
      </c>
      <c r="I20" s="4">
        <v>2633.08</v>
      </c>
      <c r="J20" s="5">
        <f t="shared" si="1"/>
        <v>-5.641282924207134E-2</v>
      </c>
    </row>
    <row r="21" spans="1:10">
      <c r="A21" s="29">
        <v>43444</v>
      </c>
      <c r="B21" s="30">
        <v>41.09</v>
      </c>
      <c r="C21" s="30">
        <v>39.64</v>
      </c>
      <c r="D21" s="31">
        <f t="shared" si="0"/>
        <v>-3.5288391336091574E-2</v>
      </c>
      <c r="E21" s="31">
        <f>'S&amp;P 500'!D20:D281</f>
        <v>-6.7212197240181459E-2</v>
      </c>
      <c r="G21" s="35">
        <v>43444</v>
      </c>
      <c r="H21" s="4">
        <v>2630.86</v>
      </c>
      <c r="I21" s="4">
        <v>2599.9499999999998</v>
      </c>
      <c r="J21" s="5">
        <f t="shared" si="1"/>
        <v>-1.1749009829485532E-2</v>
      </c>
    </row>
    <row r="22" spans="1:10">
      <c r="A22" s="29">
        <v>43451</v>
      </c>
      <c r="B22" s="30">
        <v>39.29</v>
      </c>
      <c r="C22" s="30">
        <v>37.68</v>
      </c>
      <c r="D22" s="31">
        <f t="shared" si="0"/>
        <v>-4.0977347925680821E-2</v>
      </c>
      <c r="E22" s="31">
        <f>'S&amp;P 500'!D21:D282</f>
        <v>3.5483387209651017E-2</v>
      </c>
      <c r="G22" s="35">
        <v>43451</v>
      </c>
      <c r="H22" s="4">
        <v>2590.75</v>
      </c>
      <c r="I22" s="4">
        <v>2416.62</v>
      </c>
      <c r="J22" s="5">
        <f t="shared" si="1"/>
        <v>-6.7212197240181459E-2</v>
      </c>
    </row>
    <row r="23" spans="1:10">
      <c r="A23" s="29">
        <v>43458</v>
      </c>
      <c r="B23" s="30">
        <v>37.61</v>
      </c>
      <c r="C23" s="30">
        <v>39.369999999999997</v>
      </c>
      <c r="D23" s="31">
        <f t="shared" si="0"/>
        <v>4.679606487636262E-2</v>
      </c>
      <c r="E23" s="31">
        <f>'S&amp;P 500'!D22:D283</f>
        <v>1.3205599174049797E-2</v>
      </c>
      <c r="G23" s="35">
        <v>43458</v>
      </c>
      <c r="H23" s="4">
        <v>2400.56</v>
      </c>
      <c r="I23" s="4">
        <v>2485.7399999999998</v>
      </c>
      <c r="J23" s="5">
        <f t="shared" si="1"/>
        <v>3.5483387209651017E-2</v>
      </c>
    </row>
    <row r="24" spans="1:10">
      <c r="A24" s="29">
        <v>43465</v>
      </c>
      <c r="B24" s="30">
        <v>39.67</v>
      </c>
      <c r="C24" s="30">
        <v>41.3</v>
      </c>
      <c r="D24" s="31">
        <f t="shared" si="0"/>
        <v>4.1088984118981479E-2</v>
      </c>
      <c r="E24" s="31">
        <f>'S&amp;P 500'!D23:D284</f>
        <v>2.3919293582214965E-2</v>
      </c>
      <c r="G24" s="35">
        <v>43465</v>
      </c>
      <c r="H24" s="4">
        <v>2498.94</v>
      </c>
      <c r="I24" s="4">
        <v>2531.94</v>
      </c>
      <c r="J24" s="5">
        <f t="shared" si="1"/>
        <v>1.3205599174049797E-2</v>
      </c>
    </row>
    <row r="25" spans="1:10">
      <c r="A25" s="29">
        <v>43472</v>
      </c>
      <c r="B25" s="30">
        <v>41.51</v>
      </c>
      <c r="C25" s="30">
        <v>41.74</v>
      </c>
      <c r="D25" s="31">
        <f t="shared" si="0"/>
        <v>5.5408335340882678E-3</v>
      </c>
      <c r="E25" s="31">
        <f>'S&amp;P 500'!D24:D285</f>
        <v>3.5034550112195854E-2</v>
      </c>
      <c r="G25" s="35">
        <v>43472</v>
      </c>
      <c r="H25" s="4">
        <v>2535.61</v>
      </c>
      <c r="I25" s="4">
        <v>2596.2600000000002</v>
      </c>
      <c r="J25" s="5">
        <f t="shared" si="1"/>
        <v>2.3919293582214965E-2</v>
      </c>
    </row>
    <row r="26" spans="1:10">
      <c r="A26" s="29">
        <v>43479</v>
      </c>
      <c r="B26" s="30">
        <v>41.31</v>
      </c>
      <c r="C26" s="30">
        <v>43.69</v>
      </c>
      <c r="D26" s="31">
        <f t="shared" si="0"/>
        <v>5.7613168724279719E-2</v>
      </c>
      <c r="E26" s="31">
        <f>'S&amp;P 500'!D25:D286</f>
        <v>2.5885292037263192E-3</v>
      </c>
      <c r="G26" s="35">
        <v>43479</v>
      </c>
      <c r="H26" s="4">
        <v>2580.31</v>
      </c>
      <c r="I26" s="4">
        <v>2670.71</v>
      </c>
      <c r="J26" s="5">
        <f t="shared" si="1"/>
        <v>3.5034550112195854E-2</v>
      </c>
    </row>
    <row r="27" spans="1:10">
      <c r="A27" s="29">
        <v>43486</v>
      </c>
      <c r="B27" s="30">
        <v>42.42</v>
      </c>
      <c r="C27" s="30">
        <v>42.98</v>
      </c>
      <c r="D27" s="31">
        <f t="shared" si="0"/>
        <v>1.3201320132013087E-2</v>
      </c>
      <c r="E27" s="31">
        <f>'S&amp;P 500'!D26:D287</f>
        <v>2.3274366060862847E-2</v>
      </c>
      <c r="G27" s="35">
        <v>43486</v>
      </c>
      <c r="H27" s="4">
        <v>2657.88</v>
      </c>
      <c r="I27" s="4">
        <v>2664.76</v>
      </c>
      <c r="J27" s="5">
        <f t="shared" si="1"/>
        <v>2.5885292037263192E-3</v>
      </c>
    </row>
    <row r="28" spans="1:10">
      <c r="A28" s="29">
        <v>43493</v>
      </c>
      <c r="B28" s="30">
        <v>42.44</v>
      </c>
      <c r="C28" s="30">
        <v>41.82</v>
      </c>
      <c r="D28" s="31">
        <f t="shared" si="0"/>
        <v>-1.4608859566446688E-2</v>
      </c>
      <c r="E28" s="31">
        <f>'S&amp;P 500'!D27:D288</f>
        <v>5.1358031989784836E-4</v>
      </c>
      <c r="G28" s="35">
        <v>43493</v>
      </c>
      <c r="H28" s="4">
        <v>2644.97</v>
      </c>
      <c r="I28" s="4">
        <v>2706.53</v>
      </c>
      <c r="J28" s="5">
        <f t="shared" si="1"/>
        <v>2.3274366060862847E-2</v>
      </c>
    </row>
    <row r="29" spans="1:10">
      <c r="A29" s="29">
        <v>43500</v>
      </c>
      <c r="B29" s="30">
        <v>41.9</v>
      </c>
      <c r="C29" s="30">
        <v>40.81</v>
      </c>
      <c r="D29" s="31">
        <f t="shared" si="0"/>
        <v>-2.6014319809069125E-2</v>
      </c>
      <c r="E29" s="31">
        <f>'S&amp;P 500'!D28:D289</f>
        <v>2.3300398171361088E-2</v>
      </c>
      <c r="G29" s="35">
        <v>43500</v>
      </c>
      <c r="H29" s="4">
        <v>2706.49</v>
      </c>
      <c r="I29" s="4">
        <v>2707.88</v>
      </c>
      <c r="J29" s="5">
        <f t="shared" si="1"/>
        <v>5.1358031989784836E-4</v>
      </c>
    </row>
    <row r="30" spans="1:10">
      <c r="A30" s="29">
        <v>43507</v>
      </c>
      <c r="B30" s="30">
        <v>41</v>
      </c>
      <c r="C30" s="30">
        <v>41.99</v>
      </c>
      <c r="D30" s="31">
        <f t="shared" si="0"/>
        <v>2.4146341463414683E-2</v>
      </c>
      <c r="E30" s="31">
        <f>'S&amp;P 500'!D29:D290</f>
        <v>8.4462387335335794E-3</v>
      </c>
      <c r="G30" s="35">
        <v>43507</v>
      </c>
      <c r="H30" s="4">
        <v>2712.4</v>
      </c>
      <c r="I30" s="4">
        <v>2775.6</v>
      </c>
      <c r="J30" s="5">
        <f t="shared" si="1"/>
        <v>2.3300398171361088E-2</v>
      </c>
    </row>
    <row r="31" spans="1:10">
      <c r="A31" s="29">
        <v>43514</v>
      </c>
      <c r="B31" s="30">
        <v>41.58</v>
      </c>
      <c r="C31" s="30">
        <v>41.79</v>
      </c>
      <c r="D31" s="31">
        <f t="shared" si="0"/>
        <v>5.0505050505050709E-3</v>
      </c>
      <c r="E31" s="31">
        <f>'S&amp;P 500'!D30:D291</f>
        <v>-2.353486547684328E-4</v>
      </c>
      <c r="G31" s="35">
        <v>43514</v>
      </c>
      <c r="H31" s="4">
        <v>2769.28</v>
      </c>
      <c r="I31" s="4">
        <v>2792.67</v>
      </c>
      <c r="J31" s="5">
        <f t="shared" si="1"/>
        <v>8.4462387335335794E-3</v>
      </c>
    </row>
    <row r="32" spans="1:10">
      <c r="A32" s="29">
        <v>43521</v>
      </c>
      <c r="B32" s="30">
        <v>42.13</v>
      </c>
      <c r="C32" s="30">
        <v>42.5</v>
      </c>
      <c r="D32" s="31">
        <f t="shared" si="0"/>
        <v>8.7823403750296094E-3</v>
      </c>
      <c r="E32" s="31">
        <f>'S&amp;P 500'!D31:D292</f>
        <v>-2.5334266638714784E-2</v>
      </c>
      <c r="G32" s="35">
        <v>43521</v>
      </c>
      <c r="H32" s="4">
        <v>2804.35</v>
      </c>
      <c r="I32" s="4">
        <v>2803.69</v>
      </c>
      <c r="J32" s="5">
        <f t="shared" si="1"/>
        <v>-2.353486547684328E-4</v>
      </c>
    </row>
    <row r="33" spans="1:10">
      <c r="A33" s="29">
        <v>43528</v>
      </c>
      <c r="B33" s="30">
        <v>42.55</v>
      </c>
      <c r="C33" s="30">
        <v>41.36</v>
      </c>
      <c r="D33" s="31">
        <f t="shared" si="0"/>
        <v>-2.7967097532314873E-2</v>
      </c>
      <c r="E33" s="31">
        <f>'S&amp;P 500'!D32:D293</f>
        <v>2.72491365222866E-2</v>
      </c>
      <c r="G33" s="35">
        <v>43528</v>
      </c>
      <c r="H33" s="4">
        <v>2814.37</v>
      </c>
      <c r="I33" s="4">
        <v>2743.07</v>
      </c>
      <c r="J33" s="5">
        <f t="shared" si="1"/>
        <v>-2.5334266638714784E-2</v>
      </c>
    </row>
    <row r="34" spans="1:10">
      <c r="A34" s="29">
        <v>43535</v>
      </c>
      <c r="B34" s="30">
        <v>41.7</v>
      </c>
      <c r="C34" s="30">
        <v>43.33</v>
      </c>
      <c r="D34" s="31">
        <f t="shared" si="0"/>
        <v>3.9088729016786457E-2</v>
      </c>
      <c r="E34" s="31">
        <f>'S&amp;P 500'!D33:D294</f>
        <v>-7.7587764515820784E-3</v>
      </c>
      <c r="G34" s="35">
        <v>43535</v>
      </c>
      <c r="H34" s="4">
        <v>2747.61</v>
      </c>
      <c r="I34" s="4">
        <v>2822.48</v>
      </c>
      <c r="J34" s="5">
        <f t="shared" si="1"/>
        <v>2.72491365222866E-2</v>
      </c>
    </row>
    <row r="35" spans="1:10">
      <c r="A35" s="29">
        <v>43542</v>
      </c>
      <c r="B35" s="30">
        <v>43.47</v>
      </c>
      <c r="C35" s="30">
        <v>41.72</v>
      </c>
      <c r="D35" s="31">
        <f t="shared" si="0"/>
        <v>-4.0257648953301126E-2</v>
      </c>
      <c r="E35" s="31">
        <f>'S&amp;P 500'!D34:D295</f>
        <v>1.3730279934621075E-2</v>
      </c>
      <c r="G35" s="35">
        <v>43542</v>
      </c>
      <c r="H35" s="4">
        <v>2822.61</v>
      </c>
      <c r="I35" s="4">
        <v>2800.71</v>
      </c>
      <c r="J35" s="5">
        <f t="shared" si="1"/>
        <v>-7.7587764515820784E-3</v>
      </c>
    </row>
    <row r="36" spans="1:10">
      <c r="A36" s="29">
        <v>43549</v>
      </c>
      <c r="B36" s="30">
        <v>41.71</v>
      </c>
      <c r="C36" s="30">
        <v>42.2</v>
      </c>
      <c r="D36" s="31">
        <f t="shared" si="0"/>
        <v>1.174778230640139E-2</v>
      </c>
      <c r="E36" s="31">
        <f>'S&amp;P 500'!D35:D296</f>
        <v>1.5484636474375285E-2</v>
      </c>
      <c r="G36" s="35">
        <v>43549</v>
      </c>
      <c r="H36" s="4">
        <v>2796.01</v>
      </c>
      <c r="I36" s="4">
        <v>2834.4</v>
      </c>
      <c r="J36" s="5">
        <f t="shared" si="1"/>
        <v>1.3730279934621075E-2</v>
      </c>
    </row>
    <row r="37" spans="1:10">
      <c r="A37" s="29">
        <v>43556</v>
      </c>
      <c r="B37" s="30">
        <v>42.78</v>
      </c>
      <c r="C37" s="30">
        <v>44.9</v>
      </c>
      <c r="D37" s="31">
        <f t="shared" si="0"/>
        <v>4.9555867227676423E-2</v>
      </c>
      <c r="E37" s="31">
        <f>'S&amp;P 500'!D36:D297</f>
        <v>6.5605893798078626E-3</v>
      </c>
      <c r="G37" s="35">
        <v>43556</v>
      </c>
      <c r="H37" s="4">
        <v>2848.63</v>
      </c>
      <c r="I37" s="4">
        <v>2892.74</v>
      </c>
      <c r="J37" s="5">
        <f t="shared" si="1"/>
        <v>1.5484636474375285E-2</v>
      </c>
    </row>
    <row r="38" spans="1:10">
      <c r="A38" s="29">
        <v>43563</v>
      </c>
      <c r="B38" s="30">
        <v>44.65</v>
      </c>
      <c r="C38" s="30">
        <v>46.69</v>
      </c>
      <c r="D38" s="31">
        <f t="shared" si="0"/>
        <v>4.5688689809630444E-2</v>
      </c>
      <c r="E38" s="31">
        <f>'S&amp;P 500'!D37:D298</f>
        <v>-1.1312372778786253E-3</v>
      </c>
      <c r="G38" s="35">
        <v>43563</v>
      </c>
      <c r="H38" s="4">
        <v>2888.46</v>
      </c>
      <c r="I38" s="4">
        <v>2907.41</v>
      </c>
      <c r="J38" s="5">
        <f t="shared" si="1"/>
        <v>6.5605893798078626E-3</v>
      </c>
    </row>
    <row r="39" spans="1:10">
      <c r="A39" s="29">
        <v>43570</v>
      </c>
      <c r="B39" s="30">
        <v>46.47</v>
      </c>
      <c r="C39" s="30">
        <v>47.55</v>
      </c>
      <c r="D39" s="31">
        <f t="shared" si="0"/>
        <v>2.3240800516462198E-2</v>
      </c>
      <c r="E39" s="31">
        <f>'S&amp;P 500'!D38:D299</f>
        <v>1.4178378490261387E-2</v>
      </c>
      <c r="G39" s="35">
        <v>43570</v>
      </c>
      <c r="H39" s="4">
        <v>2908.32</v>
      </c>
      <c r="I39" s="4">
        <v>2905.03</v>
      </c>
      <c r="J39" s="5">
        <f t="shared" si="1"/>
        <v>-1.1312372778786253E-3</v>
      </c>
    </row>
    <row r="40" spans="1:10">
      <c r="A40" s="29">
        <v>43577</v>
      </c>
      <c r="B40" s="30">
        <v>47.37</v>
      </c>
      <c r="C40" s="30">
        <v>47.89</v>
      </c>
      <c r="D40" s="31">
        <f t="shared" si="0"/>
        <v>1.0977411864049044E-2</v>
      </c>
      <c r="E40" s="31">
        <f>'S&amp;P 500'!D39:D300</f>
        <v>1.7207489678906698E-3</v>
      </c>
      <c r="G40" s="35">
        <v>43577</v>
      </c>
      <c r="H40" s="4">
        <v>2898.78</v>
      </c>
      <c r="I40" s="4">
        <v>2939.88</v>
      </c>
      <c r="J40" s="5">
        <f t="shared" si="1"/>
        <v>1.4178378490261387E-2</v>
      </c>
    </row>
    <row r="41" spans="1:10">
      <c r="A41" s="29">
        <v>43584</v>
      </c>
      <c r="B41" s="30">
        <v>47.85</v>
      </c>
      <c r="C41" s="30">
        <v>48.06</v>
      </c>
      <c r="D41" s="31">
        <f t="shared" si="0"/>
        <v>4.3887147335423373E-3</v>
      </c>
      <c r="E41" s="31">
        <f>'S&amp;P 500'!D40:D301</f>
        <v>-9.4503401641175093E-3</v>
      </c>
      <c r="G41" s="35">
        <v>43584</v>
      </c>
      <c r="H41" s="4">
        <v>2940.58</v>
      </c>
      <c r="I41" s="4">
        <v>2945.64</v>
      </c>
      <c r="J41" s="5">
        <f t="shared" si="1"/>
        <v>1.7207489678906698E-3</v>
      </c>
    </row>
    <row r="42" spans="1:10">
      <c r="A42" s="29">
        <v>43591</v>
      </c>
      <c r="B42" s="30">
        <v>46.97</v>
      </c>
      <c r="C42" s="30">
        <v>46.34</v>
      </c>
      <c r="D42" s="31">
        <f t="shared" si="0"/>
        <v>-1.341281669150512E-2</v>
      </c>
      <c r="E42" s="31">
        <f>'S&amp;P 500'!D41:D302</f>
        <v>6.8094035962383307E-3</v>
      </c>
      <c r="G42" s="35">
        <v>43591</v>
      </c>
      <c r="H42" s="4">
        <v>2908.89</v>
      </c>
      <c r="I42" s="4">
        <v>2881.4</v>
      </c>
      <c r="J42" s="5">
        <f t="shared" si="1"/>
        <v>-9.4503401641175093E-3</v>
      </c>
    </row>
    <row r="43" spans="1:10">
      <c r="A43" s="29">
        <v>43598</v>
      </c>
      <c r="B43" s="30">
        <v>45.2</v>
      </c>
      <c r="C43" s="30">
        <v>43.88</v>
      </c>
      <c r="D43" s="31">
        <f t="shared" si="0"/>
        <v>-2.9203539823008853E-2</v>
      </c>
      <c r="E43" s="31">
        <f>'S&amp;P 500'!D42:D303</f>
        <v>-5.5877323236944157E-3</v>
      </c>
      <c r="G43" s="35">
        <v>43598</v>
      </c>
      <c r="H43" s="4">
        <v>2840.19</v>
      </c>
      <c r="I43" s="4">
        <v>2859.53</v>
      </c>
      <c r="J43" s="5">
        <f t="shared" si="1"/>
        <v>6.8094035962383307E-3</v>
      </c>
    </row>
    <row r="44" spans="1:10">
      <c r="A44" s="29">
        <v>43605</v>
      </c>
      <c r="B44" s="30">
        <v>43.49</v>
      </c>
      <c r="C44" s="30">
        <v>42.96</v>
      </c>
      <c r="D44" s="31">
        <f t="shared" si="0"/>
        <v>-1.2186709588411155E-2</v>
      </c>
      <c r="E44" s="31">
        <f>'S&amp;P 500'!D43:D304</f>
        <v>-2.7550944689632352E-2</v>
      </c>
      <c r="G44" s="35">
        <v>43605</v>
      </c>
      <c r="H44" s="4">
        <v>2841.94</v>
      </c>
      <c r="I44" s="4">
        <v>2826.06</v>
      </c>
      <c r="J44" s="5">
        <f t="shared" si="1"/>
        <v>-5.5877323236944157E-3</v>
      </c>
    </row>
    <row r="45" spans="1:10">
      <c r="A45" s="29">
        <v>43612</v>
      </c>
      <c r="B45" s="30">
        <v>42.85</v>
      </c>
      <c r="C45" s="30">
        <v>40.69</v>
      </c>
      <c r="D45" s="31">
        <f t="shared" si="0"/>
        <v>-5.0408401400233456E-2</v>
      </c>
      <c r="E45" s="31">
        <f>'S&amp;P 500'!D44:D305</f>
        <v>4.4269915283496795E-2</v>
      </c>
      <c r="G45" s="35">
        <v>43612</v>
      </c>
      <c r="H45" s="4">
        <v>2830.03</v>
      </c>
      <c r="I45" s="4">
        <v>2752.06</v>
      </c>
      <c r="J45" s="5">
        <f t="shared" si="1"/>
        <v>-2.7550944689632352E-2</v>
      </c>
    </row>
    <row r="46" spans="1:10">
      <c r="A46" s="29">
        <v>43619</v>
      </c>
      <c r="B46" s="30">
        <v>40.71</v>
      </c>
      <c r="C46" s="30">
        <v>42.7</v>
      </c>
      <c r="D46" s="31">
        <f t="shared" si="0"/>
        <v>4.8882338491771114E-2</v>
      </c>
      <c r="E46" s="31">
        <f>'S&amp;P 500'!D45:D306</f>
        <v>3.9849887207496319E-4</v>
      </c>
      <c r="G46" s="35">
        <v>43619</v>
      </c>
      <c r="H46" s="4">
        <v>2751.53</v>
      </c>
      <c r="I46" s="4">
        <v>2873.34</v>
      </c>
      <c r="J46" s="5">
        <f t="shared" si="1"/>
        <v>4.4269915283496795E-2</v>
      </c>
    </row>
    <row r="47" spans="1:10">
      <c r="A47" s="29">
        <v>43626</v>
      </c>
      <c r="B47" s="30">
        <v>43.24</v>
      </c>
      <c r="C47" s="30">
        <v>42.82</v>
      </c>
      <c r="D47" s="31">
        <f t="shared" si="0"/>
        <v>-9.7132284921369501E-3</v>
      </c>
      <c r="E47" s="31">
        <f>'S&amp;P 500'!D46:D307</f>
        <v>2.1008737780084795E-2</v>
      </c>
      <c r="G47" s="35">
        <v>43626</v>
      </c>
      <c r="H47" s="4">
        <v>2885.83</v>
      </c>
      <c r="I47" s="4">
        <v>2886.98</v>
      </c>
      <c r="J47" s="5">
        <f t="shared" si="1"/>
        <v>3.9849887207496319E-4</v>
      </c>
    </row>
    <row r="48" spans="1:10">
      <c r="A48" s="29">
        <v>43633</v>
      </c>
      <c r="B48" s="30">
        <v>42.73</v>
      </c>
      <c r="C48" s="30">
        <v>43.58</v>
      </c>
      <c r="D48" s="31">
        <f t="shared" si="0"/>
        <v>1.989234729698108E-2</v>
      </c>
      <c r="E48" s="31">
        <f>'S&amp;P 500'!D47:D308</f>
        <v>-3.2730007928386518E-3</v>
      </c>
      <c r="G48" s="35">
        <v>43633</v>
      </c>
      <c r="H48" s="4">
        <v>2889.75</v>
      </c>
      <c r="I48" s="4">
        <v>2950.46</v>
      </c>
      <c r="J48" s="5">
        <f t="shared" si="1"/>
        <v>2.1008737780084795E-2</v>
      </c>
    </row>
    <row r="49" spans="1:10">
      <c r="A49" s="29">
        <v>43640</v>
      </c>
      <c r="B49" s="30">
        <v>43.5</v>
      </c>
      <c r="C49" s="30">
        <v>43.81</v>
      </c>
      <c r="D49" s="31">
        <f t="shared" si="0"/>
        <v>7.1264367816092477E-3</v>
      </c>
      <c r="E49" s="31">
        <f>'S&amp;P 500'!D48:D309</f>
        <v>6.3942707334228533E-3</v>
      </c>
      <c r="G49" s="35">
        <v>43640</v>
      </c>
      <c r="H49" s="4">
        <v>2951.42</v>
      </c>
      <c r="I49" s="4">
        <v>2941.76</v>
      </c>
      <c r="J49" s="5">
        <f t="shared" si="1"/>
        <v>-3.2730007928386518E-3</v>
      </c>
    </row>
    <row r="50" spans="1:10">
      <c r="A50" s="29">
        <v>43647</v>
      </c>
      <c r="B50" s="30">
        <v>44.59</v>
      </c>
      <c r="C50" s="30">
        <v>44.21</v>
      </c>
      <c r="D50" s="31">
        <f t="shared" si="0"/>
        <v>-8.5220901547432733E-3</v>
      </c>
      <c r="E50" s="31">
        <f>'S&amp;P 500'!D49:D310</f>
        <v>1.1410276632089053E-2</v>
      </c>
      <c r="G50" s="35">
        <v>43647</v>
      </c>
      <c r="H50" s="4">
        <v>2971.41</v>
      </c>
      <c r="I50" s="4">
        <v>2990.41</v>
      </c>
      <c r="J50" s="5">
        <f t="shared" si="1"/>
        <v>6.3942707334228533E-3</v>
      </c>
    </row>
    <row r="51" spans="1:10">
      <c r="A51" s="29">
        <v>43654</v>
      </c>
      <c r="B51" s="30">
        <v>43.59</v>
      </c>
      <c r="C51" s="30">
        <v>44.87</v>
      </c>
      <c r="D51" s="31">
        <f t="shared" si="0"/>
        <v>2.9364533149804861E-2</v>
      </c>
      <c r="E51" s="31">
        <f>'S&amp;P 500'!D50:D311</f>
        <v>-1.3649015839353188E-2</v>
      </c>
      <c r="G51" s="35">
        <v>43654</v>
      </c>
      <c r="H51" s="4">
        <v>2979.77</v>
      </c>
      <c r="I51" s="4">
        <v>3013.77</v>
      </c>
      <c r="J51" s="5">
        <f t="shared" si="1"/>
        <v>1.1410276632089053E-2</v>
      </c>
    </row>
    <row r="52" spans="1:10">
      <c r="A52" s="29">
        <v>43661</v>
      </c>
      <c r="B52" s="30">
        <v>45.01</v>
      </c>
      <c r="C52" s="30">
        <v>44.39</v>
      </c>
      <c r="D52" s="31">
        <f t="shared" si="0"/>
        <v>-1.3774716729615584E-2</v>
      </c>
      <c r="E52" s="31">
        <f>'S&amp;P 500'!D51:D312</f>
        <v>1.4732069498613413E-2</v>
      </c>
      <c r="G52" s="35">
        <v>43661</v>
      </c>
      <c r="H52" s="4">
        <v>3017.8</v>
      </c>
      <c r="I52" s="4">
        <v>2976.61</v>
      </c>
      <c r="J52" s="5">
        <f t="shared" si="1"/>
        <v>-1.3649015839353188E-2</v>
      </c>
    </row>
    <row r="53" spans="1:10">
      <c r="A53" s="29">
        <v>43668</v>
      </c>
      <c r="B53" s="30">
        <v>44.22</v>
      </c>
      <c r="C53" s="30">
        <v>45.74</v>
      </c>
      <c r="D53" s="31">
        <f t="shared" si="0"/>
        <v>3.4373586612392655E-2</v>
      </c>
      <c r="E53" s="31">
        <f>'S&amp;P 500'!D52:D313</f>
        <v>-3.0557419977714981E-2</v>
      </c>
      <c r="G53" s="35">
        <v>43668</v>
      </c>
      <c r="H53" s="4">
        <v>2981.93</v>
      </c>
      <c r="I53" s="4">
        <v>3025.86</v>
      </c>
      <c r="J53" s="5">
        <f t="shared" si="1"/>
        <v>1.4732069498613413E-2</v>
      </c>
    </row>
    <row r="54" spans="1:10">
      <c r="A54" s="29">
        <v>43675</v>
      </c>
      <c r="B54" s="30">
        <v>45.64</v>
      </c>
      <c r="C54" s="30">
        <v>42.12</v>
      </c>
      <c r="D54" s="31">
        <f t="shared" si="0"/>
        <v>-7.7125328659071055E-2</v>
      </c>
      <c r="E54" s="31">
        <f>'S&amp;P 500'!D53:D314</f>
        <v>7.1012777469143E-3</v>
      </c>
      <c r="G54" s="35">
        <v>43675</v>
      </c>
      <c r="H54" s="4">
        <v>3024.47</v>
      </c>
      <c r="I54" s="4">
        <v>2932.05</v>
      </c>
      <c r="J54" s="5">
        <f t="shared" si="1"/>
        <v>-3.0557419977714981E-2</v>
      </c>
    </row>
    <row r="55" spans="1:10">
      <c r="A55" s="29">
        <v>43682</v>
      </c>
      <c r="B55" s="30">
        <v>40.93</v>
      </c>
      <c r="C55" s="30">
        <v>41.5</v>
      </c>
      <c r="D55" s="31">
        <f t="shared" si="0"/>
        <v>1.3926215489860744E-2</v>
      </c>
      <c r="E55" s="31">
        <f>'S&amp;P 500'!D54:D315</f>
        <v>-6.3259570632975218E-3</v>
      </c>
      <c r="G55" s="35">
        <v>43682</v>
      </c>
      <c r="H55" s="4">
        <v>2898.07</v>
      </c>
      <c r="I55" s="4">
        <v>2918.65</v>
      </c>
      <c r="J55" s="5">
        <f t="shared" si="1"/>
        <v>7.1012777469143E-3</v>
      </c>
    </row>
    <row r="56" spans="1:10">
      <c r="A56" s="29">
        <v>43689</v>
      </c>
      <c r="B56" s="30">
        <v>40.770000000000003</v>
      </c>
      <c r="C56" s="30">
        <v>39.94</v>
      </c>
      <c r="D56" s="31">
        <f t="shared" si="0"/>
        <v>-2.0358106450821815E-2</v>
      </c>
      <c r="E56" s="31">
        <f>'S&amp;P 500'!D55:D316</f>
        <v>-2.2780317695676611E-2</v>
      </c>
      <c r="G56" s="35">
        <v>43689</v>
      </c>
      <c r="H56" s="4">
        <v>2907.07</v>
      </c>
      <c r="I56" s="4">
        <v>2888.68</v>
      </c>
      <c r="J56" s="5">
        <f t="shared" si="1"/>
        <v>-6.3259570632975218E-3</v>
      </c>
    </row>
    <row r="57" spans="1:10">
      <c r="A57" s="29">
        <v>43696</v>
      </c>
      <c r="B57" s="30">
        <v>40.74</v>
      </c>
      <c r="C57" s="30">
        <v>39.33</v>
      </c>
      <c r="D57" s="31">
        <f t="shared" si="0"/>
        <v>-3.4609720176730578E-2</v>
      </c>
      <c r="E57" s="31">
        <f>'S&amp;P 500'!D56:D317</f>
        <v>2.0846269229427641E-2</v>
      </c>
      <c r="G57" s="35">
        <v>43696</v>
      </c>
      <c r="H57" s="4">
        <v>2913.48</v>
      </c>
      <c r="I57" s="4">
        <v>2847.11</v>
      </c>
      <c r="J57" s="5">
        <f t="shared" si="1"/>
        <v>-2.2780317695676611E-2</v>
      </c>
    </row>
    <row r="58" spans="1:10">
      <c r="A58" s="29">
        <v>43703</v>
      </c>
      <c r="B58" s="30">
        <v>39.840000000000003</v>
      </c>
      <c r="C58" s="30">
        <v>41.49</v>
      </c>
      <c r="D58" s="31">
        <f t="shared" si="0"/>
        <v>4.141566265060237E-2</v>
      </c>
      <c r="E58" s="31">
        <f>'S&amp;P 500'!D57:D318</f>
        <v>2.3960041388651057E-2</v>
      </c>
      <c r="G58" s="35">
        <v>43703</v>
      </c>
      <c r="H58" s="4">
        <v>2866.7</v>
      </c>
      <c r="I58" s="4">
        <v>2926.46</v>
      </c>
      <c r="J58" s="5">
        <f t="shared" si="1"/>
        <v>2.0846269229427641E-2</v>
      </c>
    </row>
    <row r="59" spans="1:10">
      <c r="A59" s="29">
        <v>43710</v>
      </c>
      <c r="B59" s="30">
        <v>41.04</v>
      </c>
      <c r="C59" s="30">
        <v>42.18</v>
      </c>
      <c r="D59" s="31">
        <f t="shared" si="0"/>
        <v>2.7777777777777794E-2</v>
      </c>
      <c r="E59" s="31">
        <f>'S&amp;P 500'!D58:D319</f>
        <v>6.3444685001823823E-3</v>
      </c>
      <c r="G59" s="35">
        <v>43710</v>
      </c>
      <c r="H59" s="4">
        <v>2909.01</v>
      </c>
      <c r="I59" s="4">
        <v>2978.71</v>
      </c>
      <c r="J59" s="5">
        <f t="shared" si="1"/>
        <v>2.3960041388651057E-2</v>
      </c>
    </row>
    <row r="60" spans="1:10">
      <c r="A60" s="29">
        <v>43717</v>
      </c>
      <c r="B60" s="30">
        <v>42.54</v>
      </c>
      <c r="C60" s="30">
        <v>45.16</v>
      </c>
      <c r="D60" s="31">
        <f t="shared" si="0"/>
        <v>6.158909261871174E-2</v>
      </c>
      <c r="E60" s="31">
        <f>'S&amp;P 500'!D59:D320</f>
        <v>-1.4483999185691181E-3</v>
      </c>
      <c r="G60" s="35">
        <v>43717</v>
      </c>
      <c r="H60" s="4">
        <v>2988.43</v>
      </c>
      <c r="I60" s="4">
        <v>3007.39</v>
      </c>
      <c r="J60" s="5">
        <f t="shared" si="1"/>
        <v>6.3444685001823823E-3</v>
      </c>
    </row>
    <row r="61" spans="1:10">
      <c r="A61" s="29">
        <v>43724</v>
      </c>
      <c r="B61" s="30">
        <v>44.49</v>
      </c>
      <c r="C61" s="30">
        <v>43.67</v>
      </c>
      <c r="D61" s="31">
        <f t="shared" si="0"/>
        <v>-1.8431108114182967E-2</v>
      </c>
      <c r="E61" s="31">
        <f>'S&amp;P 500'!D60:D321</f>
        <v>-7.2766884531590536E-3</v>
      </c>
      <c r="G61" s="35">
        <v>43724</v>
      </c>
      <c r="H61" s="4">
        <v>2996.41</v>
      </c>
      <c r="I61" s="4">
        <v>2992.07</v>
      </c>
      <c r="J61" s="5">
        <f t="shared" si="1"/>
        <v>-1.4483999185691181E-3</v>
      </c>
    </row>
    <row r="62" spans="1:10">
      <c r="A62" s="29">
        <v>43731</v>
      </c>
      <c r="B62" s="30">
        <v>43.27</v>
      </c>
      <c r="C62" s="30">
        <v>42.84</v>
      </c>
      <c r="D62" s="31">
        <f t="shared" si="0"/>
        <v>-9.9376011093136041E-3</v>
      </c>
      <c r="E62" s="31">
        <f>'S&amp;P 500'!D61:D322</f>
        <v>-5.0757144253421541E-3</v>
      </c>
      <c r="G62" s="35">
        <v>43731</v>
      </c>
      <c r="H62" s="4">
        <v>2983.5</v>
      </c>
      <c r="I62" s="4">
        <v>2961.79</v>
      </c>
      <c r="J62" s="5">
        <f t="shared" si="1"/>
        <v>-7.2766884531590536E-3</v>
      </c>
    </row>
    <row r="63" spans="1:10">
      <c r="A63" s="29">
        <v>43738</v>
      </c>
      <c r="B63" s="30">
        <v>43.07</v>
      </c>
      <c r="C63" s="30">
        <v>40.78</v>
      </c>
      <c r="D63" s="31">
        <f t="shared" si="0"/>
        <v>-5.3169259345251893E-2</v>
      </c>
      <c r="E63" s="31">
        <f>'S&amp;P 500'!D62:D323</f>
        <v>8.8444177255173548E-3</v>
      </c>
      <c r="G63" s="35">
        <v>43738</v>
      </c>
      <c r="H63" s="4">
        <v>2967.07</v>
      </c>
      <c r="I63" s="4">
        <v>2952.01</v>
      </c>
      <c r="J63" s="5">
        <f t="shared" si="1"/>
        <v>-5.0757144253421541E-3</v>
      </c>
    </row>
    <row r="64" spans="1:10">
      <c r="A64" s="29">
        <v>43745</v>
      </c>
      <c r="B64" s="30">
        <v>40.6</v>
      </c>
      <c r="C64" s="30">
        <v>41.93</v>
      </c>
      <c r="D64" s="31">
        <f t="shared" si="0"/>
        <v>3.2758620689655127E-2</v>
      </c>
      <c r="E64" s="31">
        <f>'S&amp;P 500'!D63:D324</f>
        <v>6.8750189661508573E-3</v>
      </c>
      <c r="G64" s="35">
        <v>43745</v>
      </c>
      <c r="H64" s="4">
        <v>2944.23</v>
      </c>
      <c r="I64" s="4">
        <v>2970.27</v>
      </c>
      <c r="J64" s="5">
        <f t="shared" si="1"/>
        <v>8.8444177255173548E-3</v>
      </c>
    </row>
    <row r="65" spans="1:10">
      <c r="A65" s="29">
        <v>43752</v>
      </c>
      <c r="B65" s="30">
        <v>41.77</v>
      </c>
      <c r="C65" s="30">
        <v>43.66</v>
      </c>
      <c r="D65" s="31">
        <f t="shared" si="0"/>
        <v>4.5247785491979733E-2</v>
      </c>
      <c r="E65" s="31">
        <f>'S&amp;P 500'!D64:D325</f>
        <v>8.7002082443400804E-3</v>
      </c>
      <c r="G65" s="35">
        <v>43752</v>
      </c>
      <c r="H65" s="4">
        <v>2965.81</v>
      </c>
      <c r="I65" s="4">
        <v>2986.2</v>
      </c>
      <c r="J65" s="5">
        <f t="shared" si="1"/>
        <v>6.8750189661508573E-3</v>
      </c>
    </row>
    <row r="66" spans="1:10">
      <c r="A66" s="29">
        <v>43759</v>
      </c>
      <c r="B66" s="30">
        <v>44.08</v>
      </c>
      <c r="C66" s="30">
        <v>46.37</v>
      </c>
      <c r="D66" s="31">
        <f t="shared" si="0"/>
        <v>5.1950998185117947E-2</v>
      </c>
      <c r="E66" s="31">
        <f>'S&amp;P 500'!D65:D326</f>
        <v>1.1473820297349698E-2</v>
      </c>
      <c r="G66" s="35">
        <v>43759</v>
      </c>
      <c r="H66" s="4">
        <v>2996.48</v>
      </c>
      <c r="I66" s="4">
        <v>3022.55</v>
      </c>
      <c r="J66" s="5">
        <f t="shared" si="1"/>
        <v>8.7002082443400804E-3</v>
      </c>
    </row>
    <row r="67" spans="1:10">
      <c r="A67" s="29">
        <v>43766</v>
      </c>
      <c r="B67" s="30">
        <v>46.49</v>
      </c>
      <c r="C67" s="30">
        <v>47.33</v>
      </c>
      <c r="D67" s="31">
        <f t="shared" si="0"/>
        <v>1.8068401806840099E-2</v>
      </c>
      <c r="E67" s="31">
        <f>'S&amp;P 500'!D66:D327</f>
        <v>4.5859640917712118E-3</v>
      </c>
      <c r="G67" s="35">
        <v>43766</v>
      </c>
      <c r="H67" s="4">
        <v>3032.12</v>
      </c>
      <c r="I67" s="4">
        <v>3066.91</v>
      </c>
      <c r="J67" s="5">
        <f t="shared" si="1"/>
        <v>1.1473820297349698E-2</v>
      </c>
    </row>
    <row r="68" spans="1:10">
      <c r="A68" s="29">
        <v>43773</v>
      </c>
      <c r="B68" s="30">
        <v>47.99</v>
      </c>
      <c r="C68" s="30">
        <v>49.15</v>
      </c>
      <c r="D68" s="31">
        <f t="shared" ref="D68:D131" si="2">(C68-B68)/B68</f>
        <v>2.4171702438007845E-2</v>
      </c>
      <c r="E68" s="31">
        <f>'S&amp;P 500'!D67:D328</f>
        <v>1.3027824940834296E-2</v>
      </c>
      <c r="G68" s="35">
        <v>43773</v>
      </c>
      <c r="H68" s="4">
        <v>3078.96</v>
      </c>
      <c r="I68" s="4">
        <v>3093.08</v>
      </c>
      <c r="J68" s="5">
        <f t="shared" si="1"/>
        <v>4.5859640917712118E-3</v>
      </c>
    </row>
    <row r="69" spans="1:10">
      <c r="A69" s="29">
        <v>43780</v>
      </c>
      <c r="B69" s="30">
        <v>48.86</v>
      </c>
      <c r="C69" s="30">
        <v>48.99</v>
      </c>
      <c r="D69" s="31">
        <f t="shared" si="2"/>
        <v>2.6606631191158935E-3</v>
      </c>
      <c r="E69" s="31">
        <f>'S&amp;P 500'!D68:D329</f>
        <v>-2.4439448220121463E-3</v>
      </c>
      <c r="G69" s="35">
        <v>43780</v>
      </c>
      <c r="H69" s="4">
        <v>3080.33</v>
      </c>
      <c r="I69" s="4">
        <v>3120.46</v>
      </c>
      <c r="J69" s="5">
        <f t="shared" si="1"/>
        <v>1.3027824940834296E-2</v>
      </c>
    </row>
    <row r="70" spans="1:10">
      <c r="A70" s="29">
        <v>43787</v>
      </c>
      <c r="B70" s="30">
        <v>48.84</v>
      </c>
      <c r="C70" s="30">
        <v>49.25</v>
      </c>
      <c r="D70" s="31">
        <f t="shared" si="2"/>
        <v>8.3947583947583237E-3</v>
      </c>
      <c r="E70" s="31">
        <f>'S&amp;P 500'!D69:D330</f>
        <v>7.5510675425990437E-3</v>
      </c>
      <c r="G70" s="35">
        <v>43787</v>
      </c>
      <c r="H70" s="4">
        <v>3117.91</v>
      </c>
      <c r="I70" s="4">
        <v>3110.29</v>
      </c>
      <c r="J70" s="5">
        <f t="shared" si="1"/>
        <v>-2.4439448220121463E-3</v>
      </c>
    </row>
    <row r="71" spans="1:10">
      <c r="A71" s="29">
        <v>43794</v>
      </c>
      <c r="B71" s="30">
        <v>49.35</v>
      </c>
      <c r="C71" s="30">
        <v>49.48</v>
      </c>
      <c r="D71" s="31">
        <f t="shared" si="2"/>
        <v>2.6342451874365844E-3</v>
      </c>
      <c r="E71" s="31">
        <f>'S&amp;P 500'!D70:D331</f>
        <v>6.5524754679769889E-4</v>
      </c>
      <c r="G71" s="35">
        <v>43794</v>
      </c>
      <c r="H71" s="4">
        <v>3117.44</v>
      </c>
      <c r="I71" s="4">
        <v>3140.98</v>
      </c>
      <c r="J71" s="5">
        <f t="shared" si="1"/>
        <v>7.5510675425990437E-3</v>
      </c>
    </row>
    <row r="72" spans="1:10">
      <c r="A72" s="29">
        <v>43801</v>
      </c>
      <c r="B72" s="30">
        <v>49.58</v>
      </c>
      <c r="C72" s="30">
        <v>49.8</v>
      </c>
      <c r="D72" s="31">
        <f t="shared" si="2"/>
        <v>4.4372730939894892E-3</v>
      </c>
      <c r="E72" s="31">
        <f>'S&amp;P 500'!D71:D332</f>
        <v>8.5745386490804973E-3</v>
      </c>
      <c r="G72" s="35">
        <v>43801</v>
      </c>
      <c r="H72" s="4">
        <v>3143.85</v>
      </c>
      <c r="I72" s="4">
        <v>3145.91</v>
      </c>
      <c r="J72" s="5">
        <f t="shared" si="1"/>
        <v>6.5524754679769889E-4</v>
      </c>
    </row>
    <row r="73" spans="1:10">
      <c r="A73" s="29">
        <v>43808</v>
      </c>
      <c r="B73" s="30">
        <v>49.53</v>
      </c>
      <c r="C73" s="30">
        <v>50.24</v>
      </c>
      <c r="D73" s="31">
        <f t="shared" si="2"/>
        <v>1.4334746618211202E-2</v>
      </c>
      <c r="E73" s="31">
        <f>'S&amp;P 500'!D72:D333</f>
        <v>1.180727659935347E-2</v>
      </c>
      <c r="G73" s="35">
        <v>43808</v>
      </c>
      <c r="H73" s="4">
        <v>3141.86</v>
      </c>
      <c r="I73" s="4">
        <v>3168.8</v>
      </c>
      <c r="J73" s="5">
        <f t="shared" si="1"/>
        <v>8.5745386490804973E-3</v>
      </c>
    </row>
    <row r="74" spans="1:10">
      <c r="A74" s="29">
        <v>43815</v>
      </c>
      <c r="B74" s="30">
        <v>50.77</v>
      </c>
      <c r="C74" s="30">
        <v>50.69</v>
      </c>
      <c r="D74" s="31">
        <f t="shared" si="2"/>
        <v>-1.5757337010046365E-3</v>
      </c>
      <c r="E74" s="31">
        <f>'S&amp;P 500'!D73:D334</f>
        <v>4.330373056834147E-3</v>
      </c>
      <c r="G74" s="35">
        <v>43815</v>
      </c>
      <c r="H74" s="4">
        <v>3183.63</v>
      </c>
      <c r="I74" s="4">
        <v>3221.22</v>
      </c>
      <c r="J74" s="5">
        <f t="shared" si="1"/>
        <v>1.180727659935347E-2</v>
      </c>
    </row>
    <row r="75" spans="1:10">
      <c r="A75" s="29">
        <v>43822</v>
      </c>
      <c r="B75" s="30">
        <v>50.91</v>
      </c>
      <c r="C75" s="30">
        <v>51.09</v>
      </c>
      <c r="D75" s="31">
        <f t="shared" si="2"/>
        <v>3.5356511490867576E-3</v>
      </c>
      <c r="E75" s="31">
        <f>'S&amp;P 500'!D74:D335</f>
        <v>-1.6172390273110427E-3</v>
      </c>
      <c r="G75" s="35">
        <v>43822</v>
      </c>
      <c r="H75" s="4">
        <v>3226.05</v>
      </c>
      <c r="I75" s="4">
        <v>3240.02</v>
      </c>
      <c r="J75" s="5">
        <f t="shared" si="1"/>
        <v>4.330373056834147E-3</v>
      </c>
    </row>
    <row r="76" spans="1:10">
      <c r="A76" s="29">
        <v>43829</v>
      </c>
      <c r="B76" s="30">
        <v>51.36</v>
      </c>
      <c r="C76" s="30">
        <v>51.2</v>
      </c>
      <c r="D76" s="31">
        <f t="shared" si="2"/>
        <v>-3.1152647975077217E-3</v>
      </c>
      <c r="E76" s="31">
        <f>'S&amp;P 500'!D75:D336</f>
        <v>1.4856023993411051E-2</v>
      </c>
      <c r="G76" s="35">
        <v>43829</v>
      </c>
      <c r="H76" s="4">
        <v>3240.09</v>
      </c>
      <c r="I76" s="4">
        <v>3234.85</v>
      </c>
      <c r="J76" s="5">
        <f t="shared" si="1"/>
        <v>-1.6172390273110427E-3</v>
      </c>
    </row>
    <row r="77" spans="1:10">
      <c r="A77" s="29">
        <v>43836</v>
      </c>
      <c r="B77" s="30">
        <v>50.67</v>
      </c>
      <c r="C77" s="30">
        <v>52.21</v>
      </c>
      <c r="D77" s="31">
        <f t="shared" si="2"/>
        <v>3.0392737319913144E-2</v>
      </c>
      <c r="E77" s="31">
        <f>'S&amp;P 500'!D76:D337</f>
        <v>1.7880671205363217E-2</v>
      </c>
      <c r="G77" s="35">
        <v>43836</v>
      </c>
      <c r="H77" s="4">
        <v>3217.55</v>
      </c>
      <c r="I77" s="4">
        <v>3265.35</v>
      </c>
      <c r="J77" s="5">
        <f t="shared" si="1"/>
        <v>1.4856023993411051E-2</v>
      </c>
    </row>
    <row r="78" spans="1:10">
      <c r="A78" s="29">
        <v>43843</v>
      </c>
      <c r="B78" s="30">
        <v>52.21</v>
      </c>
      <c r="C78" s="30">
        <v>57.51</v>
      </c>
      <c r="D78" s="31">
        <f t="shared" si="2"/>
        <v>0.10151312009193636</v>
      </c>
      <c r="E78" s="31">
        <f>'S&amp;P 500'!D77:D338</f>
        <v>-7.696407439860645E-3</v>
      </c>
      <c r="G78" s="35">
        <v>43843</v>
      </c>
      <c r="H78" s="4">
        <v>3271.13</v>
      </c>
      <c r="I78" s="4">
        <v>3329.62</v>
      </c>
      <c r="J78" s="5">
        <f t="shared" si="1"/>
        <v>1.7880671205363217E-2</v>
      </c>
    </row>
    <row r="79" spans="1:10">
      <c r="A79" s="29">
        <v>43850</v>
      </c>
      <c r="B79" s="30">
        <v>55.88</v>
      </c>
      <c r="C79" s="30">
        <v>54.55</v>
      </c>
      <c r="D79" s="31">
        <f t="shared" si="2"/>
        <v>-2.3801002147458936E-2</v>
      </c>
      <c r="E79" s="31">
        <f>'S&amp;P 500'!D78:D339</f>
        <v>-6.6642850983628385E-3</v>
      </c>
      <c r="G79" s="35">
        <v>43850</v>
      </c>
      <c r="H79" s="4">
        <v>3321.03</v>
      </c>
      <c r="I79" s="4">
        <v>3295.47</v>
      </c>
      <c r="J79" s="5">
        <f t="shared" si="1"/>
        <v>-7.696407439860645E-3</v>
      </c>
    </row>
    <row r="80" spans="1:10">
      <c r="A80" s="29">
        <v>43857</v>
      </c>
      <c r="B80" s="30">
        <v>53</v>
      </c>
      <c r="C80" s="30">
        <v>52.26</v>
      </c>
      <c r="D80" s="31">
        <f t="shared" si="2"/>
        <v>-1.3962264150943433E-2</v>
      </c>
      <c r="E80" s="31">
        <f>'S&amp;P 500'!D79:D340</f>
        <v>2.8448600903679677E-2</v>
      </c>
      <c r="G80" s="35">
        <v>43857</v>
      </c>
      <c r="H80" s="4">
        <v>3247.16</v>
      </c>
      <c r="I80" s="4">
        <v>3225.52</v>
      </c>
      <c r="J80" s="5">
        <f t="shared" si="1"/>
        <v>-6.6642850983628385E-3</v>
      </c>
    </row>
    <row r="81" spans="1:10">
      <c r="A81" s="29">
        <v>43864</v>
      </c>
      <c r="B81" s="30">
        <v>52.64</v>
      </c>
      <c r="C81" s="30">
        <v>55.03</v>
      </c>
      <c r="D81" s="31">
        <f t="shared" si="2"/>
        <v>4.5402735562310038E-2</v>
      </c>
      <c r="E81" s="31">
        <f>'S&amp;P 500'!D80:D341</f>
        <v>1.8648215340477493E-2</v>
      </c>
      <c r="G81" s="35">
        <v>43864</v>
      </c>
      <c r="H81" s="4">
        <v>3235.66</v>
      </c>
      <c r="I81" s="4">
        <v>3327.71</v>
      </c>
      <c r="J81" s="5">
        <f t="shared" si="1"/>
        <v>2.8448600903679677E-2</v>
      </c>
    </row>
    <row r="82" spans="1:10">
      <c r="A82" s="29">
        <v>43871</v>
      </c>
      <c r="B82" s="30">
        <v>54.68</v>
      </c>
      <c r="C82" s="30">
        <v>55.84</v>
      </c>
      <c r="D82" s="31">
        <f t="shared" si="2"/>
        <v>2.121433796634974E-2</v>
      </c>
      <c r="E82" s="31">
        <f>'S&amp;P 500'!D81:D342</f>
        <v>-9.2875121696388181E-3</v>
      </c>
      <c r="G82" s="35">
        <v>43871</v>
      </c>
      <c r="H82" s="4">
        <v>3318.28</v>
      </c>
      <c r="I82" s="4">
        <v>3380.16</v>
      </c>
      <c r="J82" s="5">
        <f t="shared" si="1"/>
        <v>1.8648215340477493E-2</v>
      </c>
    </row>
    <row r="83" spans="1:10">
      <c r="A83" s="29">
        <v>43878</v>
      </c>
      <c r="B83" s="30">
        <v>55.8</v>
      </c>
      <c r="C83" s="30">
        <v>52.42</v>
      </c>
      <c r="D83" s="31">
        <f t="shared" si="2"/>
        <v>-6.0573476702508885E-2</v>
      </c>
      <c r="E83" s="31">
        <f>'S&amp;P 500'!D82:D343</f>
        <v>-9.3132695442364286E-2</v>
      </c>
      <c r="G83" s="35">
        <v>43878</v>
      </c>
      <c r="H83" s="4">
        <v>3369.04</v>
      </c>
      <c r="I83" s="4">
        <v>3337.75</v>
      </c>
      <c r="J83" s="5">
        <f t="shared" si="1"/>
        <v>-9.2875121696388181E-3</v>
      </c>
    </row>
    <row r="84" spans="1:10">
      <c r="A84" s="29">
        <v>43885</v>
      </c>
      <c r="B84" s="30">
        <v>50.31</v>
      </c>
      <c r="C84" s="30">
        <v>45.03</v>
      </c>
      <c r="D84" s="31">
        <f t="shared" si="2"/>
        <v>-0.10494931425163985</v>
      </c>
      <c r="E84" s="31">
        <f>'S&amp;P 500'!D83:D344</f>
        <v>-6.4217222319361636E-4</v>
      </c>
      <c r="G84" s="35">
        <v>43885</v>
      </c>
      <c r="H84" s="4">
        <v>3257.61</v>
      </c>
      <c r="I84" s="4">
        <v>2954.22</v>
      </c>
      <c r="J84" s="5">
        <f t="shared" si="1"/>
        <v>-9.3132695442364286E-2</v>
      </c>
    </row>
    <row r="85" spans="1:10">
      <c r="A85" s="29">
        <v>43892</v>
      </c>
      <c r="B85" s="30">
        <v>45.11</v>
      </c>
      <c r="C85" s="30">
        <v>41.84</v>
      </c>
      <c r="D85" s="31">
        <f t="shared" si="2"/>
        <v>-7.2489470183994598E-2</v>
      </c>
      <c r="E85" s="31">
        <f>'S&amp;P 500'!D84:D345</f>
        <v>-5.3378446797886753E-2</v>
      </c>
      <c r="G85" s="35">
        <v>43892</v>
      </c>
      <c r="H85" s="4">
        <v>2974.28</v>
      </c>
      <c r="I85" s="4">
        <v>2972.37</v>
      </c>
      <c r="J85" s="5">
        <f t="shared" si="1"/>
        <v>-6.4217222319361636E-4</v>
      </c>
    </row>
    <row r="86" spans="1:10">
      <c r="A86" s="29">
        <v>43899</v>
      </c>
      <c r="B86" s="30">
        <v>36.85</v>
      </c>
      <c r="C86" s="30">
        <v>37.5</v>
      </c>
      <c r="D86" s="31">
        <f t="shared" si="2"/>
        <v>1.7639077340569839E-2</v>
      </c>
      <c r="E86" s="31">
        <f>'S&amp;P 500'!D85:D346</f>
        <v>-8.1189034477535213E-2</v>
      </c>
      <c r="G86" s="35">
        <v>43899</v>
      </c>
      <c r="H86" s="4">
        <v>2863.89</v>
      </c>
      <c r="I86" s="4">
        <v>2711.02</v>
      </c>
      <c r="J86" s="5">
        <f t="shared" si="1"/>
        <v>-5.3378446797886753E-2</v>
      </c>
    </row>
    <row r="87" spans="1:10">
      <c r="A87" s="29">
        <v>43906</v>
      </c>
      <c r="B87" s="30">
        <v>31.07</v>
      </c>
      <c r="C87" s="30">
        <v>29.67</v>
      </c>
      <c r="D87" s="31">
        <f t="shared" si="2"/>
        <v>-4.5059542967492712E-2</v>
      </c>
      <c r="E87" s="31">
        <f>'S&amp;P 500'!D86:D347</f>
        <v>0.10946824347036498</v>
      </c>
      <c r="G87" s="35">
        <v>43906</v>
      </c>
      <c r="H87" s="4">
        <v>2508.59</v>
      </c>
      <c r="I87" s="4">
        <v>2304.92</v>
      </c>
      <c r="J87" s="5">
        <f t="shared" si="1"/>
        <v>-8.1189034477535213E-2</v>
      </c>
    </row>
    <row r="88" spans="1:10">
      <c r="A88" s="29">
        <v>43913</v>
      </c>
      <c r="B88" s="30">
        <v>29.15</v>
      </c>
      <c r="C88" s="30">
        <v>34.01</v>
      </c>
      <c r="D88" s="31">
        <f t="shared" si="2"/>
        <v>0.16672384219554029</v>
      </c>
      <c r="E88" s="31">
        <f>'S&amp;P 500'!D87:D348</f>
        <v>-2.7483606749564252E-2</v>
      </c>
      <c r="G88" s="35">
        <v>43913</v>
      </c>
      <c r="H88" s="4">
        <v>2290.71</v>
      </c>
      <c r="I88" s="4">
        <v>2541.4699999999998</v>
      </c>
      <c r="J88" s="5">
        <f t="shared" si="1"/>
        <v>0.10946824347036498</v>
      </c>
    </row>
    <row r="89" spans="1:10">
      <c r="A89" s="29">
        <v>43920</v>
      </c>
      <c r="B89" s="30">
        <v>33.53</v>
      </c>
      <c r="C89" s="30">
        <v>33.85</v>
      </c>
      <c r="D89" s="31">
        <f t="shared" si="2"/>
        <v>9.5436922159260439E-3</v>
      </c>
      <c r="E89" s="31">
        <f>'S&amp;P 500'!D88:D349</f>
        <v>8.2046946026032838E-2</v>
      </c>
      <c r="G89" s="35">
        <v>43920</v>
      </c>
      <c r="H89" s="4">
        <v>2558.98</v>
      </c>
      <c r="I89" s="4">
        <v>2488.65</v>
      </c>
      <c r="J89" s="5">
        <f t="shared" si="1"/>
        <v>-2.7483606749564252E-2</v>
      </c>
    </row>
    <row r="90" spans="1:10">
      <c r="A90" s="29">
        <v>43927</v>
      </c>
      <c r="B90" s="30">
        <v>35.93</v>
      </c>
      <c r="C90" s="30">
        <v>41.08</v>
      </c>
      <c r="D90" s="31">
        <f t="shared" si="2"/>
        <v>0.14333426106317837</v>
      </c>
      <c r="E90" s="31">
        <f>'S&amp;P 500'!D89:D350</f>
        <v>3.3100206292273712E-2</v>
      </c>
      <c r="G90" s="35">
        <v>43927</v>
      </c>
      <c r="H90" s="4">
        <v>2578.2800000000002</v>
      </c>
      <c r="I90" s="4">
        <v>2789.82</v>
      </c>
      <c r="J90" s="5">
        <f t="shared" si="1"/>
        <v>8.2046946026032838E-2</v>
      </c>
    </row>
    <row r="91" spans="1:10">
      <c r="A91" s="29">
        <v>43934</v>
      </c>
      <c r="B91" s="30">
        <v>40.880000000000003</v>
      </c>
      <c r="C91" s="30">
        <v>39.090000000000003</v>
      </c>
      <c r="D91" s="31">
        <f t="shared" si="2"/>
        <v>-4.3786692759295476E-2</v>
      </c>
      <c r="E91" s="31">
        <f>'S&amp;P 500'!D90:D351</f>
        <v>-3.1205853205980099E-3</v>
      </c>
      <c r="G91" s="35">
        <v>43934</v>
      </c>
      <c r="H91" s="4">
        <v>2782.46</v>
      </c>
      <c r="I91" s="4">
        <v>2874.56</v>
      </c>
      <c r="J91" s="5">
        <f t="shared" si="1"/>
        <v>3.3100206292273712E-2</v>
      </c>
    </row>
    <row r="92" spans="1:10">
      <c r="A92" s="29">
        <v>43941</v>
      </c>
      <c r="B92" s="30">
        <v>38.19</v>
      </c>
      <c r="C92" s="30">
        <v>37.97</v>
      </c>
      <c r="D92" s="31">
        <f t="shared" si="2"/>
        <v>-5.7606703325477583E-3</v>
      </c>
      <c r="E92" s="31">
        <f>'S&amp;P 500'!D91:D352</f>
        <v>-8.3863170616362958E-3</v>
      </c>
      <c r="G92" s="35">
        <v>43941</v>
      </c>
      <c r="H92" s="4">
        <v>2845.62</v>
      </c>
      <c r="I92" s="4">
        <v>2836.74</v>
      </c>
      <c r="J92" s="5">
        <f t="shared" si="1"/>
        <v>-3.1205853205980099E-3</v>
      </c>
    </row>
    <row r="93" spans="1:10">
      <c r="A93" s="29">
        <v>43948</v>
      </c>
      <c r="B93" s="30">
        <v>38.64</v>
      </c>
      <c r="C93" s="30">
        <v>38.4</v>
      </c>
      <c r="D93" s="31">
        <f t="shared" si="2"/>
        <v>-6.2111801242236541E-3</v>
      </c>
      <c r="E93" s="31">
        <f>'S&amp;P 500'!D92:D353</f>
        <v>4.0777830274137554E-2</v>
      </c>
      <c r="G93" s="35">
        <v>43948</v>
      </c>
      <c r="H93" s="4">
        <v>2854.65</v>
      </c>
      <c r="I93" s="4">
        <v>2830.71</v>
      </c>
      <c r="J93" s="5">
        <f t="shared" si="1"/>
        <v>-8.3863170616362958E-3</v>
      </c>
    </row>
    <row r="94" spans="1:10">
      <c r="A94" s="29">
        <v>43955</v>
      </c>
      <c r="B94" s="30">
        <v>38</v>
      </c>
      <c r="C94" s="30">
        <v>40.08</v>
      </c>
      <c r="D94" s="31">
        <f t="shared" si="2"/>
        <v>5.4736842105263112E-2</v>
      </c>
      <c r="E94" s="31">
        <f>'S&amp;P 500'!D93:D354</f>
        <v>-1.7753630644906881E-2</v>
      </c>
      <c r="G94" s="35">
        <v>43955</v>
      </c>
      <c r="H94" s="4">
        <v>2815.01</v>
      </c>
      <c r="I94" s="4">
        <v>2929.8</v>
      </c>
      <c r="J94" s="5">
        <f t="shared" si="1"/>
        <v>4.0777830274137554E-2</v>
      </c>
    </row>
    <row r="95" spans="1:10">
      <c r="A95" s="29">
        <v>43962</v>
      </c>
      <c r="B95" s="30">
        <v>39.380000000000003</v>
      </c>
      <c r="C95" s="30">
        <v>37.29</v>
      </c>
      <c r="D95" s="31">
        <f t="shared" si="2"/>
        <v>-5.3072625698324105E-2</v>
      </c>
      <c r="E95" s="31">
        <f>'S&amp;P 500'!D94:D355</f>
        <v>1.4273163432697415E-2</v>
      </c>
      <c r="G95" s="35">
        <v>43962</v>
      </c>
      <c r="H95" s="4">
        <v>2915.46</v>
      </c>
      <c r="I95" s="4">
        <v>2863.7</v>
      </c>
      <c r="J95" s="5">
        <f t="shared" si="1"/>
        <v>-1.7753630644906881E-2</v>
      </c>
    </row>
    <row r="96" spans="1:10">
      <c r="A96" s="29">
        <v>43969</v>
      </c>
      <c r="B96" s="30">
        <v>38.92</v>
      </c>
      <c r="C96" s="30">
        <v>40.130000000000003</v>
      </c>
      <c r="D96" s="31">
        <f t="shared" si="2"/>
        <v>3.1089414182939382E-2</v>
      </c>
      <c r="E96" s="31">
        <f>'S&amp;P 500'!D95:D356</f>
        <v>1.3391787169449556E-2</v>
      </c>
      <c r="G96" s="35">
        <v>43969</v>
      </c>
      <c r="H96" s="4">
        <v>2913.86</v>
      </c>
      <c r="I96" s="4">
        <v>2955.45</v>
      </c>
      <c r="J96" s="5">
        <f t="shared" si="1"/>
        <v>1.4273163432697415E-2</v>
      </c>
    </row>
    <row r="97" spans="1:10">
      <c r="A97" s="29">
        <v>43976</v>
      </c>
      <c r="B97" s="30">
        <v>41.87</v>
      </c>
      <c r="C97" s="30">
        <v>44.2</v>
      </c>
      <c r="D97" s="31">
        <f t="shared" si="2"/>
        <v>5.5648435634105695E-2</v>
      </c>
      <c r="E97" s="31">
        <f>'S&amp;P 500'!D96:D357</f>
        <v>5.1056674059984479E-2</v>
      </c>
      <c r="G97" s="35">
        <v>43976</v>
      </c>
      <c r="H97" s="4">
        <v>3004.08</v>
      </c>
      <c r="I97" s="4">
        <v>3044.31</v>
      </c>
      <c r="J97" s="5">
        <f t="shared" si="1"/>
        <v>1.3391787169449556E-2</v>
      </c>
    </row>
    <row r="98" spans="1:10">
      <c r="A98" s="29">
        <v>43983</v>
      </c>
      <c r="B98" s="30">
        <v>44.52</v>
      </c>
      <c r="C98" s="30">
        <v>49.53</v>
      </c>
      <c r="D98" s="31">
        <f t="shared" si="2"/>
        <v>0.11253369272237192</v>
      </c>
      <c r="E98" s="31">
        <f>'S&amp;P 500'!D97:D358</f>
        <v>-4.956686417160433E-2</v>
      </c>
      <c r="G98" s="35">
        <v>43983</v>
      </c>
      <c r="H98" s="4">
        <v>3038.78</v>
      </c>
      <c r="I98" s="4">
        <v>3193.93</v>
      </c>
      <c r="J98" s="5">
        <f t="shared" si="1"/>
        <v>5.1056674059984479E-2</v>
      </c>
    </row>
    <row r="99" spans="1:10">
      <c r="A99" s="29">
        <v>43990</v>
      </c>
      <c r="B99" s="30">
        <v>50.52</v>
      </c>
      <c r="C99" s="30">
        <v>46.28</v>
      </c>
      <c r="D99" s="31">
        <f t="shared" si="2"/>
        <v>-8.3927157561361876E-2</v>
      </c>
      <c r="E99" s="31">
        <f>'S&amp;P 500'!D98:D359</f>
        <v>3.4732243065576249E-2</v>
      </c>
      <c r="G99" s="35">
        <v>43990</v>
      </c>
      <c r="H99" s="4">
        <v>3199.92</v>
      </c>
      <c r="I99" s="4">
        <v>3041.31</v>
      </c>
      <c r="J99" s="5">
        <f t="shared" si="1"/>
        <v>-4.956686417160433E-2</v>
      </c>
    </row>
    <row r="100" spans="1:10">
      <c r="A100" s="29">
        <v>43997</v>
      </c>
      <c r="B100" s="30">
        <v>44.66</v>
      </c>
      <c r="C100" s="30">
        <v>46.93</v>
      </c>
      <c r="D100" s="31">
        <f t="shared" si="2"/>
        <v>5.0828481862964695E-2</v>
      </c>
      <c r="E100" s="31">
        <f>'S&amp;P 500'!D99:D360</f>
        <v>-2.7588368741153394E-2</v>
      </c>
      <c r="G100" s="35">
        <v>43997</v>
      </c>
      <c r="H100" s="4">
        <v>2993.76</v>
      </c>
      <c r="I100" s="4">
        <v>3097.74</v>
      </c>
      <c r="J100" s="5">
        <f t="shared" si="1"/>
        <v>3.4732243065576249E-2</v>
      </c>
    </row>
    <row r="101" spans="1:10">
      <c r="A101" s="29">
        <v>44004</v>
      </c>
      <c r="B101" s="30">
        <v>46.8</v>
      </c>
      <c r="C101" s="30">
        <v>47.05</v>
      </c>
      <c r="D101" s="31">
        <f t="shared" si="2"/>
        <v>5.341880341880342E-3</v>
      </c>
      <c r="E101" s="31">
        <f>'S&amp;P 500'!D100:D361</f>
        <v>3.691127314408385E-2</v>
      </c>
      <c r="G101" s="35">
        <v>44004</v>
      </c>
      <c r="H101" s="4">
        <v>3094.42</v>
      </c>
      <c r="I101" s="4">
        <v>3009.05</v>
      </c>
      <c r="J101" s="5">
        <f t="shared" si="1"/>
        <v>-2.7588368741153394E-2</v>
      </c>
    </row>
    <row r="102" spans="1:10">
      <c r="A102" s="29">
        <v>44011</v>
      </c>
      <c r="B102" s="30">
        <v>47.57</v>
      </c>
      <c r="C102" s="30">
        <v>47.79</v>
      </c>
      <c r="D102" s="31">
        <f t="shared" si="2"/>
        <v>4.6247635064115798E-3</v>
      </c>
      <c r="E102" s="31">
        <f>'S&amp;P 500'!D101:D362</f>
        <v>9.4286103654497681E-3</v>
      </c>
      <c r="G102" s="35">
        <v>44011</v>
      </c>
      <c r="H102" s="4">
        <v>3018.59</v>
      </c>
      <c r="I102" s="4">
        <v>3130.01</v>
      </c>
      <c r="J102" s="5">
        <f t="shared" si="1"/>
        <v>3.691127314408385E-2</v>
      </c>
    </row>
    <row r="103" spans="1:10">
      <c r="A103" s="29">
        <v>44018</v>
      </c>
      <c r="B103" s="30">
        <v>48.87</v>
      </c>
      <c r="C103" s="30">
        <v>49.8</v>
      </c>
      <c r="D103" s="31">
        <f t="shared" si="2"/>
        <v>1.9030079803560463E-2</v>
      </c>
      <c r="E103" s="31">
        <f>'S&amp;P 500'!D102:D363</f>
        <v>6.1308922086188459E-3</v>
      </c>
      <c r="G103" s="35">
        <v>44018</v>
      </c>
      <c r="H103" s="4">
        <v>3155.29</v>
      </c>
      <c r="I103" s="4">
        <v>3185.04</v>
      </c>
      <c r="J103" s="5">
        <f t="shared" si="1"/>
        <v>9.4286103654497681E-3</v>
      </c>
    </row>
    <row r="104" spans="1:10">
      <c r="A104" s="29">
        <v>44025</v>
      </c>
      <c r="B104" s="30">
        <v>51.03</v>
      </c>
      <c r="C104" s="30">
        <v>52.41</v>
      </c>
      <c r="D104" s="31">
        <f t="shared" si="2"/>
        <v>2.7042915931804731E-2</v>
      </c>
      <c r="E104" s="31">
        <f>'S&amp;P 500'!D103:D364</f>
        <v>-2.6858626240195064E-3</v>
      </c>
      <c r="G104" s="35">
        <v>44025</v>
      </c>
      <c r="H104" s="4">
        <v>3205.08</v>
      </c>
      <c r="I104" s="4">
        <v>3224.73</v>
      </c>
      <c r="J104" s="5">
        <f t="shared" si="1"/>
        <v>6.1308922086188459E-3</v>
      </c>
    </row>
    <row r="105" spans="1:10">
      <c r="A105" s="29">
        <v>44032</v>
      </c>
      <c r="B105" s="30">
        <v>51.76</v>
      </c>
      <c r="C105" s="30">
        <v>50.18</v>
      </c>
      <c r="D105" s="31">
        <f t="shared" si="2"/>
        <v>-3.0525502318392548E-2</v>
      </c>
      <c r="E105" s="31">
        <f>'S&amp;P 500'!D104:D365</f>
        <v>1.5926257205326894E-2</v>
      </c>
      <c r="G105" s="35">
        <v>44032</v>
      </c>
      <c r="H105" s="4">
        <v>3224.29</v>
      </c>
      <c r="I105" s="4">
        <v>3215.63</v>
      </c>
      <c r="J105" s="5">
        <f t="shared" si="1"/>
        <v>-2.6858626240195064E-3</v>
      </c>
    </row>
    <row r="106" spans="1:10">
      <c r="A106" s="29">
        <v>44039</v>
      </c>
      <c r="B106" s="30">
        <v>49.91</v>
      </c>
      <c r="C106" s="30">
        <v>48.88</v>
      </c>
      <c r="D106" s="31">
        <f t="shared" si="2"/>
        <v>-2.0637146864355721E-2</v>
      </c>
      <c r="E106" s="31">
        <f>'S&amp;P 500'!D105:D366</f>
        <v>1.9165151174177216E-2</v>
      </c>
      <c r="G106" s="35">
        <v>44039</v>
      </c>
      <c r="H106" s="4">
        <v>3219.84</v>
      </c>
      <c r="I106" s="4">
        <v>3271.12</v>
      </c>
      <c r="J106" s="5">
        <f t="shared" si="1"/>
        <v>1.5926257205326894E-2</v>
      </c>
    </row>
    <row r="107" spans="1:10">
      <c r="A107" s="29">
        <v>44046</v>
      </c>
      <c r="B107" s="30">
        <v>49.22</v>
      </c>
      <c r="C107" s="30">
        <v>50.35</v>
      </c>
      <c r="D107" s="31">
        <f t="shared" si="2"/>
        <v>2.2958147094677014E-2</v>
      </c>
      <c r="E107" s="31">
        <f>'S&amp;P 500'!D106:D367</f>
        <v>5.0088795127590686E-3</v>
      </c>
      <c r="G107" s="35">
        <v>44046</v>
      </c>
      <c r="H107" s="4">
        <v>3288.26</v>
      </c>
      <c r="I107" s="4">
        <v>3351.28</v>
      </c>
      <c r="J107" s="5">
        <f t="shared" si="1"/>
        <v>1.9165151174177216E-2</v>
      </c>
    </row>
    <row r="108" spans="1:10">
      <c r="A108" s="29">
        <v>44053</v>
      </c>
      <c r="B108" s="30">
        <v>50.5</v>
      </c>
      <c r="C108" s="30">
        <v>52.3</v>
      </c>
      <c r="D108" s="31">
        <f t="shared" si="2"/>
        <v>3.5643564356435585E-2</v>
      </c>
      <c r="E108" s="31">
        <f>'S&amp;P 500'!D107:D368</f>
        <v>4.8212584963588335E-3</v>
      </c>
      <c r="G108" s="35">
        <v>44053</v>
      </c>
      <c r="H108" s="4">
        <v>3356.04</v>
      </c>
      <c r="I108" s="4">
        <v>3372.85</v>
      </c>
      <c r="J108" s="5">
        <f t="shared" si="1"/>
        <v>5.0088795127590686E-3</v>
      </c>
    </row>
    <row r="109" spans="1:10">
      <c r="A109" s="29">
        <v>44060</v>
      </c>
      <c r="B109" s="30">
        <v>52.2</v>
      </c>
      <c r="C109" s="30">
        <v>51.1</v>
      </c>
      <c r="D109" s="31">
        <f t="shared" si="2"/>
        <v>-2.1072796934865926E-2</v>
      </c>
      <c r="E109" s="31">
        <f>'S&amp;P 500'!D108:D369</f>
        <v>2.6307089631928963E-2</v>
      </c>
      <c r="G109" s="35">
        <v>44060</v>
      </c>
      <c r="H109" s="4">
        <v>3380.86</v>
      </c>
      <c r="I109" s="4">
        <v>3397.16</v>
      </c>
      <c r="J109" s="5">
        <f t="shared" si="1"/>
        <v>4.8212584963588335E-3</v>
      </c>
    </row>
    <row r="110" spans="1:10">
      <c r="A110" s="29">
        <v>44067</v>
      </c>
      <c r="B110" s="30">
        <v>51.31</v>
      </c>
      <c r="C110" s="30">
        <v>52.89</v>
      </c>
      <c r="D110" s="31">
        <f t="shared" si="2"/>
        <v>3.079321769635545E-2</v>
      </c>
      <c r="E110" s="31">
        <f>'S&amp;P 500'!D109:D370</f>
        <v>-2.3583010658939571E-2</v>
      </c>
      <c r="G110" s="35">
        <v>44067</v>
      </c>
      <c r="H110" s="4">
        <v>3418.09</v>
      </c>
      <c r="I110" s="4">
        <v>3508.01</v>
      </c>
      <c r="J110" s="5">
        <f t="shared" si="1"/>
        <v>2.6307089631928963E-2</v>
      </c>
    </row>
    <row r="111" spans="1:10">
      <c r="A111" s="29">
        <v>44074</v>
      </c>
      <c r="B111" s="30">
        <v>52.89</v>
      </c>
      <c r="C111" s="30">
        <v>52.71</v>
      </c>
      <c r="D111" s="31">
        <f t="shared" si="2"/>
        <v>-3.4032898468519513E-3</v>
      </c>
      <c r="E111" s="31">
        <f>'S&amp;P 500'!D110:D371</f>
        <v>-9.1669928941718881E-3</v>
      </c>
      <c r="G111" s="35">
        <v>44074</v>
      </c>
      <c r="H111" s="4">
        <v>3509.73</v>
      </c>
      <c r="I111" s="4">
        <v>3426.96</v>
      </c>
      <c r="J111" s="5">
        <f t="shared" si="1"/>
        <v>-2.3583010658939571E-2</v>
      </c>
    </row>
    <row r="112" spans="1:10">
      <c r="A112" s="29">
        <v>44081</v>
      </c>
      <c r="B112" s="30">
        <v>52.29</v>
      </c>
      <c r="C112" s="30">
        <v>50.35</v>
      </c>
      <c r="D112" s="31">
        <f t="shared" si="2"/>
        <v>-3.710078408873585E-2</v>
      </c>
      <c r="E112" s="31">
        <f>'S&amp;P 500'!D111:D372</f>
        <v>-1.3108135427939489E-2</v>
      </c>
      <c r="G112" s="35">
        <v>44081</v>
      </c>
      <c r="H112" s="4">
        <v>3371.88</v>
      </c>
      <c r="I112" s="4">
        <v>3340.97</v>
      </c>
      <c r="J112" s="5">
        <f t="shared" si="1"/>
        <v>-9.1669928941718881E-3</v>
      </c>
    </row>
    <row r="113" spans="1:10">
      <c r="A113" s="29">
        <v>44088</v>
      </c>
      <c r="B113" s="30">
        <v>50.96</v>
      </c>
      <c r="C113" s="30">
        <v>50.08</v>
      </c>
      <c r="D113" s="31">
        <f t="shared" si="2"/>
        <v>-1.7268445839874462E-2</v>
      </c>
      <c r="E113" s="31">
        <f>'S&amp;P 500'!D112:D373</f>
        <v>3.9232157586050129E-3</v>
      </c>
      <c r="G113" s="35">
        <v>44088</v>
      </c>
      <c r="H113" s="4">
        <v>3363.56</v>
      </c>
      <c r="I113" s="4">
        <v>3319.47</v>
      </c>
      <c r="J113" s="5">
        <f t="shared" si="1"/>
        <v>-1.3108135427939489E-2</v>
      </c>
    </row>
    <row r="114" spans="1:10">
      <c r="A114" s="29">
        <v>44095</v>
      </c>
      <c r="B114" s="30">
        <v>48.86</v>
      </c>
      <c r="C114" s="30">
        <v>47.04</v>
      </c>
      <c r="D114" s="31">
        <f t="shared" si="2"/>
        <v>-3.7249283667621785E-2</v>
      </c>
      <c r="E114" s="31">
        <f>'S&amp;P 500'!D113:D374</f>
        <v>4.3552596058669974E-3</v>
      </c>
      <c r="G114" s="35">
        <v>44095</v>
      </c>
      <c r="H114" s="4">
        <v>3285.57</v>
      </c>
      <c r="I114" s="4">
        <v>3298.46</v>
      </c>
      <c r="J114" s="5">
        <f t="shared" si="1"/>
        <v>3.9232157586050129E-3</v>
      </c>
    </row>
    <row r="115" spans="1:10">
      <c r="A115" s="29">
        <v>44102</v>
      </c>
      <c r="B115" s="30">
        <v>47.89</v>
      </c>
      <c r="C115" s="30">
        <v>47.97</v>
      </c>
      <c r="D115" s="31">
        <f t="shared" si="2"/>
        <v>1.6704948841093819E-3</v>
      </c>
      <c r="E115" s="31">
        <f>'S&amp;P 500'!D114:D375</f>
        <v>3.2628806124842945E-2</v>
      </c>
      <c r="G115" s="35">
        <v>44102</v>
      </c>
      <c r="H115" s="4">
        <v>3333.9</v>
      </c>
      <c r="I115" s="4">
        <v>3348.42</v>
      </c>
      <c r="J115" s="5">
        <f t="shared" si="1"/>
        <v>4.3552596058669974E-3</v>
      </c>
    </row>
    <row r="116" spans="1:10">
      <c r="A116" s="29">
        <v>44109</v>
      </c>
      <c r="B116" s="30">
        <v>48.43</v>
      </c>
      <c r="C116" s="30">
        <v>48.83</v>
      </c>
      <c r="D116" s="31">
        <f t="shared" si="2"/>
        <v>8.2593433822010856E-3</v>
      </c>
      <c r="E116" s="31">
        <f>'S&amp;P 500'!D115:D376</f>
        <v>-4.6314021062736892E-3</v>
      </c>
      <c r="G116" s="35">
        <v>44109</v>
      </c>
      <c r="H116" s="4">
        <v>3367.27</v>
      </c>
      <c r="I116" s="4">
        <v>3477.14</v>
      </c>
      <c r="J116" s="5">
        <f t="shared" si="1"/>
        <v>3.2628806124842945E-2</v>
      </c>
    </row>
    <row r="117" spans="1:10">
      <c r="A117" s="29">
        <v>44116</v>
      </c>
      <c r="B117" s="30">
        <v>49.27</v>
      </c>
      <c r="C117" s="30">
        <v>51.85</v>
      </c>
      <c r="D117" s="31">
        <f t="shared" si="2"/>
        <v>5.2364522021514065E-2</v>
      </c>
      <c r="E117" s="31">
        <f>'S&amp;P 500'!D116:D377</f>
        <v>-8.091800575900341E-3</v>
      </c>
      <c r="G117" s="35">
        <v>44116</v>
      </c>
      <c r="H117" s="4">
        <v>3500.02</v>
      </c>
      <c r="I117" s="4">
        <v>3483.81</v>
      </c>
      <c r="J117" s="5">
        <f t="shared" si="1"/>
        <v>-4.6314021062736892E-3</v>
      </c>
    </row>
    <row r="118" spans="1:10">
      <c r="A118" s="29">
        <v>44123</v>
      </c>
      <c r="B118" s="30">
        <v>52.19</v>
      </c>
      <c r="C118" s="30">
        <v>51.87</v>
      </c>
      <c r="D118" s="31">
        <f t="shared" si="2"/>
        <v>-6.1314428051350888E-3</v>
      </c>
      <c r="E118" s="31">
        <f>'S&amp;P 500'!D117:D378</f>
        <v>-4.982245700902535E-2</v>
      </c>
      <c r="G118" s="35">
        <v>44123</v>
      </c>
      <c r="H118" s="4">
        <v>3493.66</v>
      </c>
      <c r="I118" s="4">
        <v>3465.39</v>
      </c>
      <c r="J118" s="5">
        <f t="shared" si="1"/>
        <v>-8.091800575900341E-3</v>
      </c>
    </row>
    <row r="119" spans="1:10">
      <c r="A119" s="29">
        <v>44130</v>
      </c>
      <c r="B119" s="30">
        <v>51.15</v>
      </c>
      <c r="C119" s="30">
        <v>48.15</v>
      </c>
      <c r="D119" s="31">
        <f t="shared" si="2"/>
        <v>-5.865102639296188E-2</v>
      </c>
      <c r="E119" s="31">
        <f>'S&amp;P 500'!D118:D379</f>
        <v>6.4692676415266145E-2</v>
      </c>
      <c r="G119" s="35">
        <v>44130</v>
      </c>
      <c r="H119" s="4">
        <v>3441.42</v>
      </c>
      <c r="I119" s="4">
        <v>3269.96</v>
      </c>
      <c r="J119" s="5">
        <f t="shared" si="1"/>
        <v>-4.982245700902535E-2</v>
      </c>
    </row>
    <row r="120" spans="1:10">
      <c r="A120" s="29">
        <v>44137</v>
      </c>
      <c r="B120" s="30">
        <v>48.88</v>
      </c>
      <c r="C120" s="30">
        <v>51.7</v>
      </c>
      <c r="D120" s="31">
        <f t="shared" si="2"/>
        <v>5.7692307692307696E-2</v>
      </c>
      <c r="E120" s="31">
        <f>'S&amp;P 500'!D119:D380</f>
        <v>5.8888541573639348E-4</v>
      </c>
      <c r="G120" s="35">
        <v>44137</v>
      </c>
      <c r="H120" s="4">
        <v>3296.2</v>
      </c>
      <c r="I120" s="4">
        <v>3509.44</v>
      </c>
      <c r="J120" s="5">
        <f t="shared" si="1"/>
        <v>6.4692676415266145E-2</v>
      </c>
    </row>
    <row r="121" spans="1:10">
      <c r="A121" s="29">
        <v>44144</v>
      </c>
      <c r="B121" s="30">
        <v>55.41</v>
      </c>
      <c r="C121" s="30">
        <v>56.61</v>
      </c>
      <c r="D121" s="31">
        <f t="shared" si="2"/>
        <v>2.1656740660530641E-2</v>
      </c>
      <c r="E121" s="31">
        <f>'S&amp;P 500'!D120:D381</f>
        <v>-1.1838362739433773E-2</v>
      </c>
      <c r="G121" s="35">
        <v>44144</v>
      </c>
      <c r="H121" s="4">
        <v>3583.04</v>
      </c>
      <c r="I121" s="4">
        <v>3585.15</v>
      </c>
      <c r="J121" s="5">
        <f t="shared" si="1"/>
        <v>5.8888541573639348E-4</v>
      </c>
    </row>
    <row r="122" spans="1:10">
      <c r="A122" s="29">
        <v>44151</v>
      </c>
      <c r="B122" s="30">
        <v>57.76</v>
      </c>
      <c r="C122" s="30">
        <v>57.81</v>
      </c>
      <c r="D122" s="31">
        <f t="shared" si="2"/>
        <v>8.6565096952915968E-4</v>
      </c>
      <c r="E122" s="31">
        <f>'S&amp;P 500'!D121:D382</f>
        <v>2.0054278040383237E-2</v>
      </c>
      <c r="G122" s="35">
        <v>44151</v>
      </c>
      <c r="H122" s="4">
        <v>3600.16</v>
      </c>
      <c r="I122" s="4">
        <v>3557.54</v>
      </c>
      <c r="J122" s="5">
        <f t="shared" si="1"/>
        <v>-1.1838362739433773E-2</v>
      </c>
    </row>
    <row r="123" spans="1:10">
      <c r="A123" s="29">
        <v>44158</v>
      </c>
      <c r="B123" s="30">
        <v>58.67</v>
      </c>
      <c r="C123" s="30">
        <v>63.84</v>
      </c>
      <c r="D123" s="31">
        <f t="shared" si="2"/>
        <v>8.8119993182205578E-2</v>
      </c>
      <c r="E123" s="31">
        <f>'S&amp;P 500'!D122:D383</f>
        <v>1.7869230472898991E-2</v>
      </c>
      <c r="G123" s="35">
        <v>44158</v>
      </c>
      <c r="H123" s="4">
        <v>3566.82</v>
      </c>
      <c r="I123" s="4">
        <v>3638.35</v>
      </c>
      <c r="J123" s="5">
        <f t="shared" si="1"/>
        <v>2.0054278040383237E-2</v>
      </c>
    </row>
    <row r="124" spans="1:10">
      <c r="A124" s="29">
        <v>44165</v>
      </c>
      <c r="B124" s="30">
        <v>63.58</v>
      </c>
      <c r="C124" s="30">
        <v>65</v>
      </c>
      <c r="D124" s="31">
        <f t="shared" si="2"/>
        <v>2.2334067316766307E-2</v>
      </c>
      <c r="E124" s="31">
        <f>'S&amp;P 500'!D123:D384</f>
        <v>-8.4634059863643567E-3</v>
      </c>
      <c r="G124" s="35">
        <v>44165</v>
      </c>
      <c r="H124" s="4">
        <v>3634.18</v>
      </c>
      <c r="I124" s="4">
        <v>3699.12</v>
      </c>
      <c r="J124" s="5">
        <f t="shared" si="1"/>
        <v>1.7869230472898991E-2</v>
      </c>
    </row>
    <row r="125" spans="1:10">
      <c r="A125" s="29">
        <v>44172</v>
      </c>
      <c r="B125" s="30">
        <v>64.540000000000006</v>
      </c>
      <c r="C125" s="30">
        <v>63.32</v>
      </c>
      <c r="D125" s="31">
        <f t="shared" si="2"/>
        <v>-1.8903005887821598E-2</v>
      </c>
      <c r="E125" s="31">
        <f>'S&amp;P 500'!D124:D385</f>
        <v>9.289113452889141E-3</v>
      </c>
      <c r="G125" s="35">
        <v>44172</v>
      </c>
      <c r="H125" s="4">
        <v>3694.73</v>
      </c>
      <c r="I125" s="4">
        <v>3663.46</v>
      </c>
      <c r="J125" s="5">
        <f t="shared" si="1"/>
        <v>-8.4634059863643567E-3</v>
      </c>
    </row>
    <row r="126" spans="1:10">
      <c r="A126" s="29">
        <v>44179</v>
      </c>
      <c r="B126" s="30">
        <v>64.25</v>
      </c>
      <c r="C126" s="30">
        <v>64.180000000000007</v>
      </c>
      <c r="D126" s="31">
        <f t="shared" si="2"/>
        <v>-1.0894941634240183E-3</v>
      </c>
      <c r="E126" s="31">
        <f>'S&amp;P 500'!D125:D386</f>
        <v>5.0973324503022967E-3</v>
      </c>
      <c r="G126" s="35">
        <v>44179</v>
      </c>
      <c r="H126" s="4">
        <v>3675.27</v>
      </c>
      <c r="I126" s="4">
        <v>3709.41</v>
      </c>
      <c r="J126" s="5">
        <f t="shared" si="1"/>
        <v>9.289113452889141E-3</v>
      </c>
    </row>
    <row r="127" spans="1:10">
      <c r="A127" s="29">
        <v>44186</v>
      </c>
      <c r="B127" s="30">
        <v>66.010000000000005</v>
      </c>
      <c r="C127" s="30">
        <v>68.09</v>
      </c>
      <c r="D127" s="31">
        <f t="shared" si="2"/>
        <v>3.1510377215573371E-2</v>
      </c>
      <c r="E127" s="31">
        <f>'S&amp;P 500'!D126:D387</f>
        <v>8.8744920132257758E-3</v>
      </c>
      <c r="G127" s="35">
        <v>44186</v>
      </c>
      <c r="H127" s="4">
        <v>3684.28</v>
      </c>
      <c r="I127" s="4">
        <v>3703.06</v>
      </c>
      <c r="J127" s="5">
        <f t="shared" si="1"/>
        <v>5.0973324503022967E-3</v>
      </c>
    </row>
    <row r="128" spans="1:10">
      <c r="A128" s="29">
        <v>44193</v>
      </c>
      <c r="B128" s="30">
        <v>68.56</v>
      </c>
      <c r="C128" s="30">
        <v>68.53</v>
      </c>
      <c r="D128" s="31">
        <f t="shared" si="2"/>
        <v>-4.375729288214868E-4</v>
      </c>
      <c r="E128" s="31">
        <f>'S&amp;P 500'!D127:D388</f>
        <v>1.5956500142112917E-2</v>
      </c>
      <c r="G128" s="35">
        <v>44193</v>
      </c>
      <c r="H128" s="4">
        <v>3723.03</v>
      </c>
      <c r="I128" s="4">
        <v>3756.07</v>
      </c>
      <c r="J128" s="5">
        <f t="shared" si="1"/>
        <v>8.8744920132257758E-3</v>
      </c>
    </row>
    <row r="129" spans="1:10">
      <c r="A129" s="29">
        <v>44200</v>
      </c>
      <c r="B129" s="30">
        <v>69.28</v>
      </c>
      <c r="C129" s="30">
        <v>75.25</v>
      </c>
      <c r="D129" s="31">
        <f t="shared" si="2"/>
        <v>8.6172055427251718E-2</v>
      </c>
      <c r="E129" s="31">
        <f>'S&amp;P 500'!D128:D389</f>
        <v>-9.1739983276976061E-3</v>
      </c>
      <c r="G129" s="35">
        <v>44200</v>
      </c>
      <c r="H129" s="4">
        <v>3764.61</v>
      </c>
      <c r="I129" s="4">
        <v>3824.68</v>
      </c>
      <c r="J129" s="5">
        <f t="shared" si="1"/>
        <v>1.5956500142112917E-2</v>
      </c>
    </row>
    <row r="130" spans="1:10">
      <c r="A130" s="29">
        <v>44207</v>
      </c>
      <c r="B130" s="30">
        <v>74.239999999999995</v>
      </c>
      <c r="C130" s="30">
        <v>75.239999999999995</v>
      </c>
      <c r="D130" s="31">
        <f t="shared" si="2"/>
        <v>1.3469827586206897E-2</v>
      </c>
      <c r="E130" s="31">
        <f>'S&amp;P 500'!D129:D390</f>
        <v>1.5756713592181584E-2</v>
      </c>
      <c r="G130" s="35">
        <v>44207</v>
      </c>
      <c r="H130" s="4">
        <v>3803.14</v>
      </c>
      <c r="I130" s="4">
        <v>3768.25</v>
      </c>
      <c r="J130" s="5">
        <f t="shared" si="1"/>
        <v>-9.1739983276976061E-3</v>
      </c>
    </row>
    <row r="131" spans="1:10">
      <c r="A131" s="29">
        <v>44214</v>
      </c>
      <c r="B131" s="30">
        <v>76.52</v>
      </c>
      <c r="C131" s="30">
        <v>74.13</v>
      </c>
      <c r="D131" s="31">
        <f t="shared" si="2"/>
        <v>-3.123366440146368E-2</v>
      </c>
      <c r="E131" s="31">
        <f>'S&amp;P 500'!D130:D391</f>
        <v>-3.5683130478129037E-2</v>
      </c>
      <c r="G131" s="35">
        <v>44214</v>
      </c>
      <c r="H131" s="4">
        <v>3781.88</v>
      </c>
      <c r="I131" s="4">
        <v>3841.47</v>
      </c>
      <c r="J131" s="5">
        <f t="shared" si="1"/>
        <v>1.5756713592181584E-2</v>
      </c>
    </row>
    <row r="132" spans="1:10">
      <c r="A132" s="29">
        <v>44221</v>
      </c>
      <c r="B132" s="30">
        <v>73.52</v>
      </c>
      <c r="C132" s="30">
        <v>67.05</v>
      </c>
      <c r="D132" s="31">
        <f t="shared" ref="D132:D195" si="3">(C132-B132)/B132</f>
        <v>-8.8003264417845478E-2</v>
      </c>
      <c r="E132" s="31">
        <f>'S&amp;P 500'!D131:D392</f>
        <v>4.1718817421881035E-2</v>
      </c>
      <c r="G132" s="35">
        <v>44221</v>
      </c>
      <c r="H132" s="4">
        <v>3851.68</v>
      </c>
      <c r="I132" s="4">
        <v>3714.24</v>
      </c>
      <c r="J132" s="5">
        <f t="shared" si="1"/>
        <v>-3.5683130478129037E-2</v>
      </c>
    </row>
    <row r="133" spans="1:10">
      <c r="A133" s="29">
        <v>44228</v>
      </c>
      <c r="B133" s="30">
        <v>67.88</v>
      </c>
      <c r="C133" s="30">
        <v>73.22</v>
      </c>
      <c r="D133" s="31">
        <f t="shared" si="3"/>
        <v>7.8668238067177432E-2</v>
      </c>
      <c r="E133" s="31">
        <f>'S&amp;P 500'!D132:D393</f>
        <v>1.0851386865814222E-2</v>
      </c>
      <c r="G133" s="35">
        <v>44228</v>
      </c>
      <c r="H133" s="4">
        <v>3731.17</v>
      </c>
      <c r="I133" s="4">
        <v>3886.83</v>
      </c>
      <c r="J133" s="5">
        <f t="shared" si="1"/>
        <v>4.1718817421881035E-2</v>
      </c>
    </row>
    <row r="134" spans="1:10">
      <c r="A134" s="29">
        <v>44235</v>
      </c>
      <c r="B134" s="30">
        <v>73.64</v>
      </c>
      <c r="C134" s="30">
        <v>74.61</v>
      </c>
      <c r="D134" s="31">
        <f t="shared" si="3"/>
        <v>1.317218902770232E-2</v>
      </c>
      <c r="E134" s="31">
        <f>'S&amp;P 500'!D133:D394</f>
        <v>-8.3510804368960613E-3</v>
      </c>
      <c r="G134" s="35">
        <v>44235</v>
      </c>
      <c r="H134" s="4">
        <v>3892.59</v>
      </c>
      <c r="I134" s="4">
        <v>3934.83</v>
      </c>
      <c r="J134" s="5">
        <f t="shared" si="1"/>
        <v>1.0851386865814222E-2</v>
      </c>
    </row>
    <row r="135" spans="1:10">
      <c r="A135" s="29">
        <v>44242</v>
      </c>
      <c r="B135" s="30">
        <v>76.25</v>
      </c>
      <c r="C135" s="30">
        <v>76</v>
      </c>
      <c r="D135" s="31">
        <f t="shared" si="3"/>
        <v>-3.2786885245901639E-3</v>
      </c>
      <c r="E135" s="31">
        <f>'S&amp;P 500'!D134:D395</f>
        <v>-1.9147868384141262E-2</v>
      </c>
      <c r="G135" s="35">
        <v>44242</v>
      </c>
      <c r="H135" s="4">
        <v>3939.61</v>
      </c>
      <c r="I135" s="4">
        <v>3906.71</v>
      </c>
      <c r="J135" s="5">
        <f t="shared" si="1"/>
        <v>-8.3510804368960613E-3</v>
      </c>
    </row>
    <row r="136" spans="1:10">
      <c r="A136" s="29">
        <v>44249</v>
      </c>
      <c r="B136" s="30">
        <v>75.7</v>
      </c>
      <c r="C136" s="30">
        <v>76.87</v>
      </c>
      <c r="D136" s="31">
        <f t="shared" si="3"/>
        <v>1.5455746367239124E-2</v>
      </c>
      <c r="E136" s="31">
        <f>'S&amp;P 500'!D135:D396</f>
        <v>-1.4834053782557851E-4</v>
      </c>
      <c r="G136" s="35">
        <v>44249</v>
      </c>
      <c r="H136" s="4">
        <v>3885.55</v>
      </c>
      <c r="I136" s="4">
        <v>3811.15</v>
      </c>
      <c r="J136" s="5">
        <f t="shared" si="1"/>
        <v>-1.9147868384141262E-2</v>
      </c>
    </row>
    <row r="137" spans="1:10">
      <c r="A137" s="29">
        <v>44256</v>
      </c>
      <c r="B137" s="30">
        <v>78.05</v>
      </c>
      <c r="C137" s="30">
        <v>80.87</v>
      </c>
      <c r="D137" s="31">
        <f t="shared" si="3"/>
        <v>3.6130685458039817E-2</v>
      </c>
      <c r="E137" s="31">
        <f>'S&amp;P 500'!D136:D397</f>
        <v>2.5738803815429829E-2</v>
      </c>
      <c r="G137" s="35">
        <v>44256</v>
      </c>
      <c r="H137" s="4">
        <v>3842.51</v>
      </c>
      <c r="I137" s="4">
        <v>3841.94</v>
      </c>
      <c r="J137" s="5">
        <f t="shared" si="1"/>
        <v>-1.4834053782557851E-4</v>
      </c>
    </row>
    <row r="138" spans="1:10">
      <c r="A138" s="29">
        <v>44263</v>
      </c>
      <c r="B138" s="30">
        <v>81.93</v>
      </c>
      <c r="C138" s="30">
        <v>84.34</v>
      </c>
      <c r="D138" s="31">
        <f t="shared" si="3"/>
        <v>2.9415354570975178E-2</v>
      </c>
      <c r="E138" s="31">
        <f>'S&amp;P 500'!D137:D398</f>
        <v>-7.5729908495141031E-3</v>
      </c>
      <c r="G138" s="35">
        <v>44263</v>
      </c>
      <c r="H138" s="4">
        <v>3844.39</v>
      </c>
      <c r="I138" s="4">
        <v>3943.34</v>
      </c>
      <c r="J138" s="5">
        <f t="shared" si="1"/>
        <v>2.5738803815429829E-2</v>
      </c>
    </row>
    <row r="139" spans="1:10">
      <c r="A139" s="29">
        <v>44270</v>
      </c>
      <c r="B139" s="30">
        <v>84.9</v>
      </c>
      <c r="C139" s="30">
        <v>82.94</v>
      </c>
      <c r="D139" s="31">
        <f t="shared" si="3"/>
        <v>-2.308598351001187E-2</v>
      </c>
      <c r="E139" s="31">
        <f>'S&amp;P 500'!D138:D399</f>
        <v>1.4824536318326647E-2</v>
      </c>
      <c r="G139" s="35">
        <v>44270</v>
      </c>
      <c r="H139" s="4">
        <v>3942.96</v>
      </c>
      <c r="I139" s="4">
        <v>3913.1</v>
      </c>
      <c r="J139" s="5">
        <f t="shared" si="1"/>
        <v>-7.5729908495141031E-3</v>
      </c>
    </row>
    <row r="140" spans="1:10">
      <c r="A140" s="29">
        <v>44277</v>
      </c>
      <c r="B140" s="30">
        <v>82.47</v>
      </c>
      <c r="C140" s="30">
        <v>79.98</v>
      </c>
      <c r="D140" s="31">
        <f t="shared" si="3"/>
        <v>-3.0192797380865707E-2</v>
      </c>
      <c r="E140" s="31">
        <f>'S&amp;P 500'!D139:D400</f>
        <v>1.2737730235229786E-2</v>
      </c>
      <c r="G140" s="35">
        <v>44277</v>
      </c>
      <c r="H140" s="4">
        <v>3916.48</v>
      </c>
      <c r="I140" s="4">
        <v>3974.54</v>
      </c>
      <c r="J140" s="5">
        <f t="shared" si="1"/>
        <v>1.4824536318326647E-2</v>
      </c>
    </row>
    <row r="141" spans="1:10">
      <c r="A141" s="29">
        <v>44284</v>
      </c>
      <c r="B141" s="30">
        <v>77</v>
      </c>
      <c r="C141" s="30">
        <v>78.22</v>
      </c>
      <c r="D141" s="31">
        <f t="shared" si="3"/>
        <v>1.5844155844155831E-2</v>
      </c>
      <c r="E141" s="31">
        <f>'S&amp;P 500'!D140:D401</f>
        <v>2.3388623947809394E-2</v>
      </c>
      <c r="G141" s="35">
        <v>44284</v>
      </c>
      <c r="H141" s="4">
        <v>3969.31</v>
      </c>
      <c r="I141" s="4">
        <v>4019.87</v>
      </c>
      <c r="J141" s="5">
        <f t="shared" si="1"/>
        <v>1.2737730235229786E-2</v>
      </c>
    </row>
    <row r="142" spans="1:10">
      <c r="A142" s="29">
        <v>44291</v>
      </c>
      <c r="B142" s="30">
        <v>79.2</v>
      </c>
      <c r="C142" s="30">
        <v>80.72</v>
      </c>
      <c r="D142" s="31">
        <f t="shared" si="3"/>
        <v>1.9191919191919142E-2</v>
      </c>
      <c r="E142" s="31">
        <f>'S&amp;P 500'!D141:D402</f>
        <v>1.473073258483632E-2</v>
      </c>
      <c r="G142" s="35">
        <v>44291</v>
      </c>
      <c r="H142" s="4">
        <v>4034.44</v>
      </c>
      <c r="I142" s="4">
        <v>4128.8</v>
      </c>
      <c r="J142" s="5">
        <f t="shared" si="1"/>
        <v>2.3388623947809394E-2</v>
      </c>
    </row>
    <row r="143" spans="1:10">
      <c r="A143" s="29">
        <v>44298</v>
      </c>
      <c r="B143" s="30">
        <v>80.95</v>
      </c>
      <c r="C143" s="30">
        <v>78.59</v>
      </c>
      <c r="D143" s="31">
        <f t="shared" si="3"/>
        <v>-2.9153798641136496E-2</v>
      </c>
      <c r="E143" s="31">
        <f>'S&amp;P 500'!D142:D403</f>
        <v>8.8520981865134891E-5</v>
      </c>
      <c r="G143" s="35">
        <v>44298</v>
      </c>
      <c r="H143" s="4">
        <v>4124.71</v>
      </c>
      <c r="I143" s="4">
        <v>4185.47</v>
      </c>
      <c r="J143" s="5">
        <f t="shared" si="1"/>
        <v>1.473073258483632E-2</v>
      </c>
    </row>
    <row r="144" spans="1:10">
      <c r="A144" s="29">
        <v>44305</v>
      </c>
      <c r="B144" s="30">
        <v>78.3</v>
      </c>
      <c r="C144" s="30">
        <v>80.95</v>
      </c>
      <c r="D144" s="31">
        <f t="shared" si="3"/>
        <v>3.3844189016602882E-2</v>
      </c>
      <c r="E144" s="31">
        <f>'S&amp;P 500'!D143:D404</f>
        <v>-9.2233508481412863E-4</v>
      </c>
      <c r="G144" s="35">
        <v>44305</v>
      </c>
      <c r="H144" s="4">
        <v>4179.8</v>
      </c>
      <c r="I144" s="4">
        <v>4180.17</v>
      </c>
      <c r="J144" s="5">
        <f t="shared" si="1"/>
        <v>8.8520981865134891E-5</v>
      </c>
    </row>
    <row r="145" spans="1:10">
      <c r="A145" s="29">
        <v>44312</v>
      </c>
      <c r="B145" s="30">
        <v>81.81</v>
      </c>
      <c r="C145" s="30">
        <v>82.55</v>
      </c>
      <c r="D145" s="31">
        <f t="shared" si="3"/>
        <v>9.0453489793423155E-3</v>
      </c>
      <c r="E145" s="31">
        <f>'S&amp;P 500'!D144:D405</f>
        <v>9.6899317267736974E-3</v>
      </c>
      <c r="G145" s="35">
        <v>44312</v>
      </c>
      <c r="H145" s="4">
        <v>4185.03</v>
      </c>
      <c r="I145" s="4">
        <v>4181.17</v>
      </c>
      <c r="J145" s="5">
        <f t="shared" si="1"/>
        <v>-9.2233508481412863E-4</v>
      </c>
    </row>
    <row r="146" spans="1:10">
      <c r="A146" s="29">
        <v>44319</v>
      </c>
      <c r="B146" s="30">
        <v>83.11</v>
      </c>
      <c r="C146" s="30">
        <v>87.7</v>
      </c>
      <c r="D146" s="31">
        <f t="shared" si="3"/>
        <v>5.5228011069666745E-2</v>
      </c>
      <c r="E146" s="31">
        <f>'S&amp;P 500'!D145:D406</f>
        <v>-1.287518121983109E-2</v>
      </c>
      <c r="G146" s="35">
        <v>44319</v>
      </c>
      <c r="H146" s="4">
        <v>4191.9799999999996</v>
      </c>
      <c r="I146" s="4">
        <v>4232.6000000000004</v>
      </c>
      <c r="J146" s="5">
        <f t="shared" si="1"/>
        <v>9.6899317267736974E-3</v>
      </c>
    </row>
    <row r="147" spans="1:10">
      <c r="A147" s="29">
        <v>44326</v>
      </c>
      <c r="B147" s="30">
        <v>88.07</v>
      </c>
      <c r="C147" s="30">
        <v>87.35</v>
      </c>
      <c r="D147" s="31">
        <f t="shared" si="3"/>
        <v>-8.1753150902690915E-3</v>
      </c>
      <c r="E147" s="31">
        <f>'S&amp;P 500'!D146:D407</f>
        <v>-3.3717673240734594E-3</v>
      </c>
      <c r="G147" s="35">
        <v>44326</v>
      </c>
      <c r="H147" s="4">
        <v>4228.29</v>
      </c>
      <c r="I147" s="4">
        <v>4173.8500000000004</v>
      </c>
      <c r="J147" s="5">
        <f t="shared" si="1"/>
        <v>-1.287518121983109E-2</v>
      </c>
    </row>
    <row r="148" spans="1:10">
      <c r="A148" s="29">
        <v>44333</v>
      </c>
      <c r="B148" s="30">
        <v>86.79</v>
      </c>
      <c r="C148" s="30">
        <v>88.34</v>
      </c>
      <c r="D148" s="31">
        <f t="shared" si="3"/>
        <v>1.7859200368706037E-2</v>
      </c>
      <c r="E148" s="31">
        <f>'S&amp;P 500'!D147:D408</f>
        <v>8.1411744393500053E-3</v>
      </c>
      <c r="G148" s="35">
        <v>44333</v>
      </c>
      <c r="H148" s="4">
        <v>4169.92</v>
      </c>
      <c r="I148" s="4">
        <v>4155.8599999999997</v>
      </c>
      <c r="J148" s="5">
        <f t="shared" si="1"/>
        <v>-3.3717673240734594E-3</v>
      </c>
    </row>
    <row r="149" spans="1:10">
      <c r="A149" s="29">
        <v>44340</v>
      </c>
      <c r="B149" s="30">
        <v>88.71</v>
      </c>
      <c r="C149" s="30">
        <v>90.95</v>
      </c>
      <c r="D149" s="31">
        <f t="shared" si="3"/>
        <v>2.5250817269755487E-2</v>
      </c>
      <c r="E149" s="31">
        <f>'S&amp;P 500'!D148:D409</f>
        <v>3.1708612789693607E-3</v>
      </c>
      <c r="G149" s="35">
        <v>44340</v>
      </c>
      <c r="H149" s="4">
        <v>4170.16</v>
      </c>
      <c r="I149" s="4">
        <v>4204.1099999999997</v>
      </c>
      <c r="J149" s="5">
        <f t="shared" si="1"/>
        <v>8.1411744393500053E-3</v>
      </c>
    </row>
    <row r="150" spans="1:10">
      <c r="A150" s="29">
        <v>44347</v>
      </c>
      <c r="B150" s="30">
        <v>92.39</v>
      </c>
      <c r="C150" s="30">
        <v>93.96</v>
      </c>
      <c r="D150" s="31">
        <f t="shared" si="3"/>
        <v>1.6993181080203413E-2</v>
      </c>
      <c r="E150" s="31">
        <f>'S&amp;P 500'!D149:D410</f>
        <v>4.2796275541809011E-3</v>
      </c>
      <c r="G150" s="35">
        <v>44347</v>
      </c>
      <c r="H150" s="4">
        <v>4216.5200000000004</v>
      </c>
      <c r="I150" s="4">
        <v>4229.8900000000003</v>
      </c>
      <c r="J150" s="5">
        <f t="shared" si="1"/>
        <v>3.1708612789693607E-3</v>
      </c>
    </row>
    <row r="151" spans="1:10">
      <c r="A151" s="29">
        <v>44354</v>
      </c>
      <c r="B151" s="30">
        <v>94.23</v>
      </c>
      <c r="C151" s="30">
        <v>92.05</v>
      </c>
      <c r="D151" s="31">
        <f t="shared" si="3"/>
        <v>-2.3134882733736675E-2</v>
      </c>
      <c r="E151" s="31">
        <f>'S&amp;P 500'!D150:D411</f>
        <v>-1.926883866761149E-2</v>
      </c>
      <c r="G151" s="35">
        <v>44354</v>
      </c>
      <c r="H151" s="4">
        <v>4229.34</v>
      </c>
      <c r="I151" s="4">
        <v>4247.4399999999996</v>
      </c>
      <c r="J151" s="5">
        <f t="shared" si="1"/>
        <v>4.2796275541809011E-3</v>
      </c>
    </row>
    <row r="152" spans="1:10">
      <c r="A152" s="29">
        <v>44361</v>
      </c>
      <c r="B152" s="30">
        <v>91.79</v>
      </c>
      <c r="C152" s="30">
        <v>84.09</v>
      </c>
      <c r="D152" s="31">
        <f t="shared" si="3"/>
        <v>-8.3887133674692263E-2</v>
      </c>
      <c r="E152" s="31">
        <f>'S&amp;P 500'!D151:D412</f>
        <v>2.5710451909713949E-2</v>
      </c>
      <c r="G152" s="35">
        <v>44361</v>
      </c>
      <c r="H152" s="4">
        <v>4248.3100000000004</v>
      </c>
      <c r="I152" s="4">
        <v>4166.45</v>
      </c>
      <c r="J152" s="5">
        <f t="shared" si="1"/>
        <v>-1.926883866761149E-2</v>
      </c>
    </row>
    <row r="153" spans="1:10">
      <c r="A153" s="29">
        <v>44368</v>
      </c>
      <c r="B153" s="30">
        <v>84.57</v>
      </c>
      <c r="C153" s="30">
        <v>88.4</v>
      </c>
      <c r="D153" s="31">
        <f t="shared" si="3"/>
        <v>4.5287927160931926E-2</v>
      </c>
      <c r="E153" s="31">
        <f>'S&amp;P 500'!D152:D413</f>
        <v>1.5738990408177674E-2</v>
      </c>
      <c r="G153" s="35">
        <v>44368</v>
      </c>
      <c r="H153" s="4">
        <v>4173.3999999999996</v>
      </c>
      <c r="I153" s="4">
        <v>4280.7</v>
      </c>
      <c r="J153" s="5">
        <f t="shared" si="1"/>
        <v>2.5710451909713949E-2</v>
      </c>
    </row>
    <row r="154" spans="1:10">
      <c r="A154" s="29">
        <v>44375</v>
      </c>
      <c r="B154" s="30">
        <v>88.06</v>
      </c>
      <c r="C154" s="30">
        <v>92.03</v>
      </c>
      <c r="D154" s="31">
        <f t="shared" si="3"/>
        <v>4.5082898024074482E-2</v>
      </c>
      <c r="E154" s="31">
        <f>'S&amp;P 500'!D153:D414</f>
        <v>3.0047332008098651E-3</v>
      </c>
      <c r="G154" s="35">
        <v>44375</v>
      </c>
      <c r="H154" s="4">
        <v>4284.8999999999996</v>
      </c>
      <c r="I154" s="4">
        <v>4352.34</v>
      </c>
      <c r="J154" s="5">
        <f t="shared" si="1"/>
        <v>1.5738990408177674E-2</v>
      </c>
    </row>
    <row r="155" spans="1:10">
      <c r="A155" s="29">
        <v>44382</v>
      </c>
      <c r="B155" s="30">
        <v>91.75</v>
      </c>
      <c r="C155" s="30">
        <v>90.33</v>
      </c>
      <c r="D155" s="31">
        <f t="shared" si="3"/>
        <v>-1.5476839237057239E-2</v>
      </c>
      <c r="E155" s="31">
        <f>'S&amp;P 500'!D154:D415</f>
        <v>-1.0348983741231952E-2</v>
      </c>
      <c r="G155" s="35">
        <v>44382</v>
      </c>
      <c r="H155" s="4">
        <v>4356.46</v>
      </c>
      <c r="I155" s="4">
        <v>4369.55</v>
      </c>
      <c r="J155" s="5">
        <f t="shared" si="1"/>
        <v>3.0047332008098651E-3</v>
      </c>
    </row>
    <row r="156" spans="1:10">
      <c r="A156" s="29">
        <v>44389</v>
      </c>
      <c r="B156" s="30">
        <v>90.24</v>
      </c>
      <c r="C156" s="30">
        <v>91.25</v>
      </c>
      <c r="D156" s="31">
        <f t="shared" si="3"/>
        <v>1.119237588652488E-2</v>
      </c>
      <c r="E156" s="31">
        <f>'S&amp;P 500'!D155:D416</f>
        <v>2.6857368960059663E-2</v>
      </c>
      <c r="G156" s="35">
        <v>44389</v>
      </c>
      <c r="H156" s="4">
        <v>4372.41</v>
      </c>
      <c r="I156" s="4">
        <v>4327.16</v>
      </c>
      <c r="J156" s="5">
        <f t="shared" si="1"/>
        <v>-1.0348983741231952E-2</v>
      </c>
    </row>
    <row r="157" spans="1:10">
      <c r="A157" s="29">
        <v>44396</v>
      </c>
      <c r="B157" s="30">
        <v>89.51</v>
      </c>
      <c r="C157" s="30">
        <v>94.55</v>
      </c>
      <c r="D157" s="31">
        <f t="shared" si="3"/>
        <v>5.6306557926488567E-2</v>
      </c>
      <c r="E157" s="31">
        <f>'S&amp;P 500'!D156:D417</f>
        <v>-3.2474748161955809E-3</v>
      </c>
      <c r="G157" s="35">
        <v>44396</v>
      </c>
      <c r="H157" s="4">
        <v>4296.3999999999996</v>
      </c>
      <c r="I157" s="4">
        <v>4411.79</v>
      </c>
      <c r="J157" s="5">
        <f t="shared" si="1"/>
        <v>2.6857368960059663E-2</v>
      </c>
    </row>
    <row r="158" spans="1:10">
      <c r="A158" s="29">
        <v>44403</v>
      </c>
      <c r="B158" s="30">
        <v>94.37</v>
      </c>
      <c r="C158" s="30">
        <v>95.98</v>
      </c>
      <c r="D158" s="31">
        <f t="shared" si="3"/>
        <v>1.7060506516901552E-2</v>
      </c>
      <c r="E158" s="31">
        <f>'S&amp;P 500'!D157:D418</f>
        <v>6.7304157608820718E-3</v>
      </c>
      <c r="G158" s="35">
        <v>44403</v>
      </c>
      <c r="H158" s="4">
        <v>4409.58</v>
      </c>
      <c r="I158" s="4">
        <v>4395.26</v>
      </c>
      <c r="J158" s="5">
        <f t="shared" si="1"/>
        <v>-3.2474748161955809E-3</v>
      </c>
    </row>
    <row r="159" spans="1:10">
      <c r="A159" s="29">
        <v>44410</v>
      </c>
      <c r="B159" s="30">
        <v>96.72</v>
      </c>
      <c r="C159" s="30">
        <v>99.73</v>
      </c>
      <c r="D159" s="31">
        <f t="shared" si="3"/>
        <v>3.1120760959470691E-2</v>
      </c>
      <c r="E159" s="31">
        <f>'S&amp;P 500'!D158:D419</f>
        <v>6.8119798908009115E-3</v>
      </c>
      <c r="G159" s="35">
        <v>44410</v>
      </c>
      <c r="H159" s="4">
        <v>4406.8599999999997</v>
      </c>
      <c r="I159" s="4">
        <v>4436.5200000000004</v>
      </c>
      <c r="J159" s="5">
        <f t="shared" si="1"/>
        <v>6.7304157608820718E-3</v>
      </c>
    </row>
    <row r="160" spans="1:10">
      <c r="A160" s="29">
        <v>44417</v>
      </c>
      <c r="B160" s="30">
        <v>99.57</v>
      </c>
      <c r="C160" s="30">
        <v>103.94</v>
      </c>
      <c r="D160" s="31">
        <f t="shared" si="3"/>
        <v>4.3888721502460627E-2</v>
      </c>
      <c r="E160" s="31">
        <f>'S&amp;P 500'!D159:D420</f>
        <v>-4.478163907971169E-3</v>
      </c>
      <c r="G160" s="35">
        <v>44417</v>
      </c>
      <c r="H160" s="4">
        <v>4437.7700000000004</v>
      </c>
      <c r="I160" s="4">
        <v>4468</v>
      </c>
      <c r="J160" s="5">
        <f t="shared" si="1"/>
        <v>6.8119798908009115E-3</v>
      </c>
    </row>
    <row r="161" spans="1:10">
      <c r="A161" s="29">
        <v>44424</v>
      </c>
      <c r="B161" s="30">
        <v>103.21</v>
      </c>
      <c r="C161" s="30">
        <v>100.66</v>
      </c>
      <c r="D161" s="31">
        <f t="shared" si="3"/>
        <v>-2.4706908245325038E-2</v>
      </c>
      <c r="E161" s="31">
        <f>'S&amp;P 500'!D160:D421</f>
        <v>1.3275539346874008E-2</v>
      </c>
      <c r="G161" s="35">
        <v>44424</v>
      </c>
      <c r="H161" s="4">
        <v>4461.6499999999996</v>
      </c>
      <c r="I161" s="4">
        <v>4441.67</v>
      </c>
      <c r="J161" s="5">
        <f t="shared" si="1"/>
        <v>-4.478163907971169E-3</v>
      </c>
    </row>
    <row r="162" spans="1:10">
      <c r="A162" s="29">
        <v>44431</v>
      </c>
      <c r="B162" s="30">
        <v>101.99</v>
      </c>
      <c r="C162" s="30">
        <v>105.45</v>
      </c>
      <c r="D162" s="31">
        <f t="shared" si="3"/>
        <v>3.3924894597509636E-2</v>
      </c>
      <c r="E162" s="31">
        <f>'S&amp;P 500'!D161:D422</f>
        <v>4.800875545000193E-3</v>
      </c>
      <c r="G162" s="35">
        <v>44431</v>
      </c>
      <c r="H162" s="4">
        <v>4450.29</v>
      </c>
      <c r="I162" s="4">
        <v>4509.37</v>
      </c>
      <c r="J162" s="5">
        <f t="shared" si="1"/>
        <v>1.3275539346874008E-2</v>
      </c>
    </row>
    <row r="163" spans="1:10">
      <c r="A163" s="29">
        <v>44438</v>
      </c>
      <c r="B163" s="30">
        <v>105.63</v>
      </c>
      <c r="C163" s="30">
        <v>104.25</v>
      </c>
      <c r="D163" s="31">
        <f t="shared" si="3"/>
        <v>-1.306447032093151E-2</v>
      </c>
      <c r="E163" s="31">
        <f>'S&amp;P 500'!D162:D423</f>
        <v>-1.6933531479170472E-2</v>
      </c>
      <c r="G163" s="35">
        <v>44438</v>
      </c>
      <c r="H163" s="4">
        <v>4513.76</v>
      </c>
      <c r="I163" s="4">
        <v>4535.43</v>
      </c>
      <c r="J163" s="5">
        <f t="shared" si="1"/>
        <v>4.800875545000193E-3</v>
      </c>
    </row>
    <row r="164" spans="1:10">
      <c r="A164" s="29">
        <v>44445</v>
      </c>
      <c r="B164" s="30">
        <v>104.08</v>
      </c>
      <c r="C164" s="30">
        <v>103.62</v>
      </c>
      <c r="D164" s="31">
        <f t="shared" si="3"/>
        <v>-4.4196771714065499E-3</v>
      </c>
      <c r="E164" s="31">
        <f>'S&amp;P 500'!D163:D424</f>
        <v>-9.345648195119037E-3</v>
      </c>
      <c r="G164" s="35">
        <v>44445</v>
      </c>
      <c r="H164" s="4">
        <v>4535.38</v>
      </c>
      <c r="I164" s="4">
        <v>4458.58</v>
      </c>
      <c r="J164" s="5">
        <f t="shared" si="1"/>
        <v>-1.6933531479170472E-2</v>
      </c>
    </row>
    <row r="165" spans="1:10">
      <c r="A165" s="29">
        <v>44452</v>
      </c>
      <c r="B165" s="30">
        <v>103.84</v>
      </c>
      <c r="C165" s="30">
        <v>101.75</v>
      </c>
      <c r="D165" s="31">
        <f t="shared" si="3"/>
        <v>-2.012711864406783E-2</v>
      </c>
      <c r="E165" s="31">
        <f>'S&amp;P 500'!D164:D425</f>
        <v>1.1930637413552219E-2</v>
      </c>
      <c r="G165" s="35">
        <v>44452</v>
      </c>
      <c r="H165" s="4">
        <v>4474.8100000000004</v>
      </c>
      <c r="I165" s="4">
        <v>4432.99</v>
      </c>
      <c r="J165" s="5">
        <f t="shared" si="1"/>
        <v>-9.345648195119037E-3</v>
      </c>
    </row>
    <row r="166" spans="1:10">
      <c r="A166" s="29">
        <v>44459</v>
      </c>
      <c r="B166" s="30">
        <v>98.75</v>
      </c>
      <c r="C166" s="30">
        <v>102.91</v>
      </c>
      <c r="D166" s="31">
        <f t="shared" si="3"/>
        <v>4.2126582278480977E-2</v>
      </c>
      <c r="E166" s="31">
        <f>'S&amp;P 500'!D165:D426</f>
        <v>-1.9153017027905579E-2</v>
      </c>
      <c r="G166" s="35">
        <v>44459</v>
      </c>
      <c r="H166" s="4">
        <v>4402.95</v>
      </c>
      <c r="I166" s="4">
        <v>4455.4799999999996</v>
      </c>
      <c r="J166" s="5">
        <f t="shared" si="1"/>
        <v>1.1930637413552219E-2</v>
      </c>
    </row>
    <row r="167" spans="1:10">
      <c r="A167" s="29">
        <v>44466</v>
      </c>
      <c r="B167" s="30">
        <v>103.85</v>
      </c>
      <c r="C167" s="30">
        <v>99.05</v>
      </c>
      <c r="D167" s="31">
        <f t="shared" si="3"/>
        <v>-4.6220510351468437E-2</v>
      </c>
      <c r="E167" s="31">
        <f>'S&amp;P 500'!D166:D427</f>
        <v>9.7727210014624585E-3</v>
      </c>
      <c r="G167" s="35">
        <v>44466</v>
      </c>
      <c r="H167" s="4">
        <v>4442.12</v>
      </c>
      <c r="I167" s="4">
        <v>4357.04</v>
      </c>
      <c r="J167" s="5">
        <f t="shared" si="1"/>
        <v>-1.9153017027905579E-2</v>
      </c>
    </row>
    <row r="168" spans="1:10">
      <c r="A168" s="29">
        <v>44473</v>
      </c>
      <c r="B168" s="30">
        <v>99.05</v>
      </c>
      <c r="C168" s="30">
        <v>100.04</v>
      </c>
      <c r="D168" s="31">
        <f t="shared" si="3"/>
        <v>9.9949520444221011E-3</v>
      </c>
      <c r="E168" s="31">
        <f>'S&amp;P 500'!D167:D428</f>
        <v>1.9594385056003572E-2</v>
      </c>
      <c r="G168" s="35">
        <v>44473</v>
      </c>
      <c r="H168" s="4">
        <v>4348.84</v>
      </c>
      <c r="I168" s="4">
        <v>4391.34</v>
      </c>
      <c r="J168" s="5">
        <f t="shared" si="1"/>
        <v>9.7727210014624585E-3</v>
      </c>
    </row>
    <row r="169" spans="1:10">
      <c r="A169" s="29">
        <v>44480</v>
      </c>
      <c r="B169" s="30">
        <v>100.08</v>
      </c>
      <c r="C169" s="30">
        <v>102.14</v>
      </c>
      <c r="D169" s="31">
        <f t="shared" si="3"/>
        <v>2.0583533173461253E-2</v>
      </c>
      <c r="E169" s="31">
        <f>'S&amp;P 500'!D168:D429</f>
        <v>1.818662460907032E-2</v>
      </c>
      <c r="G169" s="35">
        <v>44480</v>
      </c>
      <c r="H169" s="4">
        <v>4385.4399999999996</v>
      </c>
      <c r="I169" s="4">
        <v>4471.37</v>
      </c>
      <c r="J169" s="5">
        <f t="shared" si="1"/>
        <v>1.9594385056003572E-2</v>
      </c>
    </row>
    <row r="170" spans="1:10">
      <c r="A170" s="29">
        <v>44487</v>
      </c>
      <c r="B170" s="30">
        <v>101.76</v>
      </c>
      <c r="C170" s="30">
        <v>101.8</v>
      </c>
      <c r="D170" s="31">
        <f t="shared" si="3"/>
        <v>3.930817610062111E-4</v>
      </c>
      <c r="E170" s="31">
        <f>'S&amp;P 500'!D169:D430</f>
        <v>1.1351233834538696E-2</v>
      </c>
      <c r="G170" s="35">
        <v>44487</v>
      </c>
      <c r="H170" s="4">
        <v>4463.72</v>
      </c>
      <c r="I170" s="4">
        <v>4544.8999999999996</v>
      </c>
      <c r="J170" s="5">
        <f t="shared" si="1"/>
        <v>1.818662460907032E-2</v>
      </c>
    </row>
    <row r="171" spans="1:10">
      <c r="A171" s="29">
        <v>44494</v>
      </c>
      <c r="B171" s="30">
        <v>102.3</v>
      </c>
      <c r="C171" s="30">
        <v>102.78</v>
      </c>
      <c r="D171" s="31">
        <f t="shared" si="3"/>
        <v>4.6920821114369892E-3</v>
      </c>
      <c r="E171" s="31">
        <f>'S&amp;P 500'!D170:D431</f>
        <v>1.8849959441463372E-2</v>
      </c>
      <c r="G171" s="35">
        <v>44494</v>
      </c>
      <c r="H171" s="4">
        <v>4553.6899999999996</v>
      </c>
      <c r="I171" s="4">
        <v>4605.38</v>
      </c>
      <c r="J171" s="5">
        <f t="shared" si="1"/>
        <v>1.1351233834538696E-2</v>
      </c>
    </row>
    <row r="172" spans="1:10">
      <c r="A172" s="29">
        <v>44501</v>
      </c>
      <c r="B172" s="30">
        <v>103.89</v>
      </c>
      <c r="C172" s="30">
        <v>99.87</v>
      </c>
      <c r="D172" s="31">
        <f t="shared" si="3"/>
        <v>-3.869477331793239E-2</v>
      </c>
      <c r="E172" s="31">
        <f>'S&amp;P 500'!D171:D432</f>
        <v>-3.9625819954565798E-3</v>
      </c>
      <c r="G172" s="35">
        <v>44501</v>
      </c>
      <c r="H172" s="4">
        <v>4610.62</v>
      </c>
      <c r="I172" s="4">
        <v>4697.53</v>
      </c>
      <c r="J172" s="5">
        <f t="shared" si="1"/>
        <v>1.8849959441463372E-2</v>
      </c>
    </row>
    <row r="173" spans="1:10">
      <c r="A173" s="29">
        <v>44508</v>
      </c>
      <c r="B173" s="30">
        <v>100.46</v>
      </c>
      <c r="C173" s="30">
        <v>99.85</v>
      </c>
      <c r="D173" s="31">
        <f t="shared" si="3"/>
        <v>-6.0720684849691368E-3</v>
      </c>
      <c r="E173" s="31">
        <f>'S&amp;P 500'!D172:D433</f>
        <v>1.8467575117821111E-3</v>
      </c>
      <c r="G173" s="35">
        <v>44508</v>
      </c>
      <c r="H173" s="4">
        <v>4701.4799999999996</v>
      </c>
      <c r="I173" s="4">
        <v>4682.8500000000004</v>
      </c>
      <c r="J173" s="5">
        <f t="shared" si="1"/>
        <v>-3.9625819954565798E-3</v>
      </c>
    </row>
    <row r="174" spans="1:10">
      <c r="A174" s="29">
        <v>44515</v>
      </c>
      <c r="B174" s="30">
        <v>100.03</v>
      </c>
      <c r="C174" s="30">
        <v>96.91</v>
      </c>
      <c r="D174" s="31">
        <f t="shared" si="3"/>
        <v>-3.1190642807157897E-2</v>
      </c>
      <c r="E174" s="31">
        <f>'S&amp;P 500'!D173:D434</f>
        <v>-2.491086587436335E-2</v>
      </c>
      <c r="G174" s="35">
        <v>44515</v>
      </c>
      <c r="H174" s="4">
        <v>4689.3</v>
      </c>
      <c r="I174" s="4">
        <v>4697.96</v>
      </c>
      <c r="J174" s="5">
        <f t="shared" si="1"/>
        <v>1.8467575117821111E-3</v>
      </c>
    </row>
    <row r="175" spans="1:10">
      <c r="A175" s="29">
        <v>44522</v>
      </c>
      <c r="B175" s="30">
        <v>98.29</v>
      </c>
      <c r="C175" s="30">
        <v>97.93</v>
      </c>
      <c r="D175" s="31">
        <f t="shared" si="3"/>
        <v>-3.6626309899277587E-3</v>
      </c>
      <c r="E175" s="31">
        <f>'S&amp;P 500'!D174:D435</f>
        <v>-1.9512827437213009E-2</v>
      </c>
      <c r="G175" s="35">
        <v>44522</v>
      </c>
      <c r="H175" s="4">
        <v>4712</v>
      </c>
      <c r="I175" s="4">
        <v>4594.62</v>
      </c>
      <c r="J175" s="5">
        <f t="shared" si="1"/>
        <v>-2.491086587436335E-2</v>
      </c>
    </row>
    <row r="176" spans="1:10">
      <c r="A176" s="29">
        <v>44529</v>
      </c>
      <c r="B176" s="30">
        <v>99.04</v>
      </c>
      <c r="C176" s="30">
        <v>98.21</v>
      </c>
      <c r="D176" s="31">
        <f t="shared" si="3"/>
        <v>-8.3804523424880102E-3</v>
      </c>
      <c r="E176" s="31">
        <f>'S&amp;P 500'!D175:D436</f>
        <v>3.5979922477722907E-2</v>
      </c>
      <c r="G176" s="35">
        <v>44529</v>
      </c>
      <c r="H176" s="4">
        <v>4628.75</v>
      </c>
      <c r="I176" s="4">
        <v>4538.43</v>
      </c>
      <c r="J176" s="5">
        <f t="shared" si="1"/>
        <v>-1.9512827437213009E-2</v>
      </c>
    </row>
    <row r="177" spans="1:10">
      <c r="A177" s="29">
        <v>44536</v>
      </c>
      <c r="B177" s="30">
        <v>100</v>
      </c>
      <c r="C177" s="30">
        <v>98.43</v>
      </c>
      <c r="D177" s="31">
        <f t="shared" si="3"/>
        <v>-1.5699999999999933E-2</v>
      </c>
      <c r="E177" s="31">
        <f>'S&amp;P 500'!D176:D437</f>
        <v>-1.9034881005456097E-2</v>
      </c>
      <c r="G177" s="35">
        <v>44536</v>
      </c>
      <c r="H177" s="4">
        <v>4548.37</v>
      </c>
      <c r="I177" s="4">
        <v>4712.0200000000004</v>
      </c>
      <c r="J177" s="5">
        <f t="shared" si="1"/>
        <v>3.5979922477722907E-2</v>
      </c>
    </row>
    <row r="178" spans="1:10">
      <c r="A178" s="29">
        <v>44543</v>
      </c>
      <c r="B178" s="30">
        <v>98.15</v>
      </c>
      <c r="C178" s="30">
        <v>97.13</v>
      </c>
      <c r="D178" s="31">
        <f t="shared" si="3"/>
        <v>-1.0392256749872748E-2</v>
      </c>
      <c r="E178" s="31">
        <f>'S&amp;P 500'!D177:D438</f>
        <v>3.0055145055472077E-2</v>
      </c>
      <c r="G178" s="35">
        <v>44543</v>
      </c>
      <c r="H178" s="4">
        <v>4710.3</v>
      </c>
      <c r="I178" s="4">
        <v>4620.6400000000003</v>
      </c>
      <c r="J178" s="5">
        <f t="shared" si="1"/>
        <v>-1.9034881005456097E-2</v>
      </c>
    </row>
    <row r="179" spans="1:10">
      <c r="A179" s="29">
        <v>44550</v>
      </c>
      <c r="B179" s="30">
        <v>95.61</v>
      </c>
      <c r="C179" s="30">
        <v>99.34</v>
      </c>
      <c r="D179" s="31">
        <f t="shared" si="3"/>
        <v>3.9012655579960295E-2</v>
      </c>
      <c r="E179" s="31">
        <f>'S&amp;P 500'!D178:D439</f>
        <v>6.7997608782444643E-3</v>
      </c>
      <c r="G179" s="35">
        <v>44550</v>
      </c>
      <c r="H179" s="4">
        <v>4587.8999999999996</v>
      </c>
      <c r="I179" s="4">
        <v>4725.79</v>
      </c>
      <c r="J179" s="5">
        <f t="shared" si="1"/>
        <v>3.0055145055472077E-2</v>
      </c>
    </row>
    <row r="180" spans="1:10">
      <c r="A180" s="29">
        <v>44557</v>
      </c>
      <c r="B180" s="30">
        <v>99.72</v>
      </c>
      <c r="C180" s="30">
        <v>98.16</v>
      </c>
      <c r="D180" s="31">
        <f t="shared" si="3"/>
        <v>-1.5643802647412778E-2</v>
      </c>
      <c r="E180" s="31">
        <f>'S&amp;P 500'!D179:D440</f>
        <v>-2.1160953843964509E-2</v>
      </c>
      <c r="G180" s="35">
        <v>44557</v>
      </c>
      <c r="H180" s="4">
        <v>4733.99</v>
      </c>
      <c r="I180" s="4">
        <v>4766.18</v>
      </c>
      <c r="J180" s="5">
        <f t="shared" si="1"/>
        <v>6.7997608782444643E-3</v>
      </c>
    </row>
    <row r="181" spans="1:10">
      <c r="A181" s="29">
        <v>44564</v>
      </c>
      <c r="B181" s="30">
        <v>99.33</v>
      </c>
      <c r="C181" s="30">
        <v>104.05</v>
      </c>
      <c r="D181" s="31">
        <f t="shared" si="3"/>
        <v>4.7518373099768439E-2</v>
      </c>
      <c r="E181" s="31">
        <f>'S&amp;P 500'!D180:D441</f>
        <v>1.6132011840166815E-3</v>
      </c>
      <c r="G181" s="35">
        <v>44564</v>
      </c>
      <c r="H181" s="4">
        <v>4778.1400000000003</v>
      </c>
      <c r="I181" s="4">
        <v>4677.03</v>
      </c>
      <c r="J181" s="5">
        <f t="shared" si="1"/>
        <v>-2.1160953843964509E-2</v>
      </c>
    </row>
    <row r="182" spans="1:10">
      <c r="A182" s="29">
        <v>44571</v>
      </c>
      <c r="B182" s="30">
        <v>104.72</v>
      </c>
      <c r="C182" s="30">
        <v>98.88</v>
      </c>
      <c r="D182" s="31">
        <f t="shared" si="3"/>
        <v>-5.5767761650114628E-2</v>
      </c>
      <c r="E182" s="31">
        <f>'S&amp;P 500'!D181:D442</f>
        <v>-5.0580280814465611E-2</v>
      </c>
      <c r="G182" s="35">
        <v>44571</v>
      </c>
      <c r="H182" s="4">
        <v>4655.34</v>
      </c>
      <c r="I182" s="4">
        <v>4662.8500000000004</v>
      </c>
      <c r="J182" s="5">
        <f t="shared" si="1"/>
        <v>1.6132011840166815E-3</v>
      </c>
    </row>
    <row r="183" spans="1:10">
      <c r="A183" s="29">
        <v>44578</v>
      </c>
      <c r="B183" s="30">
        <v>95.93</v>
      </c>
      <c r="C183" s="30">
        <v>98.86</v>
      </c>
      <c r="D183" s="31">
        <f t="shared" si="3"/>
        <v>3.054310434691955E-2</v>
      </c>
      <c r="E183" s="31">
        <f>'S&amp;P 500'!D182:D443</f>
        <v>1.7338028427663868E-2</v>
      </c>
      <c r="G183" s="35">
        <v>44578</v>
      </c>
      <c r="H183" s="4">
        <v>4632.24</v>
      </c>
      <c r="I183" s="4">
        <v>4397.9399999999996</v>
      </c>
      <c r="J183" s="5">
        <f t="shared" si="1"/>
        <v>-5.0580280814465611E-2</v>
      </c>
    </row>
    <row r="184" spans="1:10">
      <c r="A184" s="29">
        <v>44585</v>
      </c>
      <c r="B184" s="30">
        <v>96.02</v>
      </c>
      <c r="C184" s="30">
        <v>101.8</v>
      </c>
      <c r="D184" s="31">
        <f t="shared" si="3"/>
        <v>6.0195792543220175E-2</v>
      </c>
      <c r="E184" s="31">
        <f>'S&amp;P 500'!D183:D444</f>
        <v>1.5510662734470673E-2</v>
      </c>
      <c r="G184" s="35">
        <v>44585</v>
      </c>
      <c r="H184" s="4">
        <v>4356.32</v>
      </c>
      <c r="I184" s="4">
        <v>4431.8500000000004</v>
      </c>
      <c r="J184" s="5">
        <f t="shared" si="1"/>
        <v>1.7338028427663868E-2</v>
      </c>
    </row>
    <row r="185" spans="1:10">
      <c r="A185" s="29">
        <v>44592</v>
      </c>
      <c r="B185" s="30">
        <v>100.97</v>
      </c>
      <c r="C185" s="30">
        <v>104.11</v>
      </c>
      <c r="D185" s="31">
        <f t="shared" si="3"/>
        <v>3.1098346043379226E-2</v>
      </c>
      <c r="E185" s="31">
        <f>'S&amp;P 500'!D184:D445</f>
        <v>-1.9333074404926966E-2</v>
      </c>
      <c r="G185" s="35">
        <v>44592</v>
      </c>
      <c r="H185" s="4">
        <v>4431.79</v>
      </c>
      <c r="I185" s="4">
        <v>4500.53</v>
      </c>
      <c r="J185" s="5">
        <f t="shared" si="1"/>
        <v>1.5510662734470673E-2</v>
      </c>
    </row>
    <row r="186" spans="1:10">
      <c r="A186" s="29">
        <v>44599</v>
      </c>
      <c r="B186" s="30">
        <v>104.05</v>
      </c>
      <c r="C186" s="30">
        <v>104.57</v>
      </c>
      <c r="D186" s="31">
        <f t="shared" si="3"/>
        <v>4.9975973089860263E-3</v>
      </c>
      <c r="E186" s="31">
        <f>'S&amp;P 500'!D185:D446</f>
        <v>-1.4444965677909398E-2</v>
      </c>
      <c r="G186" s="35">
        <v>44599</v>
      </c>
      <c r="H186" s="4">
        <v>4505.75</v>
      </c>
      <c r="I186" s="4">
        <v>4418.6400000000003</v>
      </c>
      <c r="J186" s="5">
        <f t="shared" si="1"/>
        <v>-1.9333074404926966E-2</v>
      </c>
    </row>
    <row r="187" spans="1:10">
      <c r="A187" s="29">
        <v>44606</v>
      </c>
      <c r="B187" s="30">
        <v>104.03</v>
      </c>
      <c r="C187" s="30">
        <v>95.42</v>
      </c>
      <c r="D187" s="31">
        <f t="shared" si="3"/>
        <v>-8.2764587138325477E-2</v>
      </c>
      <c r="E187" s="31">
        <f>'S&amp;P 500'!D186:D447</f>
        <v>1.1980871226983355E-2</v>
      </c>
      <c r="G187" s="35">
        <v>44606</v>
      </c>
      <c r="H187" s="4">
        <v>4412.6099999999997</v>
      </c>
      <c r="I187" s="4">
        <v>4348.87</v>
      </c>
      <c r="J187" s="5">
        <f t="shared" si="1"/>
        <v>-1.4444965677909398E-2</v>
      </c>
    </row>
    <row r="188" spans="1:10">
      <c r="A188" s="29">
        <v>44613</v>
      </c>
      <c r="B188" s="30">
        <v>94.68</v>
      </c>
      <c r="C188" s="30">
        <v>94.55</v>
      </c>
      <c r="D188" s="31">
        <f t="shared" si="3"/>
        <v>-1.3730460498522356E-3</v>
      </c>
      <c r="E188" s="31">
        <f>'S&amp;P 500'!D187:D448</f>
        <v>-5.8105218675431093E-3</v>
      </c>
      <c r="G188" s="35">
        <v>44613</v>
      </c>
      <c r="H188" s="4">
        <v>4332.74</v>
      </c>
      <c r="I188" s="4">
        <v>4384.6499999999996</v>
      </c>
      <c r="J188" s="5">
        <f t="shared" si="1"/>
        <v>1.1980871226983355E-2</v>
      </c>
    </row>
    <row r="189" spans="1:10">
      <c r="A189" s="29">
        <v>44620</v>
      </c>
      <c r="B189" s="30">
        <v>91.59</v>
      </c>
      <c r="C189" s="30">
        <v>86.36</v>
      </c>
      <c r="D189" s="31">
        <f t="shared" si="3"/>
        <v>-5.7102303744950365E-2</v>
      </c>
      <c r="E189" s="31">
        <f>'S&amp;P 500'!D188:D449</f>
        <v>-2.8356763677458523E-2</v>
      </c>
      <c r="G189" s="35">
        <v>44620</v>
      </c>
      <c r="H189" s="4">
        <v>4354.17</v>
      </c>
      <c r="I189" s="4">
        <v>4328.87</v>
      </c>
      <c r="J189" s="5">
        <f t="shared" si="1"/>
        <v>-5.8105218675431093E-3</v>
      </c>
    </row>
    <row r="190" spans="1:10">
      <c r="A190" s="29">
        <v>44627</v>
      </c>
      <c r="B190" s="30">
        <v>85.03</v>
      </c>
      <c r="C190" s="30">
        <v>85.18</v>
      </c>
      <c r="D190" s="31">
        <f t="shared" si="3"/>
        <v>1.7640832647301621E-3</v>
      </c>
      <c r="E190" s="31">
        <f>'S&amp;P 500'!D189:D450</f>
        <v>6.1952293141395491E-2</v>
      </c>
      <c r="G190" s="35">
        <v>44627</v>
      </c>
      <c r="H190" s="4">
        <v>4327.01</v>
      </c>
      <c r="I190" s="4">
        <v>4204.3100000000004</v>
      </c>
      <c r="J190" s="5">
        <f t="shared" si="1"/>
        <v>-2.8356763677458523E-2</v>
      </c>
    </row>
    <row r="191" spans="1:10">
      <c r="A191" s="29">
        <v>44634</v>
      </c>
      <c r="B191" s="30">
        <v>85.85</v>
      </c>
      <c r="C191" s="30">
        <v>94.82</v>
      </c>
      <c r="D191" s="31">
        <f t="shared" si="3"/>
        <v>0.10448456610366919</v>
      </c>
      <c r="E191" s="31">
        <f>'S&amp;P 500'!D190:D451</f>
        <v>1.8075475080674249E-2</v>
      </c>
      <c r="G191" s="35">
        <v>44634</v>
      </c>
      <c r="H191" s="4">
        <v>4202.75</v>
      </c>
      <c r="I191" s="4">
        <v>4463.12</v>
      </c>
      <c r="J191" s="5">
        <f t="shared" si="1"/>
        <v>6.1952293141395491E-2</v>
      </c>
    </row>
    <row r="192" spans="1:10">
      <c r="A192" s="29">
        <v>44641</v>
      </c>
      <c r="B192" s="30">
        <v>94.72</v>
      </c>
      <c r="C192" s="30">
        <v>92.38</v>
      </c>
      <c r="D192" s="31">
        <f t="shared" si="3"/>
        <v>-2.4704391891891928E-2</v>
      </c>
      <c r="E192" s="31">
        <f>'S&amp;P 500'!D191:D452</f>
        <v>1.0504086023398627E-3</v>
      </c>
      <c r="G192" s="35">
        <v>44641</v>
      </c>
      <c r="H192" s="4">
        <v>4462.3999999999996</v>
      </c>
      <c r="I192" s="4">
        <v>4543.0600000000004</v>
      </c>
      <c r="J192" s="5">
        <f t="shared" si="1"/>
        <v>1.8075475080674249E-2</v>
      </c>
    </row>
    <row r="193" spans="1:10">
      <c r="A193" s="29">
        <v>44648</v>
      </c>
      <c r="B193" s="30">
        <v>92.28</v>
      </c>
      <c r="C193" s="30">
        <v>86.99</v>
      </c>
      <c r="D193" s="31">
        <f t="shared" si="3"/>
        <v>-5.7325530992631192E-2</v>
      </c>
      <c r="E193" s="31">
        <f>'S&amp;P 500'!D192:D453</f>
        <v>-1.3124536881290005E-2</v>
      </c>
      <c r="G193" s="35">
        <v>44648</v>
      </c>
      <c r="H193" s="4">
        <v>4541.09</v>
      </c>
      <c r="I193" s="4">
        <v>4545.8599999999997</v>
      </c>
      <c r="J193" s="5">
        <f t="shared" si="1"/>
        <v>1.0504086023398627E-3</v>
      </c>
    </row>
    <row r="194" spans="1:10">
      <c r="A194" s="29">
        <v>44655</v>
      </c>
      <c r="B194" s="30">
        <v>86.54</v>
      </c>
      <c r="C194" s="30">
        <v>84.06</v>
      </c>
      <c r="D194" s="31">
        <f t="shared" si="3"/>
        <v>-2.8657268315229995E-2</v>
      </c>
      <c r="E194" s="31">
        <f>'S&amp;P 500'!D193:D454</f>
        <v>-1.5696986537117083E-2</v>
      </c>
      <c r="G194" s="35">
        <v>44655</v>
      </c>
      <c r="H194" s="4">
        <v>4547.97</v>
      </c>
      <c r="I194" s="4">
        <v>4488.28</v>
      </c>
      <c r="J194" s="5">
        <f t="shared" si="1"/>
        <v>-1.3124536881290005E-2</v>
      </c>
    </row>
    <row r="195" spans="1:10">
      <c r="A195" s="29">
        <v>44662</v>
      </c>
      <c r="B195" s="30">
        <v>83.58</v>
      </c>
      <c r="C195" s="30">
        <v>84.76</v>
      </c>
      <c r="D195" s="31">
        <f t="shared" si="3"/>
        <v>1.4118210098109677E-2</v>
      </c>
      <c r="E195" s="31">
        <f>'S&amp;P 500'!D194:D455</f>
        <v>-2.5959782288975667E-2</v>
      </c>
      <c r="G195" s="35">
        <v>44662</v>
      </c>
      <c r="H195" s="4">
        <v>4462.6400000000003</v>
      </c>
      <c r="I195" s="4">
        <v>4392.59</v>
      </c>
      <c r="J195" s="5">
        <f t="shared" si="1"/>
        <v>-1.5696986537117083E-2</v>
      </c>
    </row>
    <row r="196" spans="1:10">
      <c r="A196" s="29">
        <v>44669</v>
      </c>
      <c r="B196" s="30">
        <v>84.39</v>
      </c>
      <c r="C196" s="30">
        <v>84.74</v>
      </c>
      <c r="D196" s="31">
        <f t="shared" ref="D196:D259" si="4">(C196-B196)/B196</f>
        <v>4.1474108306670731E-3</v>
      </c>
      <c r="E196" s="31">
        <f>'S&amp;P 500'!D195:D456</f>
        <v>-2.9001207894081282E-2</v>
      </c>
      <c r="G196" s="35">
        <v>44669</v>
      </c>
      <c r="H196" s="4">
        <v>4385.63</v>
      </c>
      <c r="I196" s="4">
        <v>4271.78</v>
      </c>
      <c r="J196" s="5">
        <f t="shared" si="1"/>
        <v>-2.5959782288975667E-2</v>
      </c>
    </row>
    <row r="197" spans="1:10">
      <c r="A197" s="29">
        <v>44676</v>
      </c>
      <c r="B197" s="30">
        <v>84.03</v>
      </c>
      <c r="C197" s="30">
        <v>80.59</v>
      </c>
      <c r="D197" s="31">
        <f t="shared" si="4"/>
        <v>-4.0937760323693888E-2</v>
      </c>
      <c r="E197" s="31">
        <f>'S&amp;P 500'!D196:D457</f>
        <v>-1.7600306008070303E-3</v>
      </c>
      <c r="G197" s="35">
        <v>44676</v>
      </c>
      <c r="H197" s="4">
        <v>4255.34</v>
      </c>
      <c r="I197" s="4">
        <v>4131.93</v>
      </c>
      <c r="J197" s="5">
        <f t="shared" si="1"/>
        <v>-2.9001207894081282E-2</v>
      </c>
    </row>
    <row r="198" spans="1:10">
      <c r="A198" s="29">
        <v>44683</v>
      </c>
      <c r="B198" s="30">
        <v>80.59</v>
      </c>
      <c r="C198" s="30">
        <v>84.23</v>
      </c>
      <c r="D198" s="31">
        <f t="shared" si="4"/>
        <v>4.516689415560244E-2</v>
      </c>
      <c r="E198" s="31">
        <f>'S&amp;P 500'!D197:D458</f>
        <v>-1.4059349173174064E-2</v>
      </c>
      <c r="G198" s="35">
        <v>44683</v>
      </c>
      <c r="H198" s="4">
        <v>4130.6099999999997</v>
      </c>
      <c r="I198" s="4">
        <v>4123.34</v>
      </c>
      <c r="J198" s="5">
        <f t="shared" si="1"/>
        <v>-1.7600306008070303E-3</v>
      </c>
    </row>
    <row r="199" spans="1:10">
      <c r="A199" s="29">
        <v>44690</v>
      </c>
      <c r="B199" s="30">
        <v>82.54</v>
      </c>
      <c r="C199" s="30">
        <v>80.540000000000006</v>
      </c>
      <c r="D199" s="31">
        <f t="shared" si="4"/>
        <v>-2.42306760358614E-2</v>
      </c>
      <c r="E199" s="31">
        <f>'S&amp;P 500'!D198:D459</f>
        <v>-2.7824431475547057E-2</v>
      </c>
      <c r="G199" s="35">
        <v>44690</v>
      </c>
      <c r="H199" s="4">
        <v>4081.27</v>
      </c>
      <c r="I199" s="4">
        <v>4023.89</v>
      </c>
      <c r="J199" s="5">
        <f t="shared" si="1"/>
        <v>-1.4059349173174064E-2</v>
      </c>
    </row>
    <row r="200" spans="1:10">
      <c r="A200" s="29">
        <v>44697</v>
      </c>
      <c r="B200" s="30">
        <v>80.39</v>
      </c>
      <c r="C200" s="30">
        <v>79.37</v>
      </c>
      <c r="D200" s="31">
        <f t="shared" si="4"/>
        <v>-1.2688145291702899E-2</v>
      </c>
      <c r="E200" s="31">
        <f>'S&amp;P 500'!D199:D460</f>
        <v>6.0932484908481278E-2</v>
      </c>
      <c r="G200" s="35">
        <v>44697</v>
      </c>
      <c r="H200" s="4">
        <v>4013.02</v>
      </c>
      <c r="I200" s="4">
        <v>3901.36</v>
      </c>
      <c r="J200" s="5">
        <f t="shared" si="1"/>
        <v>-2.7824431475547057E-2</v>
      </c>
    </row>
    <row r="201" spans="1:10">
      <c r="A201" s="29">
        <v>44704</v>
      </c>
      <c r="B201" s="30">
        <v>80.790000000000006</v>
      </c>
      <c r="C201" s="30">
        <v>86.45</v>
      </c>
      <c r="D201" s="31">
        <f t="shared" si="4"/>
        <v>7.0058175516771834E-2</v>
      </c>
      <c r="E201" s="31">
        <f>'S&amp;P 500'!D200:D461</f>
        <v>-1.0250319795523629E-2</v>
      </c>
      <c r="G201" s="35">
        <v>44704</v>
      </c>
      <c r="H201" s="4">
        <v>3919.42</v>
      </c>
      <c r="I201" s="4">
        <v>4158.24</v>
      </c>
      <c r="J201" s="5">
        <f t="shared" si="1"/>
        <v>6.0932484908481278E-2</v>
      </c>
    </row>
    <row r="202" spans="1:10">
      <c r="A202" s="29">
        <v>44711</v>
      </c>
      <c r="B202" s="30">
        <v>85.46</v>
      </c>
      <c r="C202" s="30">
        <v>84.12</v>
      </c>
      <c r="D202" s="31">
        <f t="shared" si="4"/>
        <v>-1.5679850222326108E-2</v>
      </c>
      <c r="E202" s="31">
        <f>'S&amp;P 500'!D201:D462</f>
        <v>-5.6560057271109077E-2</v>
      </c>
      <c r="G202" s="35">
        <v>44711</v>
      </c>
      <c r="H202" s="4">
        <v>4151.09</v>
      </c>
      <c r="I202" s="4">
        <v>4108.54</v>
      </c>
      <c r="J202" s="5">
        <f t="shared" si="1"/>
        <v>-1.0250319795523629E-2</v>
      </c>
    </row>
    <row r="203" spans="1:10">
      <c r="A203" s="29">
        <v>44718</v>
      </c>
      <c r="B203" s="30">
        <v>85.2</v>
      </c>
      <c r="C203" s="30">
        <v>77.400000000000006</v>
      </c>
      <c r="D203" s="31">
        <f t="shared" si="4"/>
        <v>-9.1549295774647849E-2</v>
      </c>
      <c r="E203" s="31">
        <f>'S&amp;P 500'!D202:D463</f>
        <v>-4.254914477026691E-2</v>
      </c>
      <c r="G203" s="35">
        <v>44718</v>
      </c>
      <c r="H203" s="4">
        <v>4134.72</v>
      </c>
      <c r="I203" s="4">
        <v>3900.86</v>
      </c>
      <c r="J203" s="5">
        <f t="shared" si="1"/>
        <v>-5.6560057271109077E-2</v>
      </c>
    </row>
    <row r="204" spans="1:10">
      <c r="A204" s="29">
        <v>44725</v>
      </c>
      <c r="B204" s="30">
        <v>75.02</v>
      </c>
      <c r="C204" s="30">
        <v>72.900000000000006</v>
      </c>
      <c r="D204" s="31">
        <f t="shared" si="4"/>
        <v>-2.8259130898426958E-2</v>
      </c>
      <c r="E204" s="31">
        <f>'S&amp;P 500'!D203:D464</f>
        <v>5.2870419964955777E-2</v>
      </c>
      <c r="G204" s="35">
        <v>44725</v>
      </c>
      <c r="H204" s="4">
        <v>3838.15</v>
      </c>
      <c r="I204" s="4">
        <v>3674.84</v>
      </c>
      <c r="J204" s="5">
        <f t="shared" si="1"/>
        <v>-4.254914477026691E-2</v>
      </c>
    </row>
    <row r="205" spans="1:10">
      <c r="A205" s="29">
        <v>44732</v>
      </c>
      <c r="B205" s="30">
        <v>75.069999999999993</v>
      </c>
      <c r="C205" s="30">
        <v>77.819999999999993</v>
      </c>
      <c r="D205" s="31">
        <f t="shared" si="4"/>
        <v>3.6632476355401629E-2</v>
      </c>
      <c r="E205" s="31">
        <f>'S&amp;P 500'!D204:D465</f>
        <v>-2.4339668839714824E-2</v>
      </c>
      <c r="G205" s="35">
        <v>44732</v>
      </c>
      <c r="H205" s="4">
        <v>3715.31</v>
      </c>
      <c r="I205" s="4">
        <v>3911.74</v>
      </c>
      <c r="J205" s="5">
        <f t="shared" si="1"/>
        <v>5.2870419964955777E-2</v>
      </c>
    </row>
    <row r="206" spans="1:10">
      <c r="A206" s="29">
        <v>44739</v>
      </c>
      <c r="B206" s="30">
        <v>78.400000000000006</v>
      </c>
      <c r="C206" s="30">
        <v>76.75</v>
      </c>
      <c r="D206" s="31">
        <f t="shared" si="4"/>
        <v>-2.1045918367347011E-2</v>
      </c>
      <c r="E206" s="31">
        <f>'S&amp;P 500'!D205:D466</f>
        <v>2.8152116879932285E-2</v>
      </c>
      <c r="G206" s="35">
        <v>44739</v>
      </c>
      <c r="H206" s="4">
        <v>3920.76</v>
      </c>
      <c r="I206" s="4">
        <v>3825.33</v>
      </c>
      <c r="J206" s="5">
        <f t="shared" si="1"/>
        <v>-2.4339668839714824E-2</v>
      </c>
    </row>
    <row r="207" spans="1:10">
      <c r="A207" s="29">
        <v>44746</v>
      </c>
      <c r="B207" s="30">
        <v>75.06</v>
      </c>
      <c r="C207" s="30">
        <v>76.73</v>
      </c>
      <c r="D207" s="31">
        <f t="shared" si="4"/>
        <v>2.2248867572608601E-2</v>
      </c>
      <c r="E207" s="31">
        <f>'S&amp;P 500'!D206:D467</f>
        <v>-4.5813643086469258E-3</v>
      </c>
      <c r="G207" s="35">
        <v>44746</v>
      </c>
      <c r="H207" s="4">
        <v>3792.61</v>
      </c>
      <c r="I207" s="4">
        <v>3899.38</v>
      </c>
      <c r="J207" s="5">
        <f t="shared" si="1"/>
        <v>2.8152116879932285E-2</v>
      </c>
    </row>
    <row r="208" spans="1:10">
      <c r="A208" s="29">
        <v>44753</v>
      </c>
      <c r="B208" s="30">
        <v>75.86</v>
      </c>
      <c r="C208" s="30">
        <v>78.05</v>
      </c>
      <c r="D208" s="31">
        <f t="shared" si="4"/>
        <v>2.8868969153704162E-2</v>
      </c>
      <c r="E208" s="31">
        <f>'S&amp;P 500'!D207:D468</f>
        <v>2.0042278290020869E-2</v>
      </c>
      <c r="G208" s="35">
        <v>44753</v>
      </c>
      <c r="H208" s="4">
        <v>3880.94</v>
      </c>
      <c r="I208" s="4">
        <v>3863.16</v>
      </c>
      <c r="J208" s="5">
        <f t="shared" si="1"/>
        <v>-4.5813643086469258E-3</v>
      </c>
    </row>
    <row r="209" spans="1:10">
      <c r="A209" s="29">
        <v>44760</v>
      </c>
      <c r="B209" s="30">
        <v>79.5</v>
      </c>
      <c r="C209" s="30">
        <v>82.43</v>
      </c>
      <c r="D209" s="31">
        <f t="shared" si="4"/>
        <v>3.685534591194977E-2</v>
      </c>
      <c r="E209" s="31">
        <f>'S&amp;P 500'!D208:D469</f>
        <v>4.1498139051672878E-2</v>
      </c>
      <c r="G209" s="35">
        <v>44760</v>
      </c>
      <c r="H209" s="4">
        <v>3883.79</v>
      </c>
      <c r="I209" s="4">
        <v>3961.63</v>
      </c>
      <c r="J209" s="5">
        <f t="shared" si="1"/>
        <v>2.0042278290020869E-2</v>
      </c>
    </row>
    <row r="210" spans="1:10">
      <c r="A210" s="29">
        <v>44767</v>
      </c>
      <c r="B210" s="30">
        <v>82.89</v>
      </c>
      <c r="C210" s="30">
        <v>84.3</v>
      </c>
      <c r="D210" s="31">
        <f t="shared" si="4"/>
        <v>1.701049583785736E-2</v>
      </c>
      <c r="E210" s="31">
        <f>'S&amp;P 500'!D209:D470</f>
        <v>7.9783483043880891E-3</v>
      </c>
      <c r="G210" s="35">
        <v>44767</v>
      </c>
      <c r="H210" s="4">
        <v>3965.72</v>
      </c>
      <c r="I210" s="4">
        <v>4130.29</v>
      </c>
      <c r="J210" s="5">
        <f t="shared" si="1"/>
        <v>4.1498139051672878E-2</v>
      </c>
    </row>
    <row r="211" spans="1:10">
      <c r="A211" s="29">
        <v>44774</v>
      </c>
      <c r="B211" s="30">
        <v>83.66</v>
      </c>
      <c r="C211" s="30">
        <v>86.13</v>
      </c>
      <c r="D211" s="31">
        <f t="shared" si="4"/>
        <v>2.9524264881663865E-2</v>
      </c>
      <c r="E211" s="31">
        <f>'S&amp;P 500'!D210:D471</f>
        <v>2.988982008840364E-2</v>
      </c>
      <c r="G211" s="35">
        <v>44774</v>
      </c>
      <c r="H211" s="4">
        <v>4112.38</v>
      </c>
      <c r="I211" s="4">
        <v>4145.1899999999996</v>
      </c>
      <c r="J211" s="5">
        <f t="shared" si="1"/>
        <v>7.9783483043880891E-3</v>
      </c>
    </row>
    <row r="212" spans="1:10">
      <c r="A212" s="29">
        <v>44781</v>
      </c>
      <c r="B212" s="30">
        <v>86.76</v>
      </c>
      <c r="C212" s="30">
        <v>91.66</v>
      </c>
      <c r="D212" s="31">
        <f t="shared" si="4"/>
        <v>5.6477639465191229E-2</v>
      </c>
      <c r="E212" s="31">
        <f>'S&amp;P 500'!D211:D472</f>
        <v>-9.577525489709332E-3</v>
      </c>
      <c r="G212" s="35">
        <v>44781</v>
      </c>
      <c r="H212" s="4">
        <v>4155.93</v>
      </c>
      <c r="I212" s="4">
        <v>4280.1499999999996</v>
      </c>
      <c r="J212" s="5">
        <f t="shared" si="1"/>
        <v>2.988982008840364E-2</v>
      </c>
    </row>
    <row r="213" spans="1:10">
      <c r="A213" s="29">
        <v>44788</v>
      </c>
      <c r="B213" s="30">
        <v>90.65</v>
      </c>
      <c r="C213" s="30">
        <v>90.01</v>
      </c>
      <c r="D213" s="31">
        <f t="shared" si="4"/>
        <v>-7.060121345835637E-3</v>
      </c>
      <c r="E213" s="31">
        <f>'S&amp;P 500'!D212:D473</f>
        <v>-3.2757420597461805E-2</v>
      </c>
      <c r="G213" s="35">
        <v>44788</v>
      </c>
      <c r="H213" s="4">
        <v>4269.37</v>
      </c>
      <c r="I213" s="4">
        <v>4228.4799999999996</v>
      </c>
      <c r="J213" s="5">
        <f t="shared" si="1"/>
        <v>-9.577525489709332E-3</v>
      </c>
    </row>
    <row r="214" spans="1:10">
      <c r="A214" s="29">
        <v>44795</v>
      </c>
      <c r="B214" s="30">
        <v>88.43</v>
      </c>
      <c r="C214" s="30">
        <v>86.81</v>
      </c>
      <c r="D214" s="31">
        <f t="shared" si="4"/>
        <v>-1.8319574804930502E-2</v>
      </c>
      <c r="E214" s="31">
        <f>'S&amp;P 500'!D213:D474</f>
        <v>-2.7343614453053281E-2</v>
      </c>
      <c r="G214" s="35">
        <v>44795</v>
      </c>
      <c r="H214" s="4">
        <v>4195.08</v>
      </c>
      <c r="I214" s="4">
        <v>4057.66</v>
      </c>
      <c r="J214" s="5">
        <f t="shared" si="1"/>
        <v>-3.2757420597461805E-2</v>
      </c>
    </row>
    <row r="215" spans="1:10">
      <c r="A215" s="29">
        <v>44802</v>
      </c>
      <c r="B215" s="30">
        <v>86.14</v>
      </c>
      <c r="C215" s="30">
        <v>86.4</v>
      </c>
      <c r="D215" s="31">
        <f t="shared" si="4"/>
        <v>3.0183422335733124E-3</v>
      </c>
      <c r="E215" s="31">
        <f>'S&amp;P 500'!D214:D475</f>
        <v>3.4717328645675727E-2</v>
      </c>
      <c r="G215" s="35">
        <v>44802</v>
      </c>
      <c r="H215" s="4">
        <v>4034.58</v>
      </c>
      <c r="I215" s="4">
        <v>3924.26</v>
      </c>
      <c r="J215" s="5">
        <f t="shared" si="1"/>
        <v>-2.7343614453053281E-2</v>
      </c>
    </row>
    <row r="216" spans="1:10">
      <c r="A216" s="29">
        <v>44809</v>
      </c>
      <c r="B216" s="30">
        <v>86.75</v>
      </c>
      <c r="C216" s="30">
        <v>89.46</v>
      </c>
      <c r="D216" s="31">
        <f t="shared" si="4"/>
        <v>3.1239193083573414E-2</v>
      </c>
      <c r="E216" s="31">
        <f>'S&amp;P 500'!D215:D476</f>
        <v>-5.1507589986458296E-2</v>
      </c>
      <c r="G216" s="35">
        <v>44809</v>
      </c>
      <c r="H216" s="4">
        <v>3930.89</v>
      </c>
      <c r="I216" s="4">
        <v>4067.36</v>
      </c>
      <c r="J216" s="5">
        <f t="shared" si="1"/>
        <v>3.4717328645675727E-2</v>
      </c>
    </row>
    <row r="217" spans="1:10">
      <c r="A217" s="29">
        <v>44816</v>
      </c>
      <c r="B217" s="30">
        <v>90</v>
      </c>
      <c r="C217" s="30">
        <v>87.43</v>
      </c>
      <c r="D217" s="31">
        <f t="shared" si="4"/>
        <v>-2.855555555555548E-2</v>
      </c>
      <c r="E217" s="31">
        <f>'S&amp;P 500'!D216:D477</f>
        <v>-4.0697055255837111E-2</v>
      </c>
      <c r="G217" s="35">
        <v>44816</v>
      </c>
      <c r="H217" s="4">
        <v>4083.67</v>
      </c>
      <c r="I217" s="4">
        <v>3873.33</v>
      </c>
      <c r="J217" s="5">
        <f t="shared" si="1"/>
        <v>-5.1507589986458296E-2</v>
      </c>
    </row>
    <row r="218" spans="1:10">
      <c r="A218" s="29">
        <v>44823</v>
      </c>
      <c r="B218" s="30">
        <v>86.12</v>
      </c>
      <c r="C218" s="30">
        <v>81.510000000000005</v>
      </c>
      <c r="D218" s="31">
        <f t="shared" si="4"/>
        <v>-5.3529958197863436E-2</v>
      </c>
      <c r="E218" s="31">
        <f>'S&amp;P 500'!D217:D478</f>
        <v>-2.63663813702915E-2</v>
      </c>
      <c r="G218" s="35">
        <v>44823</v>
      </c>
      <c r="H218" s="4">
        <v>3849.91</v>
      </c>
      <c r="I218" s="4">
        <v>3693.23</v>
      </c>
      <c r="J218" s="5">
        <f t="shared" si="1"/>
        <v>-4.0697055255837111E-2</v>
      </c>
    </row>
    <row r="219" spans="1:10">
      <c r="A219" s="29">
        <v>44830</v>
      </c>
      <c r="B219" s="30">
        <v>80.92</v>
      </c>
      <c r="C219" s="30">
        <v>79.010000000000005</v>
      </c>
      <c r="D219" s="31">
        <f t="shared" si="4"/>
        <v>-2.3603559070687057E-2</v>
      </c>
      <c r="E219" s="31">
        <f>'S&amp;P 500'!D218:D479</f>
        <v>8.2775127570100266E-3</v>
      </c>
      <c r="G219" s="35">
        <v>44830</v>
      </c>
      <c r="H219" s="4">
        <v>3682.72</v>
      </c>
      <c r="I219" s="4">
        <v>3585.62</v>
      </c>
      <c r="J219" s="5">
        <f t="shared" si="1"/>
        <v>-2.63663813702915E-2</v>
      </c>
    </row>
    <row r="220" spans="1:10">
      <c r="A220" s="29">
        <v>44837</v>
      </c>
      <c r="B220" s="30">
        <v>80.05</v>
      </c>
      <c r="C220" s="30">
        <v>78.930000000000007</v>
      </c>
      <c r="D220" s="31">
        <f t="shared" si="4"/>
        <v>-1.3991255465334047E-2</v>
      </c>
      <c r="E220" s="31">
        <f>'S&amp;P 500'!D219:D480</f>
        <v>-1.7666846698158482E-2</v>
      </c>
      <c r="G220" s="35">
        <v>44837</v>
      </c>
      <c r="H220" s="4">
        <v>3609.78</v>
      </c>
      <c r="I220" s="4">
        <v>3639.66</v>
      </c>
      <c r="J220" s="5">
        <f t="shared" si="1"/>
        <v>8.2775127570100266E-3</v>
      </c>
    </row>
    <row r="221" spans="1:10">
      <c r="A221" s="29">
        <v>44844</v>
      </c>
      <c r="B221" s="30">
        <v>79.44</v>
      </c>
      <c r="C221" s="30">
        <v>75.3</v>
      </c>
      <c r="D221" s="31">
        <f t="shared" si="4"/>
        <v>-5.2114803625377654E-2</v>
      </c>
      <c r="E221" s="31">
        <f>'S&amp;P 500'!D220:D481</f>
        <v>3.1357783793439849E-2</v>
      </c>
      <c r="G221" s="35">
        <v>44844</v>
      </c>
      <c r="H221" s="4">
        <v>3647.51</v>
      </c>
      <c r="I221" s="4">
        <v>3583.07</v>
      </c>
      <c r="J221" s="5">
        <f t="shared" si="1"/>
        <v>-1.7666846698158482E-2</v>
      </c>
    </row>
    <row r="222" spans="1:10">
      <c r="A222" s="29">
        <v>44851</v>
      </c>
      <c r="B222" s="30">
        <v>76.81</v>
      </c>
      <c r="C222" s="30">
        <v>79.22</v>
      </c>
      <c r="D222" s="31">
        <f t="shared" si="4"/>
        <v>3.1376122900663932E-2</v>
      </c>
      <c r="E222" s="31">
        <f>'S&amp;P 500'!D221:D482</f>
        <v>3.6961624238106679E-2</v>
      </c>
      <c r="G222" s="35">
        <v>44851</v>
      </c>
      <c r="H222" s="4">
        <v>3638.65</v>
      </c>
      <c r="I222" s="4">
        <v>3752.75</v>
      </c>
      <c r="J222" s="5">
        <f t="shared" si="1"/>
        <v>3.1357783793439849E-2</v>
      </c>
    </row>
    <row r="223" spans="1:10">
      <c r="A223" s="29">
        <v>44858</v>
      </c>
      <c r="B223" s="30">
        <v>79.53</v>
      </c>
      <c r="C223" s="30">
        <v>82.22</v>
      </c>
      <c r="D223" s="31">
        <f t="shared" si="4"/>
        <v>3.3823714321639602E-2</v>
      </c>
      <c r="E223" s="31">
        <f>'S&amp;P 500'!D222:D483</f>
        <v>-2.8671896131998848E-2</v>
      </c>
      <c r="G223" s="35">
        <v>44858</v>
      </c>
      <c r="H223" s="4">
        <v>3762.01</v>
      </c>
      <c r="I223" s="4">
        <v>3901.06</v>
      </c>
      <c r="J223" s="5">
        <f t="shared" si="1"/>
        <v>3.6961624238106679E-2</v>
      </c>
    </row>
    <row r="224" spans="1:10">
      <c r="A224" s="29">
        <v>44865</v>
      </c>
      <c r="B224" s="30">
        <v>81.77</v>
      </c>
      <c r="C224" s="30">
        <v>84.85</v>
      </c>
      <c r="D224" s="31">
        <f t="shared" si="4"/>
        <v>3.7666625901919999E-2</v>
      </c>
      <c r="E224" s="31">
        <f>'S&amp;P 500'!D223:D484</f>
        <v>5.6132313771751811E-2</v>
      </c>
      <c r="G224" s="35">
        <v>44865</v>
      </c>
      <c r="H224" s="4">
        <v>3881.85</v>
      </c>
      <c r="I224" s="4">
        <v>3770.55</v>
      </c>
      <c r="J224" s="5">
        <f t="shared" si="1"/>
        <v>-2.8671896131998848E-2</v>
      </c>
    </row>
    <row r="225" spans="1:10">
      <c r="A225" s="29">
        <v>44872</v>
      </c>
      <c r="B225" s="30">
        <v>85.52</v>
      </c>
      <c r="C225" s="30">
        <v>90.78</v>
      </c>
      <c r="D225" s="31">
        <f t="shared" si="4"/>
        <v>6.1506080449017834E-2</v>
      </c>
      <c r="E225" s="31">
        <f>'S&amp;P 500'!D224:D485</f>
        <v>-3.1749862366985309E-3</v>
      </c>
      <c r="G225" s="35">
        <v>44872</v>
      </c>
      <c r="H225" s="4">
        <v>3780.71</v>
      </c>
      <c r="I225" s="4">
        <v>3992.93</v>
      </c>
      <c r="J225" s="5">
        <f t="shared" si="1"/>
        <v>5.6132313771751811E-2</v>
      </c>
    </row>
    <row r="226" spans="1:10">
      <c r="A226" s="29">
        <v>44879</v>
      </c>
      <c r="B226" s="30">
        <v>90.27</v>
      </c>
      <c r="C226" s="30">
        <v>89.2</v>
      </c>
      <c r="D226" s="31">
        <f t="shared" si="4"/>
        <v>-1.1853328902182266E-2</v>
      </c>
      <c r="E226" s="31">
        <f>'S&amp;P 500'!D225:D486</f>
        <v>1.7665808105191021E-2</v>
      </c>
      <c r="G226" s="35">
        <v>44879</v>
      </c>
      <c r="H226" s="4">
        <v>3977.97</v>
      </c>
      <c r="I226" s="4">
        <v>3965.34</v>
      </c>
      <c r="J226" s="5">
        <f t="shared" si="1"/>
        <v>-3.1749862366985309E-3</v>
      </c>
    </row>
    <row r="227" spans="1:10">
      <c r="A227" s="29">
        <v>44886</v>
      </c>
      <c r="B227" s="30">
        <v>89.06</v>
      </c>
      <c r="C227" s="30">
        <v>90.91</v>
      </c>
      <c r="D227" s="31">
        <f t="shared" si="4"/>
        <v>2.0772512912643096E-2</v>
      </c>
      <c r="E227" s="31">
        <f>'S&amp;P 500'!D226:D487</f>
        <v>1.656280584017409E-2</v>
      </c>
      <c r="G227" s="35">
        <v>44886</v>
      </c>
      <c r="H227" s="4">
        <v>3956.23</v>
      </c>
      <c r="I227" s="4">
        <v>4026.12</v>
      </c>
      <c r="J227" s="5">
        <f t="shared" si="1"/>
        <v>1.7665808105191021E-2</v>
      </c>
    </row>
    <row r="228" spans="1:10">
      <c r="A228" s="29">
        <v>44893</v>
      </c>
      <c r="B228" s="30">
        <v>90.2</v>
      </c>
      <c r="C228" s="30">
        <v>92.1</v>
      </c>
      <c r="D228" s="31">
        <f t="shared" si="4"/>
        <v>2.1064301552106333E-2</v>
      </c>
      <c r="E228" s="31">
        <f>'S&amp;P 500'!D227:D488</f>
        <v>-2.9032433206153938E-2</v>
      </c>
      <c r="G228" s="35">
        <v>44893</v>
      </c>
      <c r="H228" s="4">
        <v>4005.36</v>
      </c>
      <c r="I228" s="4">
        <v>4071.7</v>
      </c>
      <c r="J228" s="5">
        <f t="shared" si="1"/>
        <v>1.656280584017409E-2</v>
      </c>
    </row>
    <row r="229" spans="1:10">
      <c r="A229" s="29">
        <v>44900</v>
      </c>
      <c r="B229" s="30">
        <v>91.48</v>
      </c>
      <c r="C229" s="30">
        <v>89.47</v>
      </c>
      <c r="D229" s="31">
        <f t="shared" si="4"/>
        <v>-2.197201574114566E-2</v>
      </c>
      <c r="E229" s="31">
        <f>'S&amp;P 500'!D228:D489</f>
        <v>-2.2067428394456828E-2</v>
      </c>
      <c r="G229" s="35">
        <v>44900</v>
      </c>
      <c r="H229" s="4">
        <v>4052.02</v>
      </c>
      <c r="I229" s="4">
        <v>3934.38</v>
      </c>
      <c r="J229" s="5">
        <f t="shared" si="1"/>
        <v>-2.9032433206153938E-2</v>
      </c>
    </row>
    <row r="230" spans="1:10">
      <c r="A230" s="29">
        <v>44907</v>
      </c>
      <c r="B230" s="30">
        <v>89.01</v>
      </c>
      <c r="C230" s="30">
        <v>86.86</v>
      </c>
      <c r="D230" s="31">
        <f t="shared" si="4"/>
        <v>-2.4154589371980738E-2</v>
      </c>
      <c r="E230" s="31">
        <f>'S&amp;P 500'!D229:D490</f>
        <v>-2.3275788250007915E-3</v>
      </c>
      <c r="G230" s="35">
        <v>44907</v>
      </c>
      <c r="H230" s="4">
        <v>3939.29</v>
      </c>
      <c r="I230" s="4">
        <v>3852.36</v>
      </c>
      <c r="J230" s="5">
        <f t="shared" si="1"/>
        <v>-2.2067428394456828E-2</v>
      </c>
    </row>
    <row r="231" spans="1:10">
      <c r="A231" s="29">
        <v>44914</v>
      </c>
      <c r="B231" s="30">
        <v>86.74</v>
      </c>
      <c r="C231" s="30">
        <v>86.11</v>
      </c>
      <c r="D231" s="31">
        <f t="shared" si="4"/>
        <v>-7.2630850818537641E-3</v>
      </c>
      <c r="E231" s="31">
        <f>'S&amp;P 500'!D230:D491</f>
        <v>-9.9913096421345646E-4</v>
      </c>
      <c r="G231" s="35">
        <v>44914</v>
      </c>
      <c r="H231" s="4">
        <v>3853.79</v>
      </c>
      <c r="I231" s="4">
        <v>3844.82</v>
      </c>
      <c r="J231" s="5">
        <f t="shared" si="1"/>
        <v>-2.3275788250007915E-3</v>
      </c>
    </row>
    <row r="232" spans="1:10">
      <c r="A232" s="29">
        <v>44921</v>
      </c>
      <c r="B232" s="30">
        <v>86.36</v>
      </c>
      <c r="C232" s="30">
        <v>85.02</v>
      </c>
      <c r="D232" s="31">
        <f t="shared" si="4"/>
        <v>-1.5516442797591517E-2</v>
      </c>
      <c r="E232" s="31">
        <f>'S&amp;P 500'!D231:D492</f>
        <v>1.0845277671807719E-2</v>
      </c>
      <c r="G232" s="35">
        <v>44921</v>
      </c>
      <c r="H232" s="4">
        <v>3843.34</v>
      </c>
      <c r="I232" s="4">
        <v>3839.5</v>
      </c>
      <c r="J232" s="5">
        <f t="shared" si="1"/>
        <v>-9.9913096421345646E-4</v>
      </c>
    </row>
    <row r="233" spans="1:10">
      <c r="A233" s="29">
        <v>44928</v>
      </c>
      <c r="B233" s="30">
        <v>85.64</v>
      </c>
      <c r="C233" s="30">
        <v>87.56</v>
      </c>
      <c r="D233" s="31">
        <f t="shared" si="4"/>
        <v>2.241943017281646E-2</v>
      </c>
      <c r="E233" s="31">
        <f>'S&amp;P 500'!D232:D493</f>
        <v>2.2570714070194991E-2</v>
      </c>
      <c r="G233" s="35">
        <v>44928</v>
      </c>
      <c r="H233" s="4">
        <v>3853.29</v>
      </c>
      <c r="I233" s="4">
        <v>3895.08</v>
      </c>
      <c r="J233" s="5">
        <f t="shared" si="1"/>
        <v>1.0845277671807719E-2</v>
      </c>
    </row>
    <row r="234" spans="1:10">
      <c r="A234" s="29">
        <v>44935</v>
      </c>
      <c r="B234" s="30">
        <v>88.25</v>
      </c>
      <c r="C234" s="30">
        <v>91.66</v>
      </c>
      <c r="D234" s="31">
        <f t="shared" si="4"/>
        <v>3.8640226628895144E-2</v>
      </c>
      <c r="E234" s="31">
        <f>'S&amp;P 500'!D233:D494</f>
        <v>-6.6687003660659099E-3</v>
      </c>
      <c r="G234" s="35">
        <v>44935</v>
      </c>
      <c r="H234" s="4">
        <v>3910.82</v>
      </c>
      <c r="I234" s="4">
        <v>3999.09</v>
      </c>
      <c r="J234" s="5">
        <f t="shared" si="1"/>
        <v>2.2570714070194991E-2</v>
      </c>
    </row>
    <row r="235" spans="1:10">
      <c r="A235" s="29">
        <v>44942</v>
      </c>
      <c r="B235" s="30">
        <v>95.9</v>
      </c>
      <c r="C235" s="30">
        <v>96.24</v>
      </c>
      <c r="D235" s="31">
        <f t="shared" si="4"/>
        <v>3.5453597497391988E-3</v>
      </c>
      <c r="E235" s="31">
        <f>'S&amp;P 500'!D234:D495</f>
        <v>2.3231962676024492E-2</v>
      </c>
      <c r="G235" s="35">
        <v>44942</v>
      </c>
      <c r="H235" s="4">
        <v>3999.28</v>
      </c>
      <c r="I235" s="4">
        <v>3972.61</v>
      </c>
      <c r="J235" s="5">
        <f t="shared" si="1"/>
        <v>-6.6687003660659099E-3</v>
      </c>
    </row>
    <row r="236" spans="1:10">
      <c r="A236" s="29">
        <v>44949</v>
      </c>
      <c r="B236" s="30">
        <v>95.87</v>
      </c>
      <c r="C236" s="30">
        <v>96.86</v>
      </c>
      <c r="D236" s="31">
        <f t="shared" si="4"/>
        <v>1.0326483780118858E-2</v>
      </c>
      <c r="E236" s="31">
        <f>'S&amp;P 500'!D235:D496</f>
        <v>2.1537215349927169E-2</v>
      </c>
      <c r="G236" s="35">
        <v>44949</v>
      </c>
      <c r="H236" s="4">
        <v>3978.14</v>
      </c>
      <c r="I236" s="4">
        <v>4070.56</v>
      </c>
      <c r="J236" s="5">
        <f t="shared" si="1"/>
        <v>2.3231962676024492E-2</v>
      </c>
    </row>
    <row r="237" spans="1:10">
      <c r="A237" s="29">
        <v>44956</v>
      </c>
      <c r="B237" s="30">
        <v>95.03</v>
      </c>
      <c r="C237" s="30">
        <v>99.43</v>
      </c>
      <c r="D237" s="31">
        <f t="shared" si="4"/>
        <v>4.63011680521941E-2</v>
      </c>
      <c r="E237" s="31">
        <f>'S&amp;P 500'!D236:D497</f>
        <v>-7.0662714797902872E-3</v>
      </c>
      <c r="G237" s="35">
        <v>44956</v>
      </c>
      <c r="H237" s="4">
        <v>4049.27</v>
      </c>
      <c r="I237" s="4">
        <v>4136.4799999999996</v>
      </c>
      <c r="J237" s="5">
        <f t="shared" si="1"/>
        <v>2.1537215349927169E-2</v>
      </c>
    </row>
    <row r="238" spans="1:10">
      <c r="A238" s="29">
        <v>44963</v>
      </c>
      <c r="B238" s="30">
        <v>98.45</v>
      </c>
      <c r="C238" s="30">
        <v>98.44</v>
      </c>
      <c r="D238" s="31">
        <f t="shared" si="4"/>
        <v>-1.0157440325043287E-4</v>
      </c>
      <c r="E238" s="31">
        <f>'S&amp;P 500'!D237:D498</f>
        <v>-4.2791374352514379E-3</v>
      </c>
      <c r="G238" s="35">
        <v>44963</v>
      </c>
      <c r="H238" s="4">
        <v>4119.57</v>
      </c>
      <c r="I238" s="4">
        <v>4090.46</v>
      </c>
      <c r="J238" s="5">
        <f t="shared" si="1"/>
        <v>-7.0662714797902872E-3</v>
      </c>
    </row>
    <row r="239" spans="1:10">
      <c r="A239" s="29">
        <v>44970</v>
      </c>
      <c r="B239" s="30">
        <v>98.46</v>
      </c>
      <c r="C239" s="30">
        <v>99.51</v>
      </c>
      <c r="D239" s="31">
        <f t="shared" si="4"/>
        <v>1.066422912858025E-2</v>
      </c>
      <c r="E239" s="31">
        <f>'S&amp;P 500'!D238:D499</f>
        <v>-2.0311671005712722E-2</v>
      </c>
      <c r="G239" s="35">
        <v>44970</v>
      </c>
      <c r="H239" s="4">
        <v>4096.62</v>
      </c>
      <c r="I239" s="4">
        <v>4079.09</v>
      </c>
      <c r="J239" s="5">
        <f t="shared" si="1"/>
        <v>-4.2791374352514379E-3</v>
      </c>
    </row>
    <row r="240" spans="1:10">
      <c r="A240" s="29">
        <v>44977</v>
      </c>
      <c r="B240" s="30">
        <v>98.46</v>
      </c>
      <c r="C240" s="30">
        <v>97.7</v>
      </c>
      <c r="D240" s="31">
        <f t="shared" si="4"/>
        <v>-7.7188706073531479E-3</v>
      </c>
      <c r="E240" s="31">
        <f>'S&amp;P 500'!D239:D500</f>
        <v>1.3345489885681587E-2</v>
      </c>
      <c r="G240" s="35">
        <v>44977</v>
      </c>
      <c r="H240" s="4">
        <v>4052.35</v>
      </c>
      <c r="I240" s="4">
        <v>3970.04</v>
      </c>
      <c r="J240" s="5">
        <f t="shared" si="1"/>
        <v>-2.0311671005712722E-2</v>
      </c>
    </row>
    <row r="241" spans="1:10">
      <c r="A241" s="29">
        <v>44984</v>
      </c>
      <c r="B241" s="30">
        <v>98.41</v>
      </c>
      <c r="C241" s="30">
        <v>98.33</v>
      </c>
      <c r="D241" s="31">
        <f t="shared" si="4"/>
        <v>-8.1292551569960676E-4</v>
      </c>
      <c r="E241" s="31">
        <f>'S&amp;P 500'!D240:D501</f>
        <v>-4.7731896477318951E-2</v>
      </c>
      <c r="G241" s="35">
        <v>44984</v>
      </c>
      <c r="H241" s="4">
        <v>3992.36</v>
      </c>
      <c r="I241" s="4">
        <v>4045.64</v>
      </c>
      <c r="J241" s="5">
        <f t="shared" si="1"/>
        <v>1.3345489885681587E-2</v>
      </c>
    </row>
    <row r="242" spans="1:10">
      <c r="A242" s="29">
        <v>44991</v>
      </c>
      <c r="B242" s="30">
        <v>98.44</v>
      </c>
      <c r="C242" s="30">
        <v>90.05</v>
      </c>
      <c r="D242" s="31">
        <f t="shared" si="4"/>
        <v>-8.522958147094678E-2</v>
      </c>
      <c r="E242" s="31">
        <f>'S&amp;P 500'!D241:D502</f>
        <v>2.1256179728404843E-2</v>
      </c>
      <c r="G242" s="35">
        <v>44991</v>
      </c>
      <c r="H242" s="4">
        <v>4055.15</v>
      </c>
      <c r="I242" s="4">
        <v>3861.59</v>
      </c>
      <c r="J242" s="5">
        <f t="shared" si="1"/>
        <v>-4.7731896477318951E-2</v>
      </c>
    </row>
    <row r="243" spans="1:10">
      <c r="A243" s="29">
        <v>44998</v>
      </c>
      <c r="B243" s="30">
        <v>88.54</v>
      </c>
      <c r="C243" s="30">
        <v>84.18</v>
      </c>
      <c r="D243" s="31">
        <f t="shared" si="4"/>
        <v>-4.9243279873503493E-2</v>
      </c>
      <c r="E243" s="31">
        <f>'S&amp;P 500'!D242:D503</f>
        <v>1.3661878712536404E-2</v>
      </c>
      <c r="G243" s="35">
        <v>44998</v>
      </c>
      <c r="H243" s="4">
        <v>3835.12</v>
      </c>
      <c r="I243" s="4">
        <v>3916.64</v>
      </c>
      <c r="J243" s="5">
        <f t="shared" si="1"/>
        <v>2.1256179728404843E-2</v>
      </c>
    </row>
    <row r="244" spans="1:10">
      <c r="A244" s="29">
        <v>45005</v>
      </c>
      <c r="B244" s="30">
        <v>84.6</v>
      </c>
      <c r="C244" s="30">
        <v>83.95</v>
      </c>
      <c r="D244" s="31">
        <f t="shared" si="4"/>
        <v>-7.6832151300235407E-3</v>
      </c>
      <c r="E244" s="31">
        <f>'S&amp;P 500'!D243:D504</f>
        <v>3.1730409522638003E-2</v>
      </c>
      <c r="G244" s="35">
        <v>45005</v>
      </c>
      <c r="H244" s="4">
        <v>3917.47</v>
      </c>
      <c r="I244" s="4">
        <v>3970.99</v>
      </c>
      <c r="J244" s="5">
        <f t="shared" si="1"/>
        <v>1.3661878712536404E-2</v>
      </c>
    </row>
    <row r="245" spans="1:10">
      <c r="A245" s="29">
        <v>45012</v>
      </c>
      <c r="B245" s="30">
        <v>86.06</v>
      </c>
      <c r="C245" s="30">
        <v>87.8</v>
      </c>
      <c r="D245" s="31">
        <f t="shared" si="4"/>
        <v>2.0218452242621365E-2</v>
      </c>
      <c r="E245" s="31">
        <f>'S&amp;P 500'!D244:D505</f>
        <v>6.8743600994603351E-4</v>
      </c>
      <c r="G245" s="35">
        <v>45012</v>
      </c>
      <c r="H245" s="4">
        <v>3982.93</v>
      </c>
      <c r="I245" s="4">
        <v>4109.3100000000004</v>
      </c>
      <c r="J245" s="5">
        <f t="shared" si="1"/>
        <v>3.1730409522638003E-2</v>
      </c>
    </row>
    <row r="246" spans="1:10">
      <c r="A246" s="29">
        <v>45019</v>
      </c>
      <c r="B246" s="30">
        <v>87.95</v>
      </c>
      <c r="C246" s="30">
        <v>84.19</v>
      </c>
      <c r="D246" s="31">
        <f t="shared" si="4"/>
        <v>-4.2751563388288859E-2</v>
      </c>
      <c r="E246" s="31">
        <f>'S&amp;P 500'!D245:D506</f>
        <v>1.2836580828356143E-2</v>
      </c>
      <c r="G246" s="35">
        <v>45019</v>
      </c>
      <c r="H246" s="4">
        <v>4102.2</v>
      </c>
      <c r="I246" s="4">
        <v>4105.0200000000004</v>
      </c>
      <c r="J246" s="5">
        <f t="shared" si="1"/>
        <v>6.8743600994603351E-4</v>
      </c>
    </row>
    <row r="247" spans="1:10">
      <c r="A247" s="29">
        <v>45026</v>
      </c>
      <c r="B247" s="30">
        <v>83.95</v>
      </c>
      <c r="C247" s="30">
        <v>86.71</v>
      </c>
      <c r="D247" s="31">
        <f t="shared" si="4"/>
        <v>3.2876712328767016E-2</v>
      </c>
      <c r="E247" s="31">
        <f>'S&amp;P 500'!D246:D507</f>
        <v>-8.8224559300189166E-4</v>
      </c>
      <c r="G247" s="35">
        <v>45026</v>
      </c>
      <c r="H247" s="4">
        <v>4085.2</v>
      </c>
      <c r="I247" s="4">
        <v>4137.6400000000003</v>
      </c>
      <c r="J247" s="5">
        <f t="shared" si="1"/>
        <v>1.2836580828356143E-2</v>
      </c>
    </row>
    <row r="248" spans="1:10">
      <c r="A248" s="29">
        <v>45033</v>
      </c>
      <c r="B248" s="30">
        <v>86.66</v>
      </c>
      <c r="C248" s="30">
        <v>91.12</v>
      </c>
      <c r="D248" s="31">
        <f t="shared" si="4"/>
        <v>5.1465497345949782E-2</v>
      </c>
      <c r="E248" s="31">
        <f>'S&amp;P 500'!D247:D508</f>
        <v>9.0535736325860535E-3</v>
      </c>
      <c r="G248" s="35">
        <v>45033</v>
      </c>
      <c r="H248" s="4">
        <v>4137.17</v>
      </c>
      <c r="I248" s="4">
        <v>4133.5200000000004</v>
      </c>
      <c r="J248" s="5">
        <f t="shared" si="1"/>
        <v>-8.8224559300189166E-4</v>
      </c>
    </row>
    <row r="249" spans="1:10">
      <c r="A249" s="29">
        <v>45040</v>
      </c>
      <c r="B249" s="30">
        <v>91.23</v>
      </c>
      <c r="C249" s="30">
        <v>89.97</v>
      </c>
      <c r="D249" s="31">
        <f t="shared" si="4"/>
        <v>-1.3811246300559082E-2</v>
      </c>
      <c r="E249" s="31">
        <f>'S&amp;P 500'!D248:D509</f>
        <v>-7.3293830502617037E-3</v>
      </c>
      <c r="G249" s="35">
        <v>45040</v>
      </c>
      <c r="H249" s="4">
        <v>4132.07</v>
      </c>
      <c r="I249" s="4">
        <v>4169.4799999999996</v>
      </c>
      <c r="J249" s="5">
        <f t="shared" si="1"/>
        <v>9.0535736325860535E-3</v>
      </c>
    </row>
    <row r="250" spans="1:10">
      <c r="A250" s="29">
        <v>45047</v>
      </c>
      <c r="B250" s="30">
        <v>90.19</v>
      </c>
      <c r="C250" s="30">
        <v>84.88</v>
      </c>
      <c r="D250" s="31">
        <f t="shared" si="4"/>
        <v>-5.8875706841113234E-2</v>
      </c>
      <c r="E250" s="31">
        <f>'S&amp;P 500'!D249:D510</f>
        <v>-3.1182166701312643E-3</v>
      </c>
      <c r="G250" s="35">
        <v>45047</v>
      </c>
      <c r="H250" s="4">
        <v>4166.79</v>
      </c>
      <c r="I250" s="4">
        <v>4136.25</v>
      </c>
      <c r="J250" s="5">
        <f t="shared" si="1"/>
        <v>-7.3293830502617037E-3</v>
      </c>
    </row>
    <row r="251" spans="1:10">
      <c r="A251" s="29">
        <v>45054</v>
      </c>
      <c r="B251" s="30">
        <v>85.48</v>
      </c>
      <c r="C251" s="30">
        <v>82.39</v>
      </c>
      <c r="D251" s="31">
        <f t="shared" si="4"/>
        <v>-3.6148806738418381E-2</v>
      </c>
      <c r="E251" s="31">
        <f>'S&amp;P 500'!D250:D511</f>
        <v>1.5831243260271632E-2</v>
      </c>
      <c r="G251" s="35">
        <v>45054</v>
      </c>
      <c r="H251" s="4">
        <v>4136.9799999999996</v>
      </c>
      <c r="I251" s="4">
        <v>4124.08</v>
      </c>
      <c r="J251" s="5">
        <f t="shared" si="1"/>
        <v>-3.1182166701312643E-3</v>
      </c>
    </row>
    <row r="252" spans="1:10">
      <c r="A252" s="29">
        <v>45061</v>
      </c>
      <c r="B252" s="30">
        <v>82.67</v>
      </c>
      <c r="C252" s="30">
        <v>82.24</v>
      </c>
      <c r="D252" s="31">
        <f t="shared" si="4"/>
        <v>-5.20140316922713E-3</v>
      </c>
      <c r="E252" s="31">
        <f>'S&amp;P 500'!D251:D512</f>
        <v>3.5005416652747396E-3</v>
      </c>
      <c r="G252" s="35">
        <v>45061</v>
      </c>
      <c r="H252" s="4">
        <v>4126.6499999999996</v>
      </c>
      <c r="I252" s="4">
        <v>4191.9799999999996</v>
      </c>
      <c r="J252" s="5">
        <f t="shared" si="1"/>
        <v>1.5831243260271632E-2</v>
      </c>
    </row>
    <row r="253" spans="1:10">
      <c r="A253" s="29">
        <v>45068</v>
      </c>
      <c r="B253" s="30">
        <v>82.25</v>
      </c>
      <c r="C253" s="30">
        <v>83.9</v>
      </c>
      <c r="D253" s="31">
        <f t="shared" si="4"/>
        <v>2.0060790273556301E-2</v>
      </c>
      <c r="E253" s="31">
        <f>'S&amp;P 500'!D252:D513</f>
        <v>1.3168634706426477E-2</v>
      </c>
      <c r="G253" s="35">
        <v>45068</v>
      </c>
      <c r="H253" s="4">
        <v>4190.78</v>
      </c>
      <c r="I253" s="4">
        <v>4205.45</v>
      </c>
      <c r="J253" s="5">
        <f t="shared" si="1"/>
        <v>3.5005416652747396E-3</v>
      </c>
    </row>
    <row r="254" spans="1:10">
      <c r="A254" s="29">
        <v>45075</v>
      </c>
      <c r="B254" s="30">
        <v>84.16</v>
      </c>
      <c r="C254" s="30">
        <v>84.35</v>
      </c>
      <c r="D254" s="31">
        <f t="shared" si="4"/>
        <v>2.2576045627376155E-3</v>
      </c>
      <c r="E254" s="31">
        <f>'S&amp;P 500'!D253:D514</f>
        <v>3.7053553708974083E-3</v>
      </c>
      <c r="G254" s="35">
        <v>45075</v>
      </c>
      <c r="H254" s="4">
        <v>4226.71</v>
      </c>
      <c r="I254" s="4">
        <v>4282.37</v>
      </c>
      <c r="J254" s="5">
        <f t="shared" si="1"/>
        <v>1.3168634706426477E-2</v>
      </c>
    </row>
    <row r="255" spans="1:10">
      <c r="A255" s="29">
        <v>45082</v>
      </c>
      <c r="B255" s="30">
        <v>84.4</v>
      </c>
      <c r="C255" s="30">
        <v>86.21</v>
      </c>
      <c r="D255" s="31">
        <f t="shared" si="4"/>
        <v>2.1445497630331611E-2</v>
      </c>
      <c r="E255" s="31">
        <f>'S&amp;P 500'!D254:D515</f>
        <v>2.3505682029190136E-2</v>
      </c>
      <c r="G255" s="35">
        <v>45082</v>
      </c>
      <c r="H255" s="4">
        <v>4282.99</v>
      </c>
      <c r="I255" s="4">
        <v>4298.8599999999997</v>
      </c>
      <c r="J255" s="5">
        <f t="shared" si="1"/>
        <v>3.7053553708974083E-3</v>
      </c>
    </row>
    <row r="256" spans="1:10">
      <c r="A256" s="29">
        <v>45089</v>
      </c>
      <c r="B256" s="30">
        <v>86.2</v>
      </c>
      <c r="C256" s="30">
        <v>88.09</v>
      </c>
      <c r="D256" s="31">
        <f t="shared" si="4"/>
        <v>2.1925754060324831E-2</v>
      </c>
      <c r="E256" s="31">
        <f>'S&amp;P 500'!D255:D516</f>
        <v>-1.0868699827802249E-2</v>
      </c>
      <c r="G256" s="35">
        <v>45089</v>
      </c>
      <c r="H256" s="4">
        <v>4308.32</v>
      </c>
      <c r="I256" s="4">
        <v>4409.59</v>
      </c>
      <c r="J256" s="5">
        <f t="shared" si="1"/>
        <v>2.3505682029190136E-2</v>
      </c>
    </row>
    <row r="257" spans="1:23">
      <c r="A257" s="29">
        <v>45096</v>
      </c>
      <c r="B257" s="30">
        <v>87.1</v>
      </c>
      <c r="C257" s="30">
        <v>83.58</v>
      </c>
      <c r="D257" s="31">
        <f t="shared" si="4"/>
        <v>-4.0413318025258278E-2</v>
      </c>
      <c r="E257" s="31">
        <f>'S&amp;P 500'!D256:D517</f>
        <v>2.4290882978429577E-2</v>
      </c>
      <c r="G257" s="35">
        <v>45096</v>
      </c>
      <c r="H257" s="4">
        <v>4396.1099999999997</v>
      </c>
      <c r="I257" s="4">
        <v>4348.33</v>
      </c>
      <c r="J257" s="5">
        <f t="shared" si="1"/>
        <v>-1.0868699827802249E-2</v>
      </c>
    </row>
    <row r="258" spans="1:23">
      <c r="A258" s="29">
        <v>45103</v>
      </c>
      <c r="B258" s="30">
        <v>83.56</v>
      </c>
      <c r="C258" s="30">
        <v>85.4</v>
      </c>
      <c r="D258" s="31">
        <f t="shared" si="4"/>
        <v>2.2020105313547193E-2</v>
      </c>
      <c r="E258" s="31">
        <f>'S&amp;P 500'!D257:D518</f>
        <v>-1.1578526361201432E-2</v>
      </c>
      <c r="G258" s="35">
        <v>45103</v>
      </c>
      <c r="H258" s="4">
        <v>4344.84</v>
      </c>
      <c r="I258" s="4">
        <v>4450.38</v>
      </c>
      <c r="J258" s="5">
        <f t="shared" si="1"/>
        <v>2.4290882978429577E-2</v>
      </c>
    </row>
    <row r="259" spans="1:23">
      <c r="A259" s="29">
        <v>45110</v>
      </c>
      <c r="B259" s="30">
        <v>86.34</v>
      </c>
      <c r="C259" s="30">
        <v>83.36</v>
      </c>
      <c r="D259" s="31">
        <f t="shared" si="4"/>
        <v>-3.4514709288858046E-2</v>
      </c>
      <c r="E259" s="31">
        <f>'S&amp;P 500'!D258:D519</f>
        <v>2.5303636814641137E-2</v>
      </c>
      <c r="G259" s="35">
        <v>45110</v>
      </c>
      <c r="H259" s="4">
        <v>4450.4799999999996</v>
      </c>
      <c r="I259" s="4">
        <v>4398.95</v>
      </c>
      <c r="J259" s="5">
        <f t="shared" ref="J259:J264" si="5">(I259-H259)/H259</f>
        <v>-1.1578526361201432E-2</v>
      </c>
    </row>
    <row r="260" spans="1:23">
      <c r="A260" s="29">
        <v>45117</v>
      </c>
      <c r="B260" s="30">
        <v>83.42</v>
      </c>
      <c r="C260" s="30">
        <v>85.78</v>
      </c>
      <c r="D260" s="31">
        <f t="shared" ref="D260:D264" si="6">(C260-B260)/B260</f>
        <v>2.8290577799088942E-2</v>
      </c>
      <c r="E260" s="31">
        <f>'S&amp;P 500'!D259:D520</f>
        <v>6.0946669446379957E-3</v>
      </c>
      <c r="G260" s="35">
        <v>45117</v>
      </c>
      <c r="H260" s="4">
        <v>4394.2299999999996</v>
      </c>
      <c r="I260" s="4">
        <v>4505.42</v>
      </c>
      <c r="J260" s="5">
        <f t="shared" si="5"/>
        <v>2.5303636814641137E-2</v>
      </c>
    </row>
    <row r="261" spans="1:23">
      <c r="A261" s="29">
        <v>45124</v>
      </c>
      <c r="B261" s="30">
        <v>85.68</v>
      </c>
      <c r="C261" s="30">
        <v>94.01</v>
      </c>
      <c r="D261" s="31">
        <f t="shared" si="6"/>
        <v>9.7222222222222196E-2</v>
      </c>
      <c r="E261" s="31">
        <f>'S&amp;P 500'!D260:D521</f>
        <v>8.5486828117329206E-3</v>
      </c>
      <c r="G261" s="35">
        <v>45124</v>
      </c>
      <c r="H261" s="4">
        <v>4508.8599999999997</v>
      </c>
      <c r="I261" s="4">
        <v>4536.34</v>
      </c>
      <c r="J261" s="5">
        <f t="shared" si="5"/>
        <v>6.0946669446379957E-3</v>
      </c>
    </row>
    <row r="262" spans="1:23">
      <c r="A262" s="29">
        <v>45131</v>
      </c>
      <c r="B262" s="30">
        <v>94.01</v>
      </c>
      <c r="C262" s="30">
        <v>91.57</v>
      </c>
      <c r="D262" s="31">
        <f t="shared" si="6"/>
        <v>-2.5954685671737174E-2</v>
      </c>
      <c r="E262" s="31">
        <f>'S&amp;P 500'!D261:D522</f>
        <v>-2.329208125946056E-2</v>
      </c>
      <c r="G262" s="35">
        <v>45131</v>
      </c>
      <c r="H262" s="4">
        <v>4543.3900000000003</v>
      </c>
      <c r="I262" s="4">
        <v>4582.2299999999996</v>
      </c>
      <c r="J262" s="5">
        <f t="shared" si="5"/>
        <v>8.5486828117329206E-3</v>
      </c>
    </row>
    <row r="263" spans="1:23">
      <c r="A263" s="29">
        <v>45138</v>
      </c>
      <c r="B263" s="30">
        <v>91.9</v>
      </c>
      <c r="C263" s="30">
        <v>88.79</v>
      </c>
      <c r="D263" s="31">
        <f t="shared" si="6"/>
        <v>-3.3841131664853093E-2</v>
      </c>
      <c r="E263" s="31">
        <f>'S&amp;P 500'!D262:D523</f>
        <v>5.980078279803471E-3</v>
      </c>
      <c r="G263" s="35">
        <v>45138</v>
      </c>
      <c r="H263" s="4">
        <v>4584.82</v>
      </c>
      <c r="I263" s="4">
        <v>4478.03</v>
      </c>
      <c r="J263" s="5">
        <f t="shared" si="5"/>
        <v>-2.329208125946056E-2</v>
      </c>
    </row>
    <row r="264" spans="1:23">
      <c r="A264" s="29">
        <v>45145</v>
      </c>
      <c r="B264" s="30">
        <v>89.45</v>
      </c>
      <c r="C264" s="30">
        <v>88.47</v>
      </c>
      <c r="D264" s="31">
        <f t="shared" si="6"/>
        <v>-1.0955841252096187E-2</v>
      </c>
      <c r="E264" s="31">
        <f>'S&amp;P 500'!D263:D524</f>
        <v>0</v>
      </c>
      <c r="G264" s="35">
        <v>45145</v>
      </c>
      <c r="H264" s="4">
        <v>4491.58</v>
      </c>
      <c r="I264" s="4">
        <v>4518.4399999999996</v>
      </c>
      <c r="J264" s="5">
        <f t="shared" si="5"/>
        <v>5.980078279803471E-3</v>
      </c>
    </row>
    <row r="265" spans="1:23" ht="15.75" thickBot="1">
      <c r="A265" s="1"/>
      <c r="B265" s="24"/>
      <c r="D265" s="2"/>
      <c r="E265" s="2"/>
    </row>
    <row r="266" spans="1:23" ht="20.25" customHeight="1" thickTop="1" thickBot="1">
      <c r="A266" s="1"/>
      <c r="B266" s="24"/>
      <c r="C266" s="53" t="s">
        <v>12</v>
      </c>
      <c r="D266" s="53"/>
      <c r="E266" s="53"/>
      <c r="I266" s="53" t="s">
        <v>11</v>
      </c>
      <c r="J266" s="53"/>
    </row>
    <row r="267" spans="1:23" ht="19.5" customHeight="1" thickTop="1">
      <c r="A267" s="1"/>
      <c r="C267" s="3" t="s">
        <v>13</v>
      </c>
      <c r="D267" s="39">
        <f>AVERAGE(D3:D264)</f>
        <v>3.6493382738124955E-3</v>
      </c>
      <c r="E267" s="3"/>
      <c r="I267" s="3" t="s">
        <v>13</v>
      </c>
      <c r="J267" s="39">
        <f>AVERAGE(J3:J264)</f>
        <v>2.4131438309546336E-3</v>
      </c>
    </row>
    <row r="268" spans="1:23">
      <c r="C268" s="3" t="s">
        <v>14</v>
      </c>
      <c r="D268" s="39">
        <f>STDEV(D3:D264)</f>
        <v>3.9816370591639859E-2</v>
      </c>
      <c r="E268" s="3"/>
      <c r="H268" s="2"/>
      <c r="I268" s="3" t="s">
        <v>14</v>
      </c>
      <c r="J268" s="39">
        <f>STDEV(J3:J264)</f>
        <v>2.4758461744729347E-2</v>
      </c>
    </row>
    <row r="269" spans="1:23">
      <c r="C269" s="3" t="s">
        <v>15</v>
      </c>
      <c r="D269" s="38">
        <f>CORREL(D3:D264,E3:E264)</f>
        <v>-2.4512659435538601E-2</v>
      </c>
      <c r="E269" s="3"/>
    </row>
    <row r="270" spans="1:23">
      <c r="C270" s="3"/>
      <c r="D270" s="3"/>
      <c r="E270" s="3"/>
    </row>
    <row r="271" spans="1:23" ht="15.75" thickBot="1">
      <c r="C271" s="3" t="s">
        <v>5</v>
      </c>
      <c r="D271" s="38">
        <f>(D268/J268)*D269</f>
        <v>-3.9421073180357709E-2</v>
      </c>
      <c r="E271" s="3"/>
    </row>
    <row r="272" spans="1:23" ht="16.5" thickTop="1" thickBot="1">
      <c r="C272" s="3" t="s">
        <v>9</v>
      </c>
      <c r="D272" s="38">
        <f>SLOPE(D3:D264,E3:E264)</f>
        <v>-3.9433564607031971E-2</v>
      </c>
      <c r="E272" s="3"/>
      <c r="I272" s="53" t="s">
        <v>17</v>
      </c>
      <c r="J272" s="53"/>
      <c r="K272" s="46"/>
      <c r="L272" s="46"/>
      <c r="M272" s="46"/>
      <c r="N272" s="46"/>
      <c r="O272" s="46"/>
      <c r="P272" s="46"/>
      <c r="Q272" s="46"/>
      <c r="R272" s="46"/>
      <c r="S272" s="46"/>
      <c r="T272" s="46"/>
      <c r="U272" s="46"/>
      <c r="V272" s="46"/>
      <c r="W272" s="46"/>
    </row>
    <row r="273" spans="3:23" ht="15.75" thickTop="1">
      <c r="C273" s="37" t="s">
        <v>10</v>
      </c>
      <c r="D273" s="39">
        <f>(1+D267)^52-1</f>
        <v>0.20854864283074215</v>
      </c>
      <c r="E273" s="39">
        <f>(1+J267)^52-1</f>
        <v>0.13352508070691216</v>
      </c>
      <c r="I273" s="51" t="s">
        <v>12</v>
      </c>
      <c r="J273" s="52"/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</row>
    <row r="274" spans="3:23">
      <c r="E274" s="23"/>
      <c r="I274" s="44" t="s">
        <v>18</v>
      </c>
      <c r="J274" s="9"/>
      <c r="K274" s="8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</row>
    <row r="275" spans="3:23">
      <c r="E275" s="23"/>
      <c r="H275" s="43"/>
      <c r="I275" s="49" t="s">
        <v>11</v>
      </c>
      <c r="J275" s="50"/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</row>
    <row r="276" spans="3:23" ht="19.5" customHeight="1">
      <c r="C276" s="54" t="s">
        <v>7</v>
      </c>
      <c r="D276" s="54"/>
      <c r="E276" s="23"/>
      <c r="I276" s="44" t="s">
        <v>20</v>
      </c>
      <c r="J276" s="9"/>
      <c r="K276" s="8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</row>
    <row r="277" spans="3:23">
      <c r="C277" s="40" t="s">
        <v>16</v>
      </c>
      <c r="D277" s="41">
        <f>(D279+D278)*D272</f>
        <v>-5.2653698967151785E-3</v>
      </c>
      <c r="I277" s="49" t="s">
        <v>21</v>
      </c>
      <c r="J277" s="50"/>
      <c r="K277" s="8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</row>
    <row r="278" spans="3:23" ht="30">
      <c r="C278" s="42" t="s">
        <v>19</v>
      </c>
      <c r="D278" s="41">
        <f>E273-D279</f>
        <v>9.0825080706912156E-2</v>
      </c>
      <c r="I278" s="45" t="s">
        <v>6</v>
      </c>
      <c r="J278" s="10"/>
      <c r="K278" s="8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</row>
    <row r="279" spans="3:23">
      <c r="C279" s="40" t="s">
        <v>6</v>
      </c>
      <c r="D279" s="41">
        <v>4.2700000000000002E-2</v>
      </c>
      <c r="I279" s="8"/>
      <c r="J279" s="8"/>
      <c r="K279" s="8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</row>
    <row r="280" spans="3:23">
      <c r="I280" s="8"/>
      <c r="J280" s="8"/>
      <c r="K280" s="8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</row>
    <row r="287" spans="3:23">
      <c r="I287" s="11"/>
      <c r="J287" s="11"/>
    </row>
    <row r="292" spans="3:13">
      <c r="C292" s="6"/>
    </row>
    <row r="293" spans="3:13">
      <c r="C293" s="7"/>
    </row>
    <row r="294" spans="3:13">
      <c r="C294" s="6"/>
    </row>
    <row r="296" spans="3:13">
      <c r="C296" s="12"/>
      <c r="D296" s="12"/>
    </row>
    <row r="297" spans="3:13">
      <c r="C297" s="36"/>
      <c r="D297" s="11"/>
      <c r="E297" s="11"/>
      <c r="K297" s="11"/>
      <c r="L297" s="11"/>
      <c r="M297" s="11"/>
    </row>
    <row r="298" spans="3:13">
      <c r="F298" s="11"/>
      <c r="G298" s="11"/>
      <c r="H298" s="11"/>
    </row>
  </sheetData>
  <mergeCells count="9">
    <mergeCell ref="A1:E1"/>
    <mergeCell ref="G1:J1"/>
    <mergeCell ref="I275:J275"/>
    <mergeCell ref="I273:J273"/>
    <mergeCell ref="I277:J277"/>
    <mergeCell ref="C266:E266"/>
    <mergeCell ref="I266:J266"/>
    <mergeCell ref="C276:D276"/>
    <mergeCell ref="I272:J272"/>
  </mergeCells>
  <hyperlinks>
    <hyperlink ref="I274" r:id="rId1"/>
    <hyperlink ref="I278" r:id="rId2"/>
    <hyperlink ref="I276" r:id="rId3"/>
  </hyperlinks>
  <pageMargins left="0.7" right="0.7" top="0.75" bottom="0.75" header="0.3" footer="0.3"/>
  <pageSetup paperSize="9" orientation="portrait" r:id="rId4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63"/>
  <sheetViews>
    <sheetView topLeftCell="A242" workbookViewId="0">
      <selection activeCell="F259" sqref="F259"/>
    </sheetView>
  </sheetViews>
  <sheetFormatPr defaultColWidth="12.7109375" defaultRowHeight="15"/>
  <cols>
    <col min="1" max="1" width="12.7109375" style="8"/>
    <col min="2" max="2" width="13.5703125" style="8" customWidth="1"/>
    <col min="3" max="16384" width="12.7109375" style="8"/>
  </cols>
  <sheetData>
    <row r="1" spans="1:4" s="23" customFormat="1" ht="15.75" customHeight="1" thickBot="1">
      <c r="A1" s="21" t="s">
        <v>0</v>
      </c>
      <c r="B1" s="22" t="s">
        <v>1</v>
      </c>
      <c r="C1" s="22" t="s">
        <v>2</v>
      </c>
      <c r="D1" s="14" t="s">
        <v>8</v>
      </c>
    </row>
    <row r="2" spans="1:4" ht="15.75" customHeight="1" thickBot="1">
      <c r="A2" s="15">
        <v>43318</v>
      </c>
      <c r="B2" s="16">
        <v>2855.92</v>
      </c>
      <c r="C2" s="16">
        <v>2833.28</v>
      </c>
      <c r="D2" s="17">
        <f>(C2-B2)/B2</f>
        <v>-7.9273929241714999E-3</v>
      </c>
    </row>
    <row r="3" spans="1:4" ht="15.75" customHeight="1" thickBot="1">
      <c r="A3" s="18">
        <v>43325</v>
      </c>
      <c r="B3" s="16">
        <v>2835.46</v>
      </c>
      <c r="C3" s="16">
        <v>2850.13</v>
      </c>
      <c r="D3" s="17">
        <f t="shared" ref="D3:D256" si="0">(C3-B3)/B3</f>
        <v>5.17376369266365E-3</v>
      </c>
    </row>
    <row r="4" spans="1:4" ht="15.75" customHeight="1" thickBot="1">
      <c r="A4" s="18">
        <v>43332</v>
      </c>
      <c r="B4" s="16">
        <v>2853.93</v>
      </c>
      <c r="C4" s="16">
        <v>2874.69</v>
      </c>
      <c r="D4" s="17">
        <f t="shared" si="0"/>
        <v>7.2741798152022715E-3</v>
      </c>
    </row>
    <row r="5" spans="1:4" ht="15.75" customHeight="1" thickBot="1">
      <c r="A5" s="18">
        <v>43339</v>
      </c>
      <c r="B5" s="16">
        <v>2884.69</v>
      </c>
      <c r="C5" s="16">
        <v>2901.52</v>
      </c>
      <c r="D5" s="17">
        <f t="shared" si="0"/>
        <v>5.8342490874235802E-3</v>
      </c>
    </row>
    <row r="6" spans="1:4" ht="15.75" customHeight="1" thickBot="1">
      <c r="A6" s="15">
        <v>43346</v>
      </c>
      <c r="B6" s="16">
        <v>2896.96</v>
      </c>
      <c r="C6" s="16">
        <v>2871.68</v>
      </c>
      <c r="D6" s="17">
        <f t="shared" si="0"/>
        <v>-8.7263890423064875E-3</v>
      </c>
    </row>
    <row r="7" spans="1:4" ht="15.75" customHeight="1" thickBot="1">
      <c r="A7" s="18">
        <v>43353</v>
      </c>
      <c r="B7" s="16">
        <v>2881.39</v>
      </c>
      <c r="C7" s="16">
        <v>2904.98</v>
      </c>
      <c r="D7" s="17">
        <f t="shared" si="0"/>
        <v>8.1870208475770881E-3</v>
      </c>
    </row>
    <row r="8" spans="1:4" ht="15.75" customHeight="1" thickBot="1">
      <c r="A8" s="18">
        <v>43360</v>
      </c>
      <c r="B8" s="16">
        <v>2903.83</v>
      </c>
      <c r="C8" s="16">
        <v>2929.67</v>
      </c>
      <c r="D8" s="17">
        <f t="shared" si="0"/>
        <v>8.8985925484619099E-3</v>
      </c>
    </row>
    <row r="9" spans="1:4" ht="15.75" customHeight="1" thickBot="1">
      <c r="A9" s="18">
        <v>43367</v>
      </c>
      <c r="B9" s="16">
        <v>2921.83</v>
      </c>
      <c r="C9" s="16">
        <v>2913.98</v>
      </c>
      <c r="D9" s="17">
        <f t="shared" si="0"/>
        <v>-2.6866723936710586E-3</v>
      </c>
    </row>
    <row r="10" spans="1:4" ht="15.75" customHeight="1" thickBot="1">
      <c r="A10" s="15">
        <v>43374</v>
      </c>
      <c r="B10" s="16">
        <v>2926.29</v>
      </c>
      <c r="C10" s="16">
        <v>2885.57</v>
      </c>
      <c r="D10" s="17">
        <f t="shared" si="0"/>
        <v>-1.3915230547895048E-2</v>
      </c>
    </row>
    <row r="11" spans="1:4" ht="15.75" customHeight="1" thickBot="1">
      <c r="A11" s="15">
        <v>43381</v>
      </c>
      <c r="B11" s="16">
        <v>2877.53</v>
      </c>
      <c r="C11" s="16">
        <v>2767.13</v>
      </c>
      <c r="D11" s="17">
        <f t="shared" si="0"/>
        <v>-3.8366237710814509E-2</v>
      </c>
    </row>
    <row r="12" spans="1:4" ht="15.75" customHeight="1" thickBot="1">
      <c r="A12" s="18">
        <v>43388</v>
      </c>
      <c r="B12" s="16">
        <v>2763.83</v>
      </c>
      <c r="C12" s="16">
        <v>2767.78</v>
      </c>
      <c r="D12" s="17">
        <f t="shared" si="0"/>
        <v>1.4291761794322636E-3</v>
      </c>
    </row>
    <row r="13" spans="1:4" ht="15.75" customHeight="1" thickBot="1">
      <c r="A13" s="18">
        <v>43395</v>
      </c>
      <c r="B13" s="16">
        <v>2773.94</v>
      </c>
      <c r="C13" s="16">
        <v>2658.69</v>
      </c>
      <c r="D13" s="17">
        <f t="shared" si="0"/>
        <v>-4.1547401890451849E-2</v>
      </c>
    </row>
    <row r="14" spans="1:4" ht="15.75" customHeight="1" thickBot="1">
      <c r="A14" s="18">
        <v>43402</v>
      </c>
      <c r="B14" s="16">
        <v>2682.65</v>
      </c>
      <c r="C14" s="16">
        <v>2723.06</v>
      </c>
      <c r="D14" s="17">
        <f t="shared" si="0"/>
        <v>1.5063463366447302E-2</v>
      </c>
    </row>
    <row r="15" spans="1:4" ht="15.75" customHeight="1" thickBot="1">
      <c r="A15" s="15">
        <v>43409</v>
      </c>
      <c r="B15" s="16">
        <v>2726.37</v>
      </c>
      <c r="C15" s="16">
        <v>2781.01</v>
      </c>
      <c r="D15" s="17">
        <f t="shared" si="0"/>
        <v>2.004130033707836E-2</v>
      </c>
    </row>
    <row r="16" spans="1:4" ht="15.75" customHeight="1" thickBot="1">
      <c r="A16" s="18">
        <v>43416</v>
      </c>
      <c r="B16" s="16">
        <v>2773.93</v>
      </c>
      <c r="C16" s="16">
        <v>2736.27</v>
      </c>
      <c r="D16" s="17">
        <f t="shared" si="0"/>
        <v>-1.3576406037643292E-2</v>
      </c>
    </row>
    <row r="17" spans="1:4" ht="15.75" customHeight="1" thickBot="1">
      <c r="A17" s="18">
        <v>43423</v>
      </c>
      <c r="B17" s="16">
        <v>2730.74</v>
      </c>
      <c r="C17" s="16">
        <v>2632.56</v>
      </c>
      <c r="D17" s="17">
        <f t="shared" si="0"/>
        <v>-3.5953624292316314E-2</v>
      </c>
    </row>
    <row r="18" spans="1:4" ht="15.75" customHeight="1" thickBot="1">
      <c r="A18" s="18">
        <v>43430</v>
      </c>
      <c r="B18" s="16">
        <v>2649.97</v>
      </c>
      <c r="C18" s="16">
        <v>2760.17</v>
      </c>
      <c r="D18" s="17">
        <f t="shared" si="0"/>
        <v>4.1585376438223937E-2</v>
      </c>
    </row>
    <row r="19" spans="1:4" ht="15.75" customHeight="1" thickBot="1">
      <c r="A19" s="15">
        <v>43437</v>
      </c>
      <c r="B19" s="16">
        <v>2790.5</v>
      </c>
      <c r="C19" s="16">
        <v>2633.08</v>
      </c>
      <c r="D19" s="17">
        <f t="shared" si="0"/>
        <v>-5.641282924207134E-2</v>
      </c>
    </row>
    <row r="20" spans="1:4" ht="15.75" customHeight="1" thickBot="1">
      <c r="A20" s="18">
        <v>43444</v>
      </c>
      <c r="B20" s="16">
        <v>2630.86</v>
      </c>
      <c r="C20" s="16">
        <v>2599.9499999999998</v>
      </c>
      <c r="D20" s="17">
        <f t="shared" si="0"/>
        <v>-1.1749009829485532E-2</v>
      </c>
    </row>
    <row r="21" spans="1:4" ht="15.75" customHeight="1" thickBot="1">
      <c r="A21" s="18">
        <v>43451</v>
      </c>
      <c r="B21" s="16">
        <v>2590.75</v>
      </c>
      <c r="C21" s="16">
        <v>2416.62</v>
      </c>
      <c r="D21" s="17">
        <f t="shared" si="0"/>
        <v>-6.7212197240181459E-2</v>
      </c>
    </row>
    <row r="22" spans="1:4" ht="15.75" customHeight="1" thickBot="1">
      <c r="A22" s="18">
        <v>43458</v>
      </c>
      <c r="B22" s="16">
        <v>2400.56</v>
      </c>
      <c r="C22" s="16">
        <v>2485.7399999999998</v>
      </c>
      <c r="D22" s="17">
        <f t="shared" si="0"/>
        <v>3.5483387209651017E-2</v>
      </c>
    </row>
    <row r="23" spans="1:4" ht="15.75" customHeight="1" thickBot="1">
      <c r="A23" s="18">
        <v>43465</v>
      </c>
      <c r="B23" s="16">
        <v>2498.94</v>
      </c>
      <c r="C23" s="16">
        <v>2531.94</v>
      </c>
      <c r="D23" s="17">
        <f t="shared" si="0"/>
        <v>1.3205599174049797E-2</v>
      </c>
    </row>
    <row r="24" spans="1:4" ht="15.75" customHeight="1" thickBot="1">
      <c r="A24" s="15">
        <v>43472</v>
      </c>
      <c r="B24" s="16">
        <v>2535.61</v>
      </c>
      <c r="C24" s="16">
        <v>2596.2600000000002</v>
      </c>
      <c r="D24" s="17">
        <f t="shared" si="0"/>
        <v>2.3919293582214965E-2</v>
      </c>
    </row>
    <row r="25" spans="1:4" ht="15.75" customHeight="1" thickBot="1">
      <c r="A25" s="18">
        <v>43479</v>
      </c>
      <c r="B25" s="16">
        <v>2580.31</v>
      </c>
      <c r="C25" s="16">
        <v>2670.71</v>
      </c>
      <c r="D25" s="17">
        <f t="shared" si="0"/>
        <v>3.5034550112195854E-2</v>
      </c>
    </row>
    <row r="26" spans="1:4" ht="15.75" customHeight="1" thickBot="1">
      <c r="A26" s="18">
        <v>43486</v>
      </c>
      <c r="B26" s="16">
        <v>2657.88</v>
      </c>
      <c r="C26" s="16">
        <v>2664.76</v>
      </c>
      <c r="D26" s="17">
        <f t="shared" si="0"/>
        <v>2.5885292037263192E-3</v>
      </c>
    </row>
    <row r="27" spans="1:4" ht="15.75" customHeight="1" thickBot="1">
      <c r="A27" s="18">
        <v>43493</v>
      </c>
      <c r="B27" s="16">
        <v>2644.97</v>
      </c>
      <c r="C27" s="16">
        <v>2706.53</v>
      </c>
      <c r="D27" s="17">
        <f t="shared" si="0"/>
        <v>2.3274366060862847E-2</v>
      </c>
    </row>
    <row r="28" spans="1:4" ht="15.75" customHeight="1" thickBot="1">
      <c r="A28" s="15">
        <v>43500</v>
      </c>
      <c r="B28" s="16">
        <v>2706.49</v>
      </c>
      <c r="C28" s="16">
        <v>2707.88</v>
      </c>
      <c r="D28" s="17">
        <f t="shared" si="0"/>
        <v>5.1358031989784836E-4</v>
      </c>
    </row>
    <row r="29" spans="1:4" ht="15.75" customHeight="1" thickBot="1">
      <c r="A29" s="18">
        <v>43507</v>
      </c>
      <c r="B29" s="16">
        <v>2712.4</v>
      </c>
      <c r="C29" s="16">
        <v>2775.6</v>
      </c>
      <c r="D29" s="17">
        <f t="shared" si="0"/>
        <v>2.3300398171361088E-2</v>
      </c>
    </row>
    <row r="30" spans="1:4" ht="15.75" customHeight="1" thickBot="1">
      <c r="A30" s="18">
        <v>43514</v>
      </c>
      <c r="B30" s="16">
        <v>2769.28</v>
      </c>
      <c r="C30" s="16">
        <v>2792.67</v>
      </c>
      <c r="D30" s="17">
        <f t="shared" si="0"/>
        <v>8.4462387335335794E-3</v>
      </c>
    </row>
    <row r="31" spans="1:4" ht="15.75" customHeight="1" thickBot="1">
      <c r="A31" s="18">
        <v>43521</v>
      </c>
      <c r="B31" s="16">
        <v>2804.35</v>
      </c>
      <c r="C31" s="16">
        <v>2803.69</v>
      </c>
      <c r="D31" s="17">
        <f t="shared" si="0"/>
        <v>-2.353486547684328E-4</v>
      </c>
    </row>
    <row r="32" spans="1:4" ht="15.75" customHeight="1" thickBot="1">
      <c r="A32" s="15">
        <v>43528</v>
      </c>
      <c r="B32" s="16">
        <v>2814.37</v>
      </c>
      <c r="C32" s="16">
        <v>2743.07</v>
      </c>
      <c r="D32" s="17">
        <f t="shared" si="0"/>
        <v>-2.5334266638714784E-2</v>
      </c>
    </row>
    <row r="33" spans="1:4" ht="15.75" customHeight="1" thickBot="1">
      <c r="A33" s="18">
        <v>43535</v>
      </c>
      <c r="B33" s="16">
        <v>2747.61</v>
      </c>
      <c r="C33" s="16">
        <v>2822.48</v>
      </c>
      <c r="D33" s="17">
        <f t="shared" si="0"/>
        <v>2.72491365222866E-2</v>
      </c>
    </row>
    <row r="34" spans="1:4" ht="15.75" customHeight="1" thickBot="1">
      <c r="A34" s="18">
        <v>43542</v>
      </c>
      <c r="B34" s="16">
        <v>2822.61</v>
      </c>
      <c r="C34" s="16">
        <v>2800.71</v>
      </c>
      <c r="D34" s="17">
        <f t="shared" si="0"/>
        <v>-7.7587764515820784E-3</v>
      </c>
    </row>
    <row r="35" spans="1:4" ht="15.75" customHeight="1" thickBot="1">
      <c r="A35" s="18">
        <v>43549</v>
      </c>
      <c r="B35" s="16">
        <v>2796.01</v>
      </c>
      <c r="C35" s="16">
        <v>2834.4</v>
      </c>
      <c r="D35" s="17">
        <f t="shared" si="0"/>
        <v>1.3730279934621075E-2</v>
      </c>
    </row>
    <row r="36" spans="1:4" ht="15.75" customHeight="1" thickBot="1">
      <c r="A36" s="15">
        <v>43556</v>
      </c>
      <c r="B36" s="16">
        <v>2848.63</v>
      </c>
      <c r="C36" s="16">
        <v>2892.74</v>
      </c>
      <c r="D36" s="17">
        <f t="shared" si="0"/>
        <v>1.5484636474375285E-2</v>
      </c>
    </row>
    <row r="37" spans="1:4" ht="15.75" customHeight="1" thickBot="1">
      <c r="A37" s="15">
        <v>43563</v>
      </c>
      <c r="B37" s="16">
        <v>2888.46</v>
      </c>
      <c r="C37" s="16">
        <v>2907.41</v>
      </c>
      <c r="D37" s="17">
        <f t="shared" si="0"/>
        <v>6.5605893798078626E-3</v>
      </c>
    </row>
    <row r="38" spans="1:4" ht="15.75" customHeight="1" thickBot="1">
      <c r="A38" s="18">
        <v>43570</v>
      </c>
      <c r="B38" s="16">
        <v>2908.32</v>
      </c>
      <c r="C38" s="16">
        <v>2905.03</v>
      </c>
      <c r="D38" s="17">
        <f t="shared" si="0"/>
        <v>-1.1312372778786253E-3</v>
      </c>
    </row>
    <row r="39" spans="1:4" ht="15.75" customHeight="1" thickBot="1">
      <c r="A39" s="18">
        <v>43577</v>
      </c>
      <c r="B39" s="16">
        <v>2898.78</v>
      </c>
      <c r="C39" s="16">
        <v>2939.88</v>
      </c>
      <c r="D39" s="17">
        <f t="shared" si="0"/>
        <v>1.4178378490261387E-2</v>
      </c>
    </row>
    <row r="40" spans="1:4" ht="15.75" customHeight="1" thickBot="1">
      <c r="A40" s="18">
        <v>43584</v>
      </c>
      <c r="B40" s="16">
        <v>2940.58</v>
      </c>
      <c r="C40" s="16">
        <v>2945.64</v>
      </c>
      <c r="D40" s="17">
        <f t="shared" si="0"/>
        <v>1.7207489678906698E-3</v>
      </c>
    </row>
    <row r="41" spans="1:4" ht="15.75" customHeight="1" thickBot="1">
      <c r="A41" s="19">
        <v>43591</v>
      </c>
      <c r="B41" s="16">
        <v>2908.89</v>
      </c>
      <c r="C41" s="16">
        <v>2881.4</v>
      </c>
      <c r="D41" s="17">
        <f t="shared" si="0"/>
        <v>-9.4503401641175093E-3</v>
      </c>
    </row>
    <row r="42" spans="1:4" ht="15.75" customHeight="1" thickBot="1">
      <c r="A42" s="20">
        <v>43598</v>
      </c>
      <c r="B42" s="16">
        <v>2840.19</v>
      </c>
      <c r="C42" s="16">
        <v>2859.53</v>
      </c>
      <c r="D42" s="17">
        <f t="shared" si="0"/>
        <v>6.8094035962383307E-3</v>
      </c>
    </row>
    <row r="43" spans="1:4" ht="15.75" customHeight="1" thickBot="1">
      <c r="A43" s="20">
        <v>43605</v>
      </c>
      <c r="B43" s="16">
        <v>2841.94</v>
      </c>
      <c r="C43" s="16">
        <v>2826.06</v>
      </c>
      <c r="D43" s="17">
        <f t="shared" si="0"/>
        <v>-5.5877323236944157E-3</v>
      </c>
    </row>
    <row r="44" spans="1:4" ht="15.75" customHeight="1" thickBot="1">
      <c r="A44" s="20">
        <v>43612</v>
      </c>
      <c r="B44" s="16">
        <v>2830.03</v>
      </c>
      <c r="C44" s="16">
        <v>2752.06</v>
      </c>
      <c r="D44" s="17">
        <f t="shared" si="0"/>
        <v>-2.7550944689632352E-2</v>
      </c>
    </row>
    <row r="45" spans="1:4" ht="15.75" customHeight="1" thickBot="1">
      <c r="A45" s="15">
        <v>43619</v>
      </c>
      <c r="B45" s="16">
        <v>2751.53</v>
      </c>
      <c r="C45" s="16">
        <v>2873.34</v>
      </c>
      <c r="D45" s="17">
        <f t="shared" si="0"/>
        <v>4.4269915283496795E-2</v>
      </c>
    </row>
    <row r="46" spans="1:4" ht="15.75" customHeight="1" thickBot="1">
      <c r="A46" s="18">
        <v>43626</v>
      </c>
      <c r="B46" s="16">
        <v>2885.83</v>
      </c>
      <c r="C46" s="16">
        <v>2886.98</v>
      </c>
      <c r="D46" s="17">
        <f t="shared" si="0"/>
        <v>3.9849887207496319E-4</v>
      </c>
    </row>
    <row r="47" spans="1:4" ht="15.75" customHeight="1" thickBot="1">
      <c r="A47" s="18">
        <v>43633</v>
      </c>
      <c r="B47" s="16">
        <v>2889.75</v>
      </c>
      <c r="C47" s="16">
        <v>2950.46</v>
      </c>
      <c r="D47" s="17">
        <f t="shared" si="0"/>
        <v>2.1008737780084795E-2</v>
      </c>
    </row>
    <row r="48" spans="1:4" ht="15.75" customHeight="1" thickBot="1">
      <c r="A48" s="18">
        <v>43640</v>
      </c>
      <c r="B48" s="16">
        <v>2951.42</v>
      </c>
      <c r="C48" s="16">
        <v>2941.76</v>
      </c>
      <c r="D48" s="17">
        <f t="shared" si="0"/>
        <v>-3.2730007928386518E-3</v>
      </c>
    </row>
    <row r="49" spans="1:4" ht="15.75" thickBot="1">
      <c r="A49" s="15">
        <v>43647</v>
      </c>
      <c r="B49" s="16">
        <v>2971.41</v>
      </c>
      <c r="C49" s="16">
        <v>2990.41</v>
      </c>
      <c r="D49" s="17">
        <f t="shared" si="0"/>
        <v>6.3942707334228533E-3</v>
      </c>
    </row>
    <row r="50" spans="1:4" ht="15.75" thickBot="1">
      <c r="A50" s="15">
        <v>43654</v>
      </c>
      <c r="B50" s="16">
        <v>2979.77</v>
      </c>
      <c r="C50" s="16">
        <v>3013.77</v>
      </c>
      <c r="D50" s="17">
        <f t="shared" si="0"/>
        <v>1.1410276632089053E-2</v>
      </c>
    </row>
    <row r="51" spans="1:4" ht="15.75" thickBot="1">
      <c r="A51" s="18">
        <v>43661</v>
      </c>
      <c r="B51" s="16">
        <v>3017.8</v>
      </c>
      <c r="C51" s="16">
        <v>2976.61</v>
      </c>
      <c r="D51" s="17">
        <f t="shared" si="0"/>
        <v>-1.3649015839353188E-2</v>
      </c>
    </row>
    <row r="52" spans="1:4" ht="15.75" thickBot="1">
      <c r="A52" s="18">
        <v>43668</v>
      </c>
      <c r="B52" s="16">
        <v>2981.93</v>
      </c>
      <c r="C52" s="16">
        <v>3025.86</v>
      </c>
      <c r="D52" s="17">
        <f t="shared" si="0"/>
        <v>1.4732069498613413E-2</v>
      </c>
    </row>
    <row r="53" spans="1:4" ht="15.75" thickBot="1">
      <c r="A53" s="18">
        <v>43675</v>
      </c>
      <c r="B53" s="16">
        <v>3024.47</v>
      </c>
      <c r="C53" s="16">
        <v>2932.05</v>
      </c>
      <c r="D53" s="17">
        <f t="shared" si="0"/>
        <v>-3.0557419977714981E-2</v>
      </c>
    </row>
    <row r="54" spans="1:4" ht="15.75" thickBot="1">
      <c r="A54" s="15">
        <v>43682</v>
      </c>
      <c r="B54" s="16">
        <v>2898.07</v>
      </c>
      <c r="C54" s="16">
        <v>2918.65</v>
      </c>
      <c r="D54" s="17">
        <f t="shared" si="0"/>
        <v>7.1012777469143E-3</v>
      </c>
    </row>
    <row r="55" spans="1:4" ht="15.75" thickBot="1">
      <c r="A55" s="18">
        <v>43689</v>
      </c>
      <c r="B55" s="16">
        <v>2907.07</v>
      </c>
      <c r="C55" s="16">
        <v>2888.68</v>
      </c>
      <c r="D55" s="17">
        <f t="shared" si="0"/>
        <v>-6.3259570632975218E-3</v>
      </c>
    </row>
    <row r="56" spans="1:4" ht="15.75" thickBot="1">
      <c r="A56" s="18">
        <v>43696</v>
      </c>
      <c r="B56" s="16">
        <v>2913.48</v>
      </c>
      <c r="C56" s="16">
        <v>2847.11</v>
      </c>
      <c r="D56" s="17">
        <f t="shared" si="0"/>
        <v>-2.2780317695676611E-2</v>
      </c>
    </row>
    <row r="57" spans="1:4" ht="15.75" thickBot="1">
      <c r="A57" s="18">
        <v>43703</v>
      </c>
      <c r="B57" s="16">
        <v>2866.7</v>
      </c>
      <c r="C57" s="16">
        <v>2926.46</v>
      </c>
      <c r="D57" s="17">
        <f t="shared" si="0"/>
        <v>2.0846269229427641E-2</v>
      </c>
    </row>
    <row r="58" spans="1:4" ht="15.75" thickBot="1">
      <c r="A58" s="15">
        <v>43710</v>
      </c>
      <c r="B58" s="16">
        <v>2909.01</v>
      </c>
      <c r="C58" s="16">
        <v>2978.71</v>
      </c>
      <c r="D58" s="17">
        <f t="shared" si="0"/>
        <v>2.3960041388651057E-2</v>
      </c>
    </row>
    <row r="59" spans="1:4" ht="15.75" thickBot="1">
      <c r="A59" s="15">
        <v>43717</v>
      </c>
      <c r="B59" s="16">
        <v>2988.43</v>
      </c>
      <c r="C59" s="16">
        <v>3007.39</v>
      </c>
      <c r="D59" s="17">
        <f t="shared" si="0"/>
        <v>6.3444685001823823E-3</v>
      </c>
    </row>
    <row r="60" spans="1:4" ht="15.75" thickBot="1">
      <c r="A60" s="18">
        <v>43724</v>
      </c>
      <c r="B60" s="16">
        <v>2996.41</v>
      </c>
      <c r="C60" s="16">
        <v>2992.07</v>
      </c>
      <c r="D60" s="17">
        <f t="shared" si="0"/>
        <v>-1.4483999185691181E-3</v>
      </c>
    </row>
    <row r="61" spans="1:4" ht="15.75" thickBot="1">
      <c r="A61" s="18">
        <v>43731</v>
      </c>
      <c r="B61" s="16">
        <v>2983.5</v>
      </c>
      <c r="C61" s="16">
        <v>2961.79</v>
      </c>
      <c r="D61" s="17">
        <f t="shared" si="0"/>
        <v>-7.2766884531590536E-3</v>
      </c>
    </row>
    <row r="62" spans="1:4" ht="15.75" thickBot="1">
      <c r="A62" s="18">
        <v>43738</v>
      </c>
      <c r="B62" s="16">
        <v>2967.07</v>
      </c>
      <c r="C62" s="16">
        <v>2952.01</v>
      </c>
      <c r="D62" s="17">
        <f t="shared" si="0"/>
        <v>-5.0757144253421541E-3</v>
      </c>
    </row>
    <row r="63" spans="1:4" ht="15.75" thickBot="1">
      <c r="A63" s="15">
        <v>43745</v>
      </c>
      <c r="B63" s="16">
        <v>2944.23</v>
      </c>
      <c r="C63" s="16">
        <v>2970.27</v>
      </c>
      <c r="D63" s="17">
        <f t="shared" si="0"/>
        <v>8.8444177255173548E-3</v>
      </c>
    </row>
    <row r="64" spans="1:4" ht="15.75" thickBot="1">
      <c r="A64" s="18">
        <v>43752</v>
      </c>
      <c r="B64" s="16">
        <v>2965.81</v>
      </c>
      <c r="C64" s="16">
        <v>2986.2</v>
      </c>
      <c r="D64" s="17">
        <f t="shared" si="0"/>
        <v>6.8750189661508573E-3</v>
      </c>
    </row>
    <row r="65" spans="1:4" ht="15.75" thickBot="1">
      <c r="A65" s="18">
        <v>43759</v>
      </c>
      <c r="B65" s="16">
        <v>2996.48</v>
      </c>
      <c r="C65" s="16">
        <v>3022.55</v>
      </c>
      <c r="D65" s="17">
        <f t="shared" si="0"/>
        <v>8.7002082443400804E-3</v>
      </c>
    </row>
    <row r="66" spans="1:4" ht="15.75" thickBot="1">
      <c r="A66" s="18">
        <v>43766</v>
      </c>
      <c r="B66" s="16">
        <v>3032.12</v>
      </c>
      <c r="C66" s="16">
        <v>3066.91</v>
      </c>
      <c r="D66" s="17">
        <f t="shared" si="0"/>
        <v>1.1473820297349698E-2</v>
      </c>
    </row>
    <row r="67" spans="1:4" ht="15.75" thickBot="1">
      <c r="A67" s="15">
        <v>43773</v>
      </c>
      <c r="B67" s="16">
        <v>3078.96</v>
      </c>
      <c r="C67" s="16">
        <v>3093.08</v>
      </c>
      <c r="D67" s="17">
        <f t="shared" si="0"/>
        <v>4.5859640917712118E-3</v>
      </c>
    </row>
    <row r="68" spans="1:4" ht="15.75" thickBot="1">
      <c r="A68" s="18">
        <v>43780</v>
      </c>
      <c r="B68" s="16">
        <v>3080.33</v>
      </c>
      <c r="C68" s="16">
        <v>3120.46</v>
      </c>
      <c r="D68" s="17">
        <f t="shared" si="0"/>
        <v>1.3027824940834296E-2</v>
      </c>
    </row>
    <row r="69" spans="1:4" ht="15.75" thickBot="1">
      <c r="A69" s="18">
        <v>43787</v>
      </c>
      <c r="B69" s="16">
        <v>3117.91</v>
      </c>
      <c r="C69" s="16">
        <v>3110.29</v>
      </c>
      <c r="D69" s="17">
        <f t="shared" si="0"/>
        <v>-2.4439448220121463E-3</v>
      </c>
    </row>
    <row r="70" spans="1:4" ht="15.75" thickBot="1">
      <c r="A70" s="18">
        <v>43794</v>
      </c>
      <c r="B70" s="16">
        <v>3117.44</v>
      </c>
      <c r="C70" s="16">
        <v>3140.98</v>
      </c>
      <c r="D70" s="17">
        <f t="shared" si="0"/>
        <v>7.5510675425990437E-3</v>
      </c>
    </row>
    <row r="71" spans="1:4" ht="15.75" thickBot="1">
      <c r="A71" s="15">
        <v>43801</v>
      </c>
      <c r="B71" s="16">
        <v>3143.85</v>
      </c>
      <c r="C71" s="16">
        <v>3145.91</v>
      </c>
      <c r="D71" s="17">
        <f t="shared" si="0"/>
        <v>6.5524754679769889E-4</v>
      </c>
    </row>
    <row r="72" spans="1:4" ht="15.75" thickBot="1">
      <c r="A72" s="15">
        <v>43808</v>
      </c>
      <c r="B72" s="16">
        <v>3141.86</v>
      </c>
      <c r="C72" s="16">
        <v>3168.8</v>
      </c>
      <c r="D72" s="17">
        <f t="shared" si="0"/>
        <v>8.5745386490804973E-3</v>
      </c>
    </row>
    <row r="73" spans="1:4" ht="15.75" thickBot="1">
      <c r="A73" s="18">
        <v>43815</v>
      </c>
      <c r="B73" s="16">
        <v>3183.63</v>
      </c>
      <c r="C73" s="16">
        <v>3221.22</v>
      </c>
      <c r="D73" s="17">
        <f t="shared" si="0"/>
        <v>1.180727659935347E-2</v>
      </c>
    </row>
    <row r="74" spans="1:4" ht="15.75" thickBot="1">
      <c r="A74" s="18">
        <v>43822</v>
      </c>
      <c r="B74" s="16">
        <v>3226.05</v>
      </c>
      <c r="C74" s="16">
        <v>3240.02</v>
      </c>
      <c r="D74" s="17">
        <f t="shared" si="0"/>
        <v>4.330373056834147E-3</v>
      </c>
    </row>
    <row r="75" spans="1:4" ht="15.75" thickBot="1">
      <c r="A75" s="18">
        <v>43829</v>
      </c>
      <c r="B75" s="16">
        <v>3240.09</v>
      </c>
      <c r="C75" s="16">
        <v>3234.85</v>
      </c>
      <c r="D75" s="17">
        <f t="shared" si="0"/>
        <v>-1.6172390273110427E-3</v>
      </c>
    </row>
    <row r="76" spans="1:4" ht="15.75" thickBot="1">
      <c r="A76" s="15">
        <v>43836</v>
      </c>
      <c r="B76" s="16">
        <v>3217.55</v>
      </c>
      <c r="C76" s="16">
        <v>3265.35</v>
      </c>
      <c r="D76" s="17">
        <f t="shared" si="0"/>
        <v>1.4856023993411051E-2</v>
      </c>
    </row>
    <row r="77" spans="1:4" ht="15.75" thickBot="1">
      <c r="A77" s="18">
        <v>43843</v>
      </c>
      <c r="B77" s="16">
        <v>3271.13</v>
      </c>
      <c r="C77" s="16">
        <v>3329.62</v>
      </c>
      <c r="D77" s="17">
        <f t="shared" si="0"/>
        <v>1.7880671205363217E-2</v>
      </c>
    </row>
    <row r="78" spans="1:4" ht="15.75" thickBot="1">
      <c r="A78" s="18">
        <v>43850</v>
      </c>
      <c r="B78" s="16">
        <v>3321.03</v>
      </c>
      <c r="C78" s="16">
        <v>3295.47</v>
      </c>
      <c r="D78" s="17">
        <f t="shared" si="0"/>
        <v>-7.696407439860645E-3</v>
      </c>
    </row>
    <row r="79" spans="1:4" ht="15.75" thickBot="1">
      <c r="A79" s="18">
        <v>43857</v>
      </c>
      <c r="B79" s="16">
        <v>3247.16</v>
      </c>
      <c r="C79" s="16">
        <v>3225.52</v>
      </c>
      <c r="D79" s="17">
        <f t="shared" si="0"/>
        <v>-6.6642850983628385E-3</v>
      </c>
    </row>
    <row r="80" spans="1:4" ht="15.75" thickBot="1">
      <c r="A80" s="15">
        <v>43864</v>
      </c>
      <c r="B80" s="16">
        <v>3235.66</v>
      </c>
      <c r="C80" s="16">
        <v>3327.71</v>
      </c>
      <c r="D80" s="17">
        <f t="shared" si="0"/>
        <v>2.8448600903679677E-2</v>
      </c>
    </row>
    <row r="81" spans="1:4" ht="15.75" thickBot="1">
      <c r="A81" s="18">
        <v>43871</v>
      </c>
      <c r="B81" s="16">
        <v>3318.28</v>
      </c>
      <c r="C81" s="16">
        <v>3380.16</v>
      </c>
      <c r="D81" s="17">
        <f t="shared" si="0"/>
        <v>1.8648215340477493E-2</v>
      </c>
    </row>
    <row r="82" spans="1:4" ht="15.75" thickBot="1">
      <c r="A82" s="18">
        <v>43878</v>
      </c>
      <c r="B82" s="16">
        <v>3369.04</v>
      </c>
      <c r="C82" s="16">
        <v>3337.75</v>
      </c>
      <c r="D82" s="17">
        <f t="shared" si="0"/>
        <v>-9.2875121696388181E-3</v>
      </c>
    </row>
    <row r="83" spans="1:4" ht="15.75" thickBot="1">
      <c r="A83" s="18">
        <v>43885</v>
      </c>
      <c r="B83" s="16">
        <v>3257.61</v>
      </c>
      <c r="C83" s="16">
        <v>2954.22</v>
      </c>
      <c r="D83" s="17">
        <f t="shared" si="0"/>
        <v>-9.3132695442364286E-2</v>
      </c>
    </row>
    <row r="84" spans="1:4" ht="15.75" thickBot="1">
      <c r="A84" s="15">
        <v>43892</v>
      </c>
      <c r="B84" s="16">
        <v>2974.28</v>
      </c>
      <c r="C84" s="16">
        <v>2972.37</v>
      </c>
      <c r="D84" s="17">
        <f t="shared" si="0"/>
        <v>-6.4217222319361636E-4</v>
      </c>
    </row>
    <row r="85" spans="1:4" ht="15.75" thickBot="1">
      <c r="A85" s="15">
        <v>43899</v>
      </c>
      <c r="B85" s="16">
        <v>2863.89</v>
      </c>
      <c r="C85" s="16">
        <v>2711.02</v>
      </c>
      <c r="D85" s="17">
        <f t="shared" si="0"/>
        <v>-5.3378446797886753E-2</v>
      </c>
    </row>
    <row r="86" spans="1:4" ht="15.75" thickBot="1">
      <c r="A86" s="18">
        <v>43906</v>
      </c>
      <c r="B86" s="16">
        <v>2508.59</v>
      </c>
      <c r="C86" s="16">
        <v>2304.92</v>
      </c>
      <c r="D86" s="17">
        <f t="shared" si="0"/>
        <v>-8.1189034477535213E-2</v>
      </c>
    </row>
    <row r="87" spans="1:4" ht="15.75" thickBot="1">
      <c r="A87" s="18">
        <v>43913</v>
      </c>
      <c r="B87" s="16">
        <v>2290.71</v>
      </c>
      <c r="C87" s="16">
        <v>2541.4699999999998</v>
      </c>
      <c r="D87" s="17">
        <f t="shared" si="0"/>
        <v>0.10946824347036498</v>
      </c>
    </row>
    <row r="88" spans="1:4" ht="15.75" thickBot="1">
      <c r="A88" s="18">
        <v>43920</v>
      </c>
      <c r="B88" s="16">
        <v>2558.98</v>
      </c>
      <c r="C88" s="16">
        <v>2488.65</v>
      </c>
      <c r="D88" s="17">
        <f t="shared" si="0"/>
        <v>-2.7483606749564252E-2</v>
      </c>
    </row>
    <row r="89" spans="1:4" ht="15.75" thickBot="1">
      <c r="A89" s="15">
        <v>43927</v>
      </c>
      <c r="B89" s="16">
        <v>2578.2800000000002</v>
      </c>
      <c r="C89" s="16">
        <v>2789.82</v>
      </c>
      <c r="D89" s="17">
        <f t="shared" si="0"/>
        <v>8.2046946026032838E-2</v>
      </c>
    </row>
    <row r="90" spans="1:4" ht="15.75" thickBot="1">
      <c r="A90" s="18">
        <v>43934</v>
      </c>
      <c r="B90" s="16">
        <v>2782.46</v>
      </c>
      <c r="C90" s="16">
        <v>2874.56</v>
      </c>
      <c r="D90" s="17">
        <f t="shared" si="0"/>
        <v>3.3100206292273712E-2</v>
      </c>
    </row>
    <row r="91" spans="1:4" ht="15.75" thickBot="1">
      <c r="A91" s="18">
        <v>43941</v>
      </c>
      <c r="B91" s="16">
        <v>2845.62</v>
      </c>
      <c r="C91" s="16">
        <v>2836.74</v>
      </c>
      <c r="D91" s="17">
        <f t="shared" si="0"/>
        <v>-3.1205853205980099E-3</v>
      </c>
    </row>
    <row r="92" spans="1:4" ht="15.75" thickBot="1">
      <c r="A92" s="18">
        <v>43948</v>
      </c>
      <c r="B92" s="16">
        <v>2854.65</v>
      </c>
      <c r="C92" s="16">
        <v>2830.71</v>
      </c>
      <c r="D92" s="17">
        <f t="shared" si="0"/>
        <v>-8.3863170616362958E-3</v>
      </c>
    </row>
    <row r="93" spans="1:4" ht="15.75" thickBot="1">
      <c r="A93" s="19">
        <v>43955</v>
      </c>
      <c r="B93" s="16">
        <v>2815.01</v>
      </c>
      <c r="C93" s="16">
        <v>2929.8</v>
      </c>
      <c r="D93" s="17">
        <f t="shared" si="0"/>
        <v>4.0777830274137554E-2</v>
      </c>
    </row>
    <row r="94" spans="1:4" ht="15.75" thickBot="1">
      <c r="A94" s="20">
        <v>43962</v>
      </c>
      <c r="B94" s="16">
        <v>2915.46</v>
      </c>
      <c r="C94" s="16">
        <v>2863.7</v>
      </c>
      <c r="D94" s="17">
        <f t="shared" si="0"/>
        <v>-1.7753630644906881E-2</v>
      </c>
    </row>
    <row r="95" spans="1:4" ht="15.75" thickBot="1">
      <c r="A95" s="20">
        <v>43969</v>
      </c>
      <c r="B95" s="16">
        <v>2913.86</v>
      </c>
      <c r="C95" s="16">
        <v>2955.45</v>
      </c>
      <c r="D95" s="17">
        <f t="shared" si="0"/>
        <v>1.4273163432697415E-2</v>
      </c>
    </row>
    <row r="96" spans="1:4" ht="15.75" thickBot="1">
      <c r="A96" s="20">
        <v>43976</v>
      </c>
      <c r="B96" s="16">
        <v>3004.08</v>
      </c>
      <c r="C96" s="16">
        <v>3044.31</v>
      </c>
      <c r="D96" s="17">
        <f t="shared" si="0"/>
        <v>1.3391787169449556E-2</v>
      </c>
    </row>
    <row r="97" spans="1:4" ht="15.75" thickBot="1">
      <c r="A97" s="15">
        <v>43983</v>
      </c>
      <c r="B97" s="16">
        <v>3038.78</v>
      </c>
      <c r="C97" s="16">
        <v>3193.93</v>
      </c>
      <c r="D97" s="17">
        <f t="shared" si="0"/>
        <v>5.1056674059984479E-2</v>
      </c>
    </row>
    <row r="98" spans="1:4" ht="15.75" thickBot="1">
      <c r="A98" s="15">
        <v>43990</v>
      </c>
      <c r="B98" s="16">
        <v>3199.92</v>
      </c>
      <c r="C98" s="16">
        <v>3041.31</v>
      </c>
      <c r="D98" s="17">
        <f t="shared" si="0"/>
        <v>-4.956686417160433E-2</v>
      </c>
    </row>
    <row r="99" spans="1:4" ht="15.75" thickBot="1">
      <c r="A99" s="18">
        <v>43997</v>
      </c>
      <c r="B99" s="16">
        <v>2993.76</v>
      </c>
      <c r="C99" s="16">
        <v>3097.74</v>
      </c>
      <c r="D99" s="17">
        <f t="shared" si="0"/>
        <v>3.4732243065576249E-2</v>
      </c>
    </row>
    <row r="100" spans="1:4" ht="15.75" thickBot="1">
      <c r="A100" s="18">
        <v>44004</v>
      </c>
      <c r="B100" s="16">
        <v>3094.42</v>
      </c>
      <c r="C100" s="16">
        <v>3009.05</v>
      </c>
      <c r="D100" s="17">
        <f t="shared" si="0"/>
        <v>-2.7588368741153394E-2</v>
      </c>
    </row>
    <row r="101" spans="1:4" ht="15.75" thickBot="1">
      <c r="A101" s="18">
        <v>44011</v>
      </c>
      <c r="B101" s="16">
        <v>3018.59</v>
      </c>
      <c r="C101" s="16">
        <v>3130.01</v>
      </c>
      <c r="D101" s="17">
        <f t="shared" si="0"/>
        <v>3.691127314408385E-2</v>
      </c>
    </row>
    <row r="102" spans="1:4" ht="15.75" thickBot="1">
      <c r="A102" s="15">
        <v>44018</v>
      </c>
      <c r="B102" s="16">
        <v>3155.29</v>
      </c>
      <c r="C102" s="16">
        <v>3185.04</v>
      </c>
      <c r="D102" s="17">
        <f t="shared" si="0"/>
        <v>9.4286103654497681E-3</v>
      </c>
    </row>
    <row r="103" spans="1:4" ht="15.75" thickBot="1">
      <c r="A103" s="18">
        <v>44025</v>
      </c>
      <c r="B103" s="16">
        <v>3205.08</v>
      </c>
      <c r="C103" s="16">
        <v>3224.73</v>
      </c>
      <c r="D103" s="17">
        <f t="shared" si="0"/>
        <v>6.1308922086188459E-3</v>
      </c>
    </row>
    <row r="104" spans="1:4" ht="15.75" thickBot="1">
      <c r="A104" s="18">
        <v>44032</v>
      </c>
      <c r="B104" s="16">
        <v>3224.29</v>
      </c>
      <c r="C104" s="16">
        <v>3215.63</v>
      </c>
      <c r="D104" s="17">
        <f t="shared" si="0"/>
        <v>-2.6858626240195064E-3</v>
      </c>
    </row>
    <row r="105" spans="1:4" ht="15.75" thickBot="1">
      <c r="A105" s="18">
        <v>44039</v>
      </c>
      <c r="B105" s="16">
        <v>3219.84</v>
      </c>
      <c r="C105" s="16">
        <v>3271.12</v>
      </c>
      <c r="D105" s="17">
        <f t="shared" si="0"/>
        <v>1.5926257205326894E-2</v>
      </c>
    </row>
    <row r="106" spans="1:4" ht="15.75" thickBot="1">
      <c r="A106" s="15">
        <v>44046</v>
      </c>
      <c r="B106" s="16">
        <v>3288.26</v>
      </c>
      <c r="C106" s="16">
        <v>3351.28</v>
      </c>
      <c r="D106" s="17">
        <f t="shared" si="0"/>
        <v>1.9165151174177216E-2</v>
      </c>
    </row>
    <row r="107" spans="1:4" ht="15.75" thickBot="1">
      <c r="A107" s="18">
        <v>44053</v>
      </c>
      <c r="B107" s="16">
        <v>3356.04</v>
      </c>
      <c r="C107" s="16">
        <v>3372.85</v>
      </c>
      <c r="D107" s="17">
        <f t="shared" si="0"/>
        <v>5.0088795127590686E-3</v>
      </c>
    </row>
    <row r="108" spans="1:4" ht="15.75" thickBot="1">
      <c r="A108" s="18">
        <v>44060</v>
      </c>
      <c r="B108" s="16">
        <v>3380.86</v>
      </c>
      <c r="C108" s="16">
        <v>3397.16</v>
      </c>
      <c r="D108" s="17">
        <f t="shared" si="0"/>
        <v>4.8212584963588335E-3</v>
      </c>
    </row>
    <row r="109" spans="1:4" ht="15.75" thickBot="1">
      <c r="A109" s="18">
        <v>44067</v>
      </c>
      <c r="B109" s="16">
        <v>3418.09</v>
      </c>
      <c r="C109" s="16">
        <v>3508.01</v>
      </c>
      <c r="D109" s="17">
        <f t="shared" si="0"/>
        <v>2.6307089631928963E-2</v>
      </c>
    </row>
    <row r="110" spans="1:4" ht="15.75" thickBot="1">
      <c r="A110" s="18">
        <v>44074</v>
      </c>
      <c r="B110" s="16">
        <v>3509.73</v>
      </c>
      <c r="C110" s="16">
        <v>3426.96</v>
      </c>
      <c r="D110" s="17">
        <f t="shared" si="0"/>
        <v>-2.3583010658939571E-2</v>
      </c>
    </row>
    <row r="111" spans="1:4" ht="15.75" thickBot="1">
      <c r="A111" s="15">
        <v>44081</v>
      </c>
      <c r="B111" s="16">
        <v>3371.88</v>
      </c>
      <c r="C111" s="16">
        <v>3340.97</v>
      </c>
      <c r="D111" s="17">
        <f t="shared" si="0"/>
        <v>-9.1669928941718881E-3</v>
      </c>
    </row>
    <row r="112" spans="1:4" ht="15.75" thickBot="1">
      <c r="A112" s="18">
        <v>44088</v>
      </c>
      <c r="B112" s="16">
        <v>3363.56</v>
      </c>
      <c r="C112" s="16">
        <v>3319.47</v>
      </c>
      <c r="D112" s="17">
        <f t="shared" si="0"/>
        <v>-1.3108135427939489E-2</v>
      </c>
    </row>
    <row r="113" spans="1:4" ht="15.75" thickBot="1">
      <c r="A113" s="18">
        <v>44095</v>
      </c>
      <c r="B113" s="16">
        <v>3285.57</v>
      </c>
      <c r="C113" s="16">
        <v>3298.46</v>
      </c>
      <c r="D113" s="17">
        <f t="shared" si="0"/>
        <v>3.9232157586050129E-3</v>
      </c>
    </row>
    <row r="114" spans="1:4" ht="15.75" thickBot="1">
      <c r="A114" s="18">
        <v>44102</v>
      </c>
      <c r="B114" s="16">
        <v>3333.9</v>
      </c>
      <c r="C114" s="16">
        <v>3348.42</v>
      </c>
      <c r="D114" s="17">
        <f t="shared" si="0"/>
        <v>4.3552596058669974E-3</v>
      </c>
    </row>
    <row r="115" spans="1:4" ht="15.75" thickBot="1">
      <c r="A115" s="15">
        <v>44109</v>
      </c>
      <c r="B115" s="16">
        <v>3367.27</v>
      </c>
      <c r="C115" s="16">
        <v>3477.14</v>
      </c>
      <c r="D115" s="17">
        <f t="shared" si="0"/>
        <v>3.2628806124842945E-2</v>
      </c>
    </row>
    <row r="116" spans="1:4" ht="15.75" thickBot="1">
      <c r="A116" s="18">
        <v>44116</v>
      </c>
      <c r="B116" s="16">
        <v>3500.02</v>
      </c>
      <c r="C116" s="16">
        <v>3483.81</v>
      </c>
      <c r="D116" s="17">
        <f t="shared" si="0"/>
        <v>-4.6314021062736892E-3</v>
      </c>
    </row>
    <row r="117" spans="1:4" ht="15.75" thickBot="1">
      <c r="A117" s="18">
        <v>44123</v>
      </c>
      <c r="B117" s="16">
        <v>3493.66</v>
      </c>
      <c r="C117" s="16">
        <v>3465.39</v>
      </c>
      <c r="D117" s="17">
        <f t="shared" si="0"/>
        <v>-8.091800575900341E-3</v>
      </c>
    </row>
    <row r="118" spans="1:4" ht="15.75" thickBot="1">
      <c r="A118" s="18">
        <v>44130</v>
      </c>
      <c r="B118" s="16">
        <v>3441.42</v>
      </c>
      <c r="C118" s="16">
        <v>3269.96</v>
      </c>
      <c r="D118" s="17">
        <f t="shared" si="0"/>
        <v>-4.982245700902535E-2</v>
      </c>
    </row>
    <row r="119" spans="1:4" ht="15.75" thickBot="1">
      <c r="A119" s="15">
        <v>44137</v>
      </c>
      <c r="B119" s="16">
        <v>3296.2</v>
      </c>
      <c r="C119" s="16">
        <v>3509.44</v>
      </c>
      <c r="D119" s="17">
        <f t="shared" si="0"/>
        <v>6.4692676415266145E-2</v>
      </c>
    </row>
    <row r="120" spans="1:4" ht="15.75" thickBot="1">
      <c r="A120" s="15">
        <v>44144</v>
      </c>
      <c r="B120" s="16">
        <v>3583.04</v>
      </c>
      <c r="C120" s="16">
        <v>3585.15</v>
      </c>
      <c r="D120" s="17">
        <f t="shared" si="0"/>
        <v>5.8888541573639348E-4</v>
      </c>
    </row>
    <row r="121" spans="1:4" ht="15.75" thickBot="1">
      <c r="A121" s="18">
        <v>44151</v>
      </c>
      <c r="B121" s="16">
        <v>3600.16</v>
      </c>
      <c r="C121" s="16">
        <v>3557.54</v>
      </c>
      <c r="D121" s="17">
        <f t="shared" si="0"/>
        <v>-1.1838362739433773E-2</v>
      </c>
    </row>
    <row r="122" spans="1:4" ht="15.75" thickBot="1">
      <c r="A122" s="18">
        <v>44158</v>
      </c>
      <c r="B122" s="16">
        <v>3566.82</v>
      </c>
      <c r="C122" s="16">
        <v>3638.35</v>
      </c>
      <c r="D122" s="17">
        <f t="shared" si="0"/>
        <v>2.0054278040383237E-2</v>
      </c>
    </row>
    <row r="123" spans="1:4" ht="15.75" thickBot="1">
      <c r="A123" s="18">
        <v>44165</v>
      </c>
      <c r="B123" s="16">
        <v>3634.18</v>
      </c>
      <c r="C123" s="16">
        <v>3699.12</v>
      </c>
      <c r="D123" s="17">
        <f t="shared" si="0"/>
        <v>1.7869230472898991E-2</v>
      </c>
    </row>
    <row r="124" spans="1:4" ht="15.75" thickBot="1">
      <c r="A124" s="15">
        <v>44172</v>
      </c>
      <c r="B124" s="16">
        <v>3694.73</v>
      </c>
      <c r="C124" s="16">
        <v>3663.46</v>
      </c>
      <c r="D124" s="17">
        <f t="shared" si="0"/>
        <v>-8.4634059863643567E-3</v>
      </c>
    </row>
    <row r="125" spans="1:4" ht="15.75" thickBot="1">
      <c r="A125" s="18">
        <v>44179</v>
      </c>
      <c r="B125" s="16">
        <v>3675.27</v>
      </c>
      <c r="C125" s="16">
        <v>3709.41</v>
      </c>
      <c r="D125" s="17">
        <f t="shared" si="0"/>
        <v>9.289113452889141E-3</v>
      </c>
    </row>
    <row r="126" spans="1:4" ht="15.75" thickBot="1">
      <c r="A126" s="18">
        <v>44186</v>
      </c>
      <c r="B126" s="16">
        <v>3684.28</v>
      </c>
      <c r="C126" s="16">
        <v>3703.06</v>
      </c>
      <c r="D126" s="17">
        <f t="shared" si="0"/>
        <v>5.0973324503022967E-3</v>
      </c>
    </row>
    <row r="127" spans="1:4" ht="15.75" thickBot="1">
      <c r="A127" s="18">
        <v>44193</v>
      </c>
      <c r="B127" s="16">
        <v>3723.03</v>
      </c>
      <c r="C127" s="16">
        <v>3756.07</v>
      </c>
      <c r="D127" s="17">
        <f t="shared" si="0"/>
        <v>8.8744920132257758E-3</v>
      </c>
    </row>
    <row r="128" spans="1:4" ht="15.75" thickBot="1">
      <c r="A128" s="15">
        <v>44200</v>
      </c>
      <c r="B128" s="16">
        <v>3764.61</v>
      </c>
      <c r="C128" s="16">
        <v>3824.68</v>
      </c>
      <c r="D128" s="17">
        <f t="shared" si="0"/>
        <v>1.5956500142112917E-2</v>
      </c>
    </row>
    <row r="129" spans="1:4" ht="15.75" thickBot="1">
      <c r="A129" s="18">
        <v>44207</v>
      </c>
      <c r="B129" s="16">
        <v>3803.14</v>
      </c>
      <c r="C129" s="16">
        <v>3768.25</v>
      </c>
      <c r="D129" s="17">
        <f t="shared" si="0"/>
        <v>-9.1739983276976061E-3</v>
      </c>
    </row>
    <row r="130" spans="1:4" ht="15.75" thickBot="1">
      <c r="A130" s="18">
        <v>44214</v>
      </c>
      <c r="B130" s="16">
        <v>3781.88</v>
      </c>
      <c r="C130" s="16">
        <v>3841.47</v>
      </c>
      <c r="D130" s="17">
        <f t="shared" si="0"/>
        <v>1.5756713592181584E-2</v>
      </c>
    </row>
    <row r="131" spans="1:4" ht="15.75" thickBot="1">
      <c r="A131" s="18">
        <v>44221</v>
      </c>
      <c r="B131" s="16">
        <v>3851.68</v>
      </c>
      <c r="C131" s="16">
        <v>3714.24</v>
      </c>
      <c r="D131" s="17">
        <f t="shared" si="0"/>
        <v>-3.5683130478129037E-2</v>
      </c>
    </row>
    <row r="132" spans="1:4" ht="15.75" thickBot="1">
      <c r="A132" s="15">
        <v>44228</v>
      </c>
      <c r="B132" s="16">
        <v>3731.17</v>
      </c>
      <c r="C132" s="16">
        <v>3886.83</v>
      </c>
      <c r="D132" s="17">
        <f t="shared" si="0"/>
        <v>4.1718817421881035E-2</v>
      </c>
    </row>
    <row r="133" spans="1:4" ht="15.75" thickBot="1">
      <c r="A133" s="15">
        <v>44235</v>
      </c>
      <c r="B133" s="16">
        <v>3892.59</v>
      </c>
      <c r="C133" s="16">
        <v>3934.83</v>
      </c>
      <c r="D133" s="17">
        <f t="shared" si="0"/>
        <v>1.0851386865814222E-2</v>
      </c>
    </row>
    <row r="134" spans="1:4" ht="15.75" thickBot="1">
      <c r="A134" s="18">
        <v>44242</v>
      </c>
      <c r="B134" s="16">
        <v>3939.61</v>
      </c>
      <c r="C134" s="16">
        <v>3906.71</v>
      </c>
      <c r="D134" s="17">
        <f t="shared" si="0"/>
        <v>-8.3510804368960613E-3</v>
      </c>
    </row>
    <row r="135" spans="1:4" ht="15.75" thickBot="1">
      <c r="A135" s="18">
        <v>44249</v>
      </c>
      <c r="B135" s="16">
        <v>3885.55</v>
      </c>
      <c r="C135" s="16">
        <v>3811.15</v>
      </c>
      <c r="D135" s="17">
        <f t="shared" si="0"/>
        <v>-1.9147868384141262E-2</v>
      </c>
    </row>
    <row r="136" spans="1:4" ht="15.75" thickBot="1">
      <c r="A136" s="15">
        <v>44256</v>
      </c>
      <c r="B136" s="16">
        <v>3842.51</v>
      </c>
      <c r="C136" s="16">
        <v>3841.94</v>
      </c>
      <c r="D136" s="17">
        <f t="shared" si="0"/>
        <v>-1.4834053782557851E-4</v>
      </c>
    </row>
    <row r="137" spans="1:4" ht="15.75" thickBot="1">
      <c r="A137" s="15">
        <v>44263</v>
      </c>
      <c r="B137" s="16">
        <v>3844.39</v>
      </c>
      <c r="C137" s="16">
        <v>3943.34</v>
      </c>
      <c r="D137" s="17">
        <f t="shared" si="0"/>
        <v>2.5738803815429829E-2</v>
      </c>
    </row>
    <row r="138" spans="1:4" ht="15.75" thickBot="1">
      <c r="A138" s="18">
        <v>44270</v>
      </c>
      <c r="B138" s="16">
        <v>3942.96</v>
      </c>
      <c r="C138" s="16">
        <v>3913.1</v>
      </c>
      <c r="D138" s="17">
        <f t="shared" si="0"/>
        <v>-7.5729908495141031E-3</v>
      </c>
    </row>
    <row r="139" spans="1:4" ht="15.75" thickBot="1">
      <c r="A139" s="18">
        <v>44277</v>
      </c>
      <c r="B139" s="16">
        <v>3916.48</v>
      </c>
      <c r="C139" s="16">
        <v>3974.54</v>
      </c>
      <c r="D139" s="17">
        <f t="shared" si="0"/>
        <v>1.4824536318326647E-2</v>
      </c>
    </row>
    <row r="140" spans="1:4" ht="15.75" thickBot="1">
      <c r="A140" s="18">
        <v>44284</v>
      </c>
      <c r="B140" s="16">
        <v>3969.31</v>
      </c>
      <c r="C140" s="16">
        <v>4019.87</v>
      </c>
      <c r="D140" s="17">
        <f t="shared" si="0"/>
        <v>1.2737730235229786E-2</v>
      </c>
    </row>
    <row r="141" spans="1:4" ht="15.75" thickBot="1">
      <c r="A141" s="15">
        <v>44291</v>
      </c>
      <c r="B141" s="16">
        <v>4034.44</v>
      </c>
      <c r="C141" s="16">
        <v>4128.8</v>
      </c>
      <c r="D141" s="17">
        <f t="shared" si="0"/>
        <v>2.3388623947809394E-2</v>
      </c>
    </row>
    <row r="142" spans="1:4" ht="15.75" thickBot="1">
      <c r="A142" s="18">
        <v>44298</v>
      </c>
      <c r="B142" s="16">
        <v>4124.71</v>
      </c>
      <c r="C142" s="16">
        <v>4185.47</v>
      </c>
      <c r="D142" s="17">
        <f t="shared" si="0"/>
        <v>1.473073258483632E-2</v>
      </c>
    </row>
    <row r="143" spans="1:4" ht="15.75" thickBot="1">
      <c r="A143" s="18">
        <v>44305</v>
      </c>
      <c r="B143" s="16">
        <v>4179.8</v>
      </c>
      <c r="C143" s="16">
        <v>4180.17</v>
      </c>
      <c r="D143" s="17">
        <f t="shared" si="0"/>
        <v>8.8520981865134891E-5</v>
      </c>
    </row>
    <row r="144" spans="1:4" ht="15.75" thickBot="1">
      <c r="A144" s="18">
        <v>44312</v>
      </c>
      <c r="B144" s="16">
        <v>4185.03</v>
      </c>
      <c r="C144" s="16">
        <v>4181.17</v>
      </c>
      <c r="D144" s="17">
        <f t="shared" si="0"/>
        <v>-9.2233508481412863E-4</v>
      </c>
    </row>
    <row r="145" spans="1:4" ht="15.75" thickBot="1">
      <c r="A145" s="19">
        <v>44319</v>
      </c>
      <c r="B145" s="16">
        <v>4191.9799999999996</v>
      </c>
      <c r="C145" s="16">
        <v>4232.6000000000004</v>
      </c>
      <c r="D145" s="17">
        <f t="shared" si="0"/>
        <v>9.6899317267736974E-3</v>
      </c>
    </row>
    <row r="146" spans="1:4" ht="15.75" thickBot="1">
      <c r="A146" s="20">
        <v>44326</v>
      </c>
      <c r="B146" s="16">
        <v>4228.29</v>
      </c>
      <c r="C146" s="16">
        <v>4173.8500000000004</v>
      </c>
      <c r="D146" s="17">
        <f t="shared" si="0"/>
        <v>-1.287518121983109E-2</v>
      </c>
    </row>
    <row r="147" spans="1:4" ht="15.75" thickBot="1">
      <c r="A147" s="20">
        <v>44333</v>
      </c>
      <c r="B147" s="16">
        <v>4169.92</v>
      </c>
      <c r="C147" s="16">
        <v>4155.8599999999997</v>
      </c>
      <c r="D147" s="17">
        <f t="shared" si="0"/>
        <v>-3.3717673240734594E-3</v>
      </c>
    </row>
    <row r="148" spans="1:4" ht="15.75" thickBot="1">
      <c r="A148" s="20">
        <v>44340</v>
      </c>
      <c r="B148" s="16">
        <v>4170.16</v>
      </c>
      <c r="C148" s="16">
        <v>4204.1099999999997</v>
      </c>
      <c r="D148" s="17">
        <f t="shared" si="0"/>
        <v>8.1411744393500053E-3</v>
      </c>
    </row>
    <row r="149" spans="1:4" ht="15.75" thickBot="1">
      <c r="A149" s="20">
        <v>44347</v>
      </c>
      <c r="B149" s="16">
        <v>4216.5200000000004</v>
      </c>
      <c r="C149" s="16">
        <v>4229.8900000000003</v>
      </c>
      <c r="D149" s="17">
        <f t="shared" si="0"/>
        <v>3.1708612789693607E-3</v>
      </c>
    </row>
    <row r="150" spans="1:4" ht="15.75" thickBot="1">
      <c r="A150" s="15">
        <v>44354</v>
      </c>
      <c r="B150" s="16">
        <v>4229.34</v>
      </c>
      <c r="C150" s="16">
        <v>4247.4399999999996</v>
      </c>
      <c r="D150" s="17">
        <f t="shared" si="0"/>
        <v>4.2796275541809011E-3</v>
      </c>
    </row>
    <row r="151" spans="1:4" ht="15.75" thickBot="1">
      <c r="A151" s="18">
        <v>44361</v>
      </c>
      <c r="B151" s="16">
        <v>4248.3100000000004</v>
      </c>
      <c r="C151" s="16">
        <v>4166.45</v>
      </c>
      <c r="D151" s="17">
        <f t="shared" si="0"/>
        <v>-1.926883866761149E-2</v>
      </c>
    </row>
    <row r="152" spans="1:4" ht="15.75" thickBot="1">
      <c r="A152" s="18">
        <v>44368</v>
      </c>
      <c r="B152" s="16">
        <v>4173.3999999999996</v>
      </c>
      <c r="C152" s="16">
        <v>4280.7</v>
      </c>
      <c r="D152" s="17">
        <f t="shared" si="0"/>
        <v>2.5710451909713949E-2</v>
      </c>
    </row>
    <row r="153" spans="1:4" ht="15.75" thickBot="1">
      <c r="A153" s="18">
        <v>44375</v>
      </c>
      <c r="B153" s="16">
        <v>4284.8999999999996</v>
      </c>
      <c r="C153" s="16">
        <v>4352.34</v>
      </c>
      <c r="D153" s="17">
        <f t="shared" si="0"/>
        <v>1.5738990408177674E-2</v>
      </c>
    </row>
    <row r="154" spans="1:4" ht="15.75" thickBot="1">
      <c r="A154" s="15">
        <v>44382</v>
      </c>
      <c r="B154" s="16">
        <v>4356.46</v>
      </c>
      <c r="C154" s="16">
        <v>4369.55</v>
      </c>
      <c r="D154" s="17">
        <f t="shared" si="0"/>
        <v>3.0047332008098651E-3</v>
      </c>
    </row>
    <row r="155" spans="1:4" ht="15.75" thickBot="1">
      <c r="A155" s="18">
        <v>44389</v>
      </c>
      <c r="B155" s="16">
        <v>4372.41</v>
      </c>
      <c r="C155" s="16">
        <v>4327.16</v>
      </c>
      <c r="D155" s="17">
        <f t="shared" si="0"/>
        <v>-1.0348983741231952E-2</v>
      </c>
    </row>
    <row r="156" spans="1:4" ht="15.75" thickBot="1">
      <c r="A156" s="18">
        <v>44396</v>
      </c>
      <c r="B156" s="16">
        <v>4296.3999999999996</v>
      </c>
      <c r="C156" s="16">
        <v>4411.79</v>
      </c>
      <c r="D156" s="17">
        <f t="shared" si="0"/>
        <v>2.6857368960059663E-2</v>
      </c>
    </row>
    <row r="157" spans="1:4" ht="15.75" thickBot="1">
      <c r="A157" s="18">
        <v>44403</v>
      </c>
      <c r="B157" s="16">
        <v>4409.58</v>
      </c>
      <c r="C157" s="16">
        <v>4395.26</v>
      </c>
      <c r="D157" s="17">
        <f t="shared" si="0"/>
        <v>-3.2474748161955809E-3</v>
      </c>
    </row>
    <row r="158" spans="1:4" ht="15.75" thickBot="1">
      <c r="A158" s="15">
        <v>44410</v>
      </c>
      <c r="B158" s="16">
        <v>4406.8599999999997</v>
      </c>
      <c r="C158" s="16">
        <v>4436.5200000000004</v>
      </c>
      <c r="D158" s="17">
        <f t="shared" si="0"/>
        <v>6.7304157608820718E-3</v>
      </c>
    </row>
    <row r="159" spans="1:4" ht="15.75" thickBot="1">
      <c r="A159" s="15">
        <v>44417</v>
      </c>
      <c r="B159" s="16">
        <v>4437.7700000000004</v>
      </c>
      <c r="C159" s="16">
        <v>4468</v>
      </c>
      <c r="D159" s="17">
        <f t="shared" si="0"/>
        <v>6.8119798908009115E-3</v>
      </c>
    </row>
    <row r="160" spans="1:4" ht="15.75" thickBot="1">
      <c r="A160" s="18">
        <v>44424</v>
      </c>
      <c r="B160" s="16">
        <v>4461.6499999999996</v>
      </c>
      <c r="C160" s="16">
        <v>4441.67</v>
      </c>
      <c r="D160" s="17">
        <f t="shared" si="0"/>
        <v>-4.478163907971169E-3</v>
      </c>
    </row>
    <row r="161" spans="1:4" ht="15.75" thickBot="1">
      <c r="A161" s="18">
        <v>44431</v>
      </c>
      <c r="B161" s="16">
        <v>4450.29</v>
      </c>
      <c r="C161" s="16">
        <v>4509.37</v>
      </c>
      <c r="D161" s="17">
        <f t="shared" si="0"/>
        <v>1.3275539346874008E-2</v>
      </c>
    </row>
    <row r="162" spans="1:4" ht="15.75" thickBot="1">
      <c r="A162" s="18">
        <v>44438</v>
      </c>
      <c r="B162" s="16">
        <v>4513.76</v>
      </c>
      <c r="C162" s="16">
        <v>4535.43</v>
      </c>
      <c r="D162" s="17">
        <f t="shared" si="0"/>
        <v>4.800875545000193E-3</v>
      </c>
    </row>
    <row r="163" spans="1:4" ht="15.75" thickBot="1">
      <c r="A163" s="15">
        <v>44445</v>
      </c>
      <c r="B163" s="16">
        <v>4535.38</v>
      </c>
      <c r="C163" s="16">
        <v>4458.58</v>
      </c>
      <c r="D163" s="17">
        <f t="shared" si="0"/>
        <v>-1.6933531479170472E-2</v>
      </c>
    </row>
    <row r="164" spans="1:4" ht="15.75" thickBot="1">
      <c r="A164" s="18">
        <v>44452</v>
      </c>
      <c r="B164" s="16">
        <v>4474.8100000000004</v>
      </c>
      <c r="C164" s="16">
        <v>4432.99</v>
      </c>
      <c r="D164" s="17">
        <f t="shared" si="0"/>
        <v>-9.345648195119037E-3</v>
      </c>
    </row>
    <row r="165" spans="1:4" ht="15.75" thickBot="1">
      <c r="A165" s="18">
        <v>44459</v>
      </c>
      <c r="B165" s="16">
        <v>4402.95</v>
      </c>
      <c r="C165" s="16">
        <v>4455.4799999999996</v>
      </c>
      <c r="D165" s="17">
        <f t="shared" si="0"/>
        <v>1.1930637413552219E-2</v>
      </c>
    </row>
    <row r="166" spans="1:4" ht="15.75" thickBot="1">
      <c r="A166" s="18">
        <v>44466</v>
      </c>
      <c r="B166" s="16">
        <v>4442.12</v>
      </c>
      <c r="C166" s="16">
        <v>4357.04</v>
      </c>
      <c r="D166" s="17">
        <f t="shared" si="0"/>
        <v>-1.9153017027905579E-2</v>
      </c>
    </row>
    <row r="167" spans="1:4" ht="15.75" thickBot="1">
      <c r="A167" s="15">
        <v>44473</v>
      </c>
      <c r="B167" s="16">
        <v>4348.84</v>
      </c>
      <c r="C167" s="16">
        <v>4391.34</v>
      </c>
      <c r="D167" s="17">
        <f t="shared" si="0"/>
        <v>9.7727210014624585E-3</v>
      </c>
    </row>
    <row r="168" spans="1:4" ht="15.75" thickBot="1">
      <c r="A168" s="18">
        <v>44480</v>
      </c>
      <c r="B168" s="16">
        <v>4385.4399999999996</v>
      </c>
      <c r="C168" s="16">
        <v>4471.37</v>
      </c>
      <c r="D168" s="17">
        <f t="shared" si="0"/>
        <v>1.9594385056003572E-2</v>
      </c>
    </row>
    <row r="169" spans="1:4" ht="15.75" thickBot="1">
      <c r="A169" s="18">
        <v>44487</v>
      </c>
      <c r="B169" s="16">
        <v>4463.72</v>
      </c>
      <c r="C169" s="16">
        <v>4544.8999999999996</v>
      </c>
      <c r="D169" s="17">
        <f t="shared" si="0"/>
        <v>1.818662460907032E-2</v>
      </c>
    </row>
    <row r="170" spans="1:4" ht="15.75" thickBot="1">
      <c r="A170" s="18">
        <v>44494</v>
      </c>
      <c r="B170" s="16">
        <v>4553.6899999999996</v>
      </c>
      <c r="C170" s="16">
        <v>4605.38</v>
      </c>
      <c r="D170" s="17">
        <f t="shared" si="0"/>
        <v>1.1351233834538696E-2</v>
      </c>
    </row>
    <row r="171" spans="1:4" ht="15.75" thickBot="1">
      <c r="A171" s="15">
        <v>44501</v>
      </c>
      <c r="B171" s="16">
        <v>4610.62</v>
      </c>
      <c r="C171" s="16">
        <v>4697.53</v>
      </c>
      <c r="D171" s="17">
        <f t="shared" si="0"/>
        <v>1.8849959441463372E-2</v>
      </c>
    </row>
    <row r="172" spans="1:4" ht="15.75" thickBot="1">
      <c r="A172" s="15">
        <v>44508</v>
      </c>
      <c r="B172" s="16">
        <v>4701.4799999999996</v>
      </c>
      <c r="C172" s="16">
        <v>4682.8500000000004</v>
      </c>
      <c r="D172" s="17">
        <f t="shared" si="0"/>
        <v>-3.9625819954565798E-3</v>
      </c>
    </row>
    <row r="173" spans="1:4" ht="15.75" thickBot="1">
      <c r="A173" s="18">
        <v>44515</v>
      </c>
      <c r="B173" s="16">
        <v>4689.3</v>
      </c>
      <c r="C173" s="16">
        <v>4697.96</v>
      </c>
      <c r="D173" s="17">
        <f t="shared" si="0"/>
        <v>1.8467575117821111E-3</v>
      </c>
    </row>
    <row r="174" spans="1:4" ht="15.75" thickBot="1">
      <c r="A174" s="18">
        <v>44522</v>
      </c>
      <c r="B174" s="16">
        <v>4712</v>
      </c>
      <c r="C174" s="16">
        <v>4594.62</v>
      </c>
      <c r="D174" s="17">
        <f t="shared" si="0"/>
        <v>-2.491086587436335E-2</v>
      </c>
    </row>
    <row r="175" spans="1:4" ht="15.75" thickBot="1">
      <c r="A175" s="18">
        <v>44529</v>
      </c>
      <c r="B175" s="16">
        <v>4628.75</v>
      </c>
      <c r="C175" s="16">
        <v>4538.43</v>
      </c>
      <c r="D175" s="17">
        <f t="shared" si="0"/>
        <v>-1.9512827437213009E-2</v>
      </c>
    </row>
    <row r="176" spans="1:4" ht="15.75" thickBot="1">
      <c r="A176" s="15">
        <v>44536</v>
      </c>
      <c r="B176" s="16">
        <v>4548.37</v>
      </c>
      <c r="C176" s="16">
        <v>4712.0200000000004</v>
      </c>
      <c r="D176" s="17">
        <f t="shared" si="0"/>
        <v>3.5979922477722907E-2</v>
      </c>
    </row>
    <row r="177" spans="1:4" ht="15.75" thickBot="1">
      <c r="A177" s="18">
        <v>44543</v>
      </c>
      <c r="B177" s="16">
        <v>4710.3</v>
      </c>
      <c r="C177" s="16">
        <v>4620.6400000000003</v>
      </c>
      <c r="D177" s="17">
        <f t="shared" si="0"/>
        <v>-1.9034881005456097E-2</v>
      </c>
    </row>
    <row r="178" spans="1:4" ht="15.75" thickBot="1">
      <c r="A178" s="18">
        <v>44550</v>
      </c>
      <c r="B178" s="16">
        <v>4587.8999999999996</v>
      </c>
      <c r="C178" s="16">
        <v>4725.79</v>
      </c>
      <c r="D178" s="17">
        <f t="shared" si="0"/>
        <v>3.0055145055472077E-2</v>
      </c>
    </row>
    <row r="179" spans="1:4" ht="15.75" thickBot="1">
      <c r="A179" s="18">
        <v>44557</v>
      </c>
      <c r="B179" s="16">
        <v>4733.99</v>
      </c>
      <c r="C179" s="16">
        <v>4766.18</v>
      </c>
      <c r="D179" s="17">
        <f t="shared" si="0"/>
        <v>6.7997608782444643E-3</v>
      </c>
    </row>
    <row r="180" spans="1:4" ht="15.75" thickBot="1">
      <c r="A180" s="15">
        <v>44564</v>
      </c>
      <c r="B180" s="16">
        <v>4778.1400000000003</v>
      </c>
      <c r="C180" s="16">
        <v>4677.03</v>
      </c>
      <c r="D180" s="17">
        <f t="shared" si="0"/>
        <v>-2.1160953843964509E-2</v>
      </c>
    </row>
    <row r="181" spans="1:4" ht="15.75" thickBot="1">
      <c r="A181" s="18">
        <v>44571</v>
      </c>
      <c r="B181" s="16">
        <v>4655.34</v>
      </c>
      <c r="C181" s="16">
        <v>4662.8500000000004</v>
      </c>
      <c r="D181" s="17">
        <f t="shared" si="0"/>
        <v>1.6132011840166815E-3</v>
      </c>
    </row>
    <row r="182" spans="1:4" ht="15.75" thickBot="1">
      <c r="A182" s="18">
        <v>44578</v>
      </c>
      <c r="B182" s="16">
        <v>4632.24</v>
      </c>
      <c r="C182" s="16">
        <v>4397.9399999999996</v>
      </c>
      <c r="D182" s="17">
        <f t="shared" si="0"/>
        <v>-5.0580280814465611E-2</v>
      </c>
    </row>
    <row r="183" spans="1:4" ht="15.75" thickBot="1">
      <c r="A183" s="18">
        <v>44585</v>
      </c>
      <c r="B183" s="16">
        <v>4356.32</v>
      </c>
      <c r="C183" s="16">
        <v>4431.8500000000004</v>
      </c>
      <c r="D183" s="17">
        <f t="shared" si="0"/>
        <v>1.7338028427663868E-2</v>
      </c>
    </row>
    <row r="184" spans="1:4" ht="15.75" thickBot="1">
      <c r="A184" s="18">
        <v>44592</v>
      </c>
      <c r="B184" s="16">
        <v>4431.79</v>
      </c>
      <c r="C184" s="16">
        <v>4500.53</v>
      </c>
      <c r="D184" s="17">
        <f t="shared" si="0"/>
        <v>1.5510662734470673E-2</v>
      </c>
    </row>
    <row r="185" spans="1:4" ht="15.75" thickBot="1">
      <c r="A185" s="15">
        <v>44599</v>
      </c>
      <c r="B185" s="16">
        <v>4505.75</v>
      </c>
      <c r="C185" s="16">
        <v>4418.6400000000003</v>
      </c>
      <c r="D185" s="17">
        <f t="shared" si="0"/>
        <v>-1.9333074404926966E-2</v>
      </c>
    </row>
    <row r="186" spans="1:4" ht="15.75" thickBot="1">
      <c r="A186" s="18">
        <v>44606</v>
      </c>
      <c r="B186" s="16">
        <v>4412.6099999999997</v>
      </c>
      <c r="C186" s="16">
        <v>4348.87</v>
      </c>
      <c r="D186" s="17">
        <f t="shared" si="0"/>
        <v>-1.4444965677909398E-2</v>
      </c>
    </row>
    <row r="187" spans="1:4" ht="15.75" thickBot="1">
      <c r="A187" s="18">
        <v>44613</v>
      </c>
      <c r="B187" s="16">
        <v>4332.74</v>
      </c>
      <c r="C187" s="16">
        <v>4384.6499999999996</v>
      </c>
      <c r="D187" s="17">
        <f t="shared" si="0"/>
        <v>1.1980871226983355E-2</v>
      </c>
    </row>
    <row r="188" spans="1:4" ht="15.75" thickBot="1">
      <c r="A188" s="18">
        <v>44620</v>
      </c>
      <c r="B188" s="16">
        <v>4354.17</v>
      </c>
      <c r="C188" s="16">
        <v>4328.87</v>
      </c>
      <c r="D188" s="17">
        <f t="shared" si="0"/>
        <v>-5.8105218675431093E-3</v>
      </c>
    </row>
    <row r="189" spans="1:4" ht="15.75" thickBot="1">
      <c r="A189" s="15">
        <v>44627</v>
      </c>
      <c r="B189" s="16">
        <v>4327.01</v>
      </c>
      <c r="C189" s="16">
        <v>4204.3100000000004</v>
      </c>
      <c r="D189" s="17">
        <f t="shared" si="0"/>
        <v>-2.8356763677458523E-2</v>
      </c>
    </row>
    <row r="190" spans="1:4" ht="15.75" thickBot="1">
      <c r="A190" s="18">
        <v>44634</v>
      </c>
      <c r="B190" s="16">
        <v>4202.75</v>
      </c>
      <c r="C190" s="16">
        <v>4463.12</v>
      </c>
      <c r="D190" s="17">
        <f t="shared" si="0"/>
        <v>6.1952293141395491E-2</v>
      </c>
    </row>
    <row r="191" spans="1:4" ht="15.75" thickBot="1">
      <c r="A191" s="18">
        <v>44641</v>
      </c>
      <c r="B191" s="16">
        <v>4462.3999999999996</v>
      </c>
      <c r="C191" s="16">
        <v>4543.0600000000004</v>
      </c>
      <c r="D191" s="17">
        <f t="shared" si="0"/>
        <v>1.8075475080674249E-2</v>
      </c>
    </row>
    <row r="192" spans="1:4" ht="15.75" thickBot="1">
      <c r="A192" s="18">
        <v>44648</v>
      </c>
      <c r="B192" s="16">
        <v>4541.09</v>
      </c>
      <c r="C192" s="16">
        <v>4545.8599999999997</v>
      </c>
      <c r="D192" s="17">
        <f t="shared" si="0"/>
        <v>1.0504086023398627E-3</v>
      </c>
    </row>
    <row r="193" spans="1:4" ht="15.75" thickBot="1">
      <c r="A193" s="15">
        <v>44655</v>
      </c>
      <c r="B193" s="16">
        <v>4547.97</v>
      </c>
      <c r="C193" s="16">
        <v>4488.28</v>
      </c>
      <c r="D193" s="17">
        <f t="shared" si="0"/>
        <v>-1.3124536881290005E-2</v>
      </c>
    </row>
    <row r="194" spans="1:4" ht="15.75" thickBot="1">
      <c r="A194" s="18">
        <v>44662</v>
      </c>
      <c r="B194" s="16">
        <v>4462.6400000000003</v>
      </c>
      <c r="C194" s="16">
        <v>4392.59</v>
      </c>
      <c r="D194" s="17">
        <f t="shared" si="0"/>
        <v>-1.5696986537117083E-2</v>
      </c>
    </row>
    <row r="195" spans="1:4" ht="15.75" thickBot="1">
      <c r="A195" s="18">
        <v>44669</v>
      </c>
      <c r="B195" s="16">
        <v>4385.63</v>
      </c>
      <c r="C195" s="16">
        <v>4271.78</v>
      </c>
      <c r="D195" s="17">
        <f t="shared" si="0"/>
        <v>-2.5959782288975667E-2</v>
      </c>
    </row>
    <row r="196" spans="1:4" ht="15.75" thickBot="1">
      <c r="A196" s="18">
        <v>44676</v>
      </c>
      <c r="B196" s="16">
        <v>4255.34</v>
      </c>
      <c r="C196" s="16">
        <v>4131.93</v>
      </c>
      <c r="D196" s="17">
        <f t="shared" si="0"/>
        <v>-2.9001207894081282E-2</v>
      </c>
    </row>
    <row r="197" spans="1:4" ht="15.75" thickBot="1">
      <c r="A197" s="19">
        <v>44683</v>
      </c>
      <c r="B197" s="16">
        <v>4130.6099999999997</v>
      </c>
      <c r="C197" s="16">
        <v>4123.34</v>
      </c>
      <c r="D197" s="17">
        <f t="shared" si="0"/>
        <v>-1.7600306008070303E-3</v>
      </c>
    </row>
    <row r="198" spans="1:4" ht="15.75" thickBot="1">
      <c r="A198" s="19">
        <v>44690</v>
      </c>
      <c r="B198" s="16">
        <v>4081.27</v>
      </c>
      <c r="C198" s="16">
        <v>4023.89</v>
      </c>
      <c r="D198" s="17">
        <f t="shared" si="0"/>
        <v>-1.4059349173174064E-2</v>
      </c>
    </row>
    <row r="199" spans="1:4" ht="15.75" thickBot="1">
      <c r="A199" s="20">
        <v>44697</v>
      </c>
      <c r="B199" s="16">
        <v>4013.02</v>
      </c>
      <c r="C199" s="16">
        <v>3901.36</v>
      </c>
      <c r="D199" s="17">
        <f t="shared" si="0"/>
        <v>-2.7824431475547057E-2</v>
      </c>
    </row>
    <row r="200" spans="1:4" ht="15.75" thickBot="1">
      <c r="A200" s="20">
        <v>44704</v>
      </c>
      <c r="B200" s="16">
        <v>3919.42</v>
      </c>
      <c r="C200" s="16">
        <v>4158.24</v>
      </c>
      <c r="D200" s="17">
        <f t="shared" si="0"/>
        <v>6.0932484908481278E-2</v>
      </c>
    </row>
    <row r="201" spans="1:4" ht="15.75" thickBot="1">
      <c r="A201" s="20">
        <v>44711</v>
      </c>
      <c r="B201" s="16">
        <v>4151.09</v>
      </c>
      <c r="C201" s="16">
        <v>4108.54</v>
      </c>
      <c r="D201" s="17">
        <f t="shared" si="0"/>
        <v>-1.0250319795523629E-2</v>
      </c>
    </row>
    <row r="202" spans="1:4" ht="15.75" thickBot="1">
      <c r="A202" s="15">
        <v>44718</v>
      </c>
      <c r="B202" s="16">
        <v>4134.72</v>
      </c>
      <c r="C202" s="16">
        <v>3900.86</v>
      </c>
      <c r="D202" s="17">
        <f t="shared" si="0"/>
        <v>-5.6560057271109077E-2</v>
      </c>
    </row>
    <row r="203" spans="1:4" ht="15.75" thickBot="1">
      <c r="A203" s="18">
        <v>44725</v>
      </c>
      <c r="B203" s="16">
        <v>3838.15</v>
      </c>
      <c r="C203" s="16">
        <v>3674.84</v>
      </c>
      <c r="D203" s="17">
        <f t="shared" si="0"/>
        <v>-4.254914477026691E-2</v>
      </c>
    </row>
    <row r="204" spans="1:4" ht="15.75" thickBot="1">
      <c r="A204" s="18">
        <v>44732</v>
      </c>
      <c r="B204" s="16">
        <v>3715.31</v>
      </c>
      <c r="C204" s="16">
        <v>3911.74</v>
      </c>
      <c r="D204" s="17">
        <f t="shared" si="0"/>
        <v>5.2870419964955777E-2</v>
      </c>
    </row>
    <row r="205" spans="1:4" ht="15.75" thickBot="1">
      <c r="A205" s="18">
        <v>44739</v>
      </c>
      <c r="B205" s="16">
        <v>3920.76</v>
      </c>
      <c r="C205" s="16">
        <v>3825.33</v>
      </c>
      <c r="D205" s="17">
        <f t="shared" si="0"/>
        <v>-2.4339668839714824E-2</v>
      </c>
    </row>
    <row r="206" spans="1:4" ht="15.75" thickBot="1">
      <c r="A206" s="15">
        <v>44746</v>
      </c>
      <c r="B206" s="16">
        <v>3792.61</v>
      </c>
      <c r="C206" s="16">
        <v>3899.38</v>
      </c>
      <c r="D206" s="17">
        <f t="shared" si="0"/>
        <v>2.8152116879932285E-2</v>
      </c>
    </row>
    <row r="207" spans="1:4" ht="15.75" thickBot="1">
      <c r="A207" s="18">
        <v>44753</v>
      </c>
      <c r="B207" s="16">
        <v>3880.94</v>
      </c>
      <c r="C207" s="16">
        <v>3863.16</v>
      </c>
      <c r="D207" s="17">
        <f t="shared" si="0"/>
        <v>-4.5813643086469258E-3</v>
      </c>
    </row>
    <row r="208" spans="1:4" ht="15.75" thickBot="1">
      <c r="A208" s="18">
        <v>44760</v>
      </c>
      <c r="B208" s="16">
        <v>3883.79</v>
      </c>
      <c r="C208" s="16">
        <v>3961.63</v>
      </c>
      <c r="D208" s="17">
        <f t="shared" si="0"/>
        <v>2.0042278290020869E-2</v>
      </c>
    </row>
    <row r="209" spans="1:4" ht="15.75" thickBot="1">
      <c r="A209" s="18">
        <v>44767</v>
      </c>
      <c r="B209" s="16">
        <v>3965.72</v>
      </c>
      <c r="C209" s="16">
        <v>4130.29</v>
      </c>
      <c r="D209" s="17">
        <f t="shared" si="0"/>
        <v>4.1498139051672878E-2</v>
      </c>
    </row>
    <row r="210" spans="1:4" ht="15.75" thickBot="1">
      <c r="A210" s="15">
        <v>44774</v>
      </c>
      <c r="B210" s="16">
        <v>4112.38</v>
      </c>
      <c r="C210" s="16">
        <v>4145.1899999999996</v>
      </c>
      <c r="D210" s="17">
        <f t="shared" si="0"/>
        <v>7.9783483043880891E-3</v>
      </c>
    </row>
    <row r="211" spans="1:4" ht="15.75" thickBot="1">
      <c r="A211" s="15">
        <v>44781</v>
      </c>
      <c r="B211" s="16">
        <v>4155.93</v>
      </c>
      <c r="C211" s="16">
        <v>4280.1499999999996</v>
      </c>
      <c r="D211" s="17">
        <f t="shared" si="0"/>
        <v>2.988982008840364E-2</v>
      </c>
    </row>
    <row r="212" spans="1:4" ht="15.75" thickBot="1">
      <c r="A212" s="18">
        <v>44788</v>
      </c>
      <c r="B212" s="16">
        <v>4269.37</v>
      </c>
      <c r="C212" s="16">
        <v>4228.4799999999996</v>
      </c>
      <c r="D212" s="17">
        <f t="shared" si="0"/>
        <v>-9.577525489709332E-3</v>
      </c>
    </row>
    <row r="213" spans="1:4" ht="15.75" thickBot="1">
      <c r="A213" s="18">
        <v>44795</v>
      </c>
      <c r="B213" s="16">
        <v>4195.08</v>
      </c>
      <c r="C213" s="16">
        <v>4057.66</v>
      </c>
      <c r="D213" s="17">
        <f t="shared" si="0"/>
        <v>-3.2757420597461805E-2</v>
      </c>
    </row>
    <row r="214" spans="1:4" ht="15.75" thickBot="1">
      <c r="A214" s="18">
        <v>44802</v>
      </c>
      <c r="B214" s="16">
        <v>4034.58</v>
      </c>
      <c r="C214" s="16">
        <v>3924.26</v>
      </c>
      <c r="D214" s="17">
        <f t="shared" si="0"/>
        <v>-2.7343614453053281E-2</v>
      </c>
    </row>
    <row r="215" spans="1:4" ht="15.75" thickBot="1">
      <c r="A215" s="15">
        <v>44809</v>
      </c>
      <c r="B215" s="16">
        <v>3930.89</v>
      </c>
      <c r="C215" s="16">
        <v>4067.36</v>
      </c>
      <c r="D215" s="17">
        <f t="shared" si="0"/>
        <v>3.4717328645675727E-2</v>
      </c>
    </row>
    <row r="216" spans="1:4" ht="15.75" thickBot="1">
      <c r="A216" s="18">
        <v>44816</v>
      </c>
      <c r="B216" s="16">
        <v>4083.67</v>
      </c>
      <c r="C216" s="16">
        <v>3873.33</v>
      </c>
      <c r="D216" s="17">
        <f t="shared" si="0"/>
        <v>-5.1507589986458296E-2</v>
      </c>
    </row>
    <row r="217" spans="1:4" ht="15.75" thickBot="1">
      <c r="A217" s="18">
        <v>44823</v>
      </c>
      <c r="B217" s="16">
        <v>3849.91</v>
      </c>
      <c r="C217" s="16">
        <v>3693.23</v>
      </c>
      <c r="D217" s="17">
        <f t="shared" si="0"/>
        <v>-4.0697055255837111E-2</v>
      </c>
    </row>
    <row r="218" spans="1:4" ht="15.75" thickBot="1">
      <c r="A218" s="18">
        <v>44830</v>
      </c>
      <c r="B218" s="16">
        <v>3682.72</v>
      </c>
      <c r="C218" s="16">
        <v>3585.62</v>
      </c>
      <c r="D218" s="17">
        <f t="shared" si="0"/>
        <v>-2.63663813702915E-2</v>
      </c>
    </row>
    <row r="219" spans="1:4" ht="15.75" thickBot="1">
      <c r="A219" s="15">
        <v>44837</v>
      </c>
      <c r="B219" s="16">
        <v>3609.78</v>
      </c>
      <c r="C219" s="16">
        <v>3639.66</v>
      </c>
      <c r="D219" s="17">
        <f t="shared" si="0"/>
        <v>8.2775127570100266E-3</v>
      </c>
    </row>
    <row r="220" spans="1:4" ht="15.75" thickBot="1">
      <c r="A220" s="18">
        <v>44844</v>
      </c>
      <c r="B220" s="16">
        <v>3647.51</v>
      </c>
      <c r="C220" s="16">
        <v>3583.07</v>
      </c>
      <c r="D220" s="17">
        <f t="shared" si="0"/>
        <v>-1.7666846698158482E-2</v>
      </c>
    </row>
    <row r="221" spans="1:4" ht="15.75" thickBot="1">
      <c r="A221" s="18">
        <v>44851</v>
      </c>
      <c r="B221" s="16">
        <v>3638.65</v>
      </c>
      <c r="C221" s="16">
        <v>3752.75</v>
      </c>
      <c r="D221" s="17">
        <f t="shared" si="0"/>
        <v>3.1357783793439849E-2</v>
      </c>
    </row>
    <row r="222" spans="1:4" ht="15.75" thickBot="1">
      <c r="A222" s="18">
        <v>44858</v>
      </c>
      <c r="B222" s="16">
        <v>3762.01</v>
      </c>
      <c r="C222" s="16">
        <v>3901.06</v>
      </c>
      <c r="D222" s="17">
        <f t="shared" si="0"/>
        <v>3.6961624238106679E-2</v>
      </c>
    </row>
    <row r="223" spans="1:4" ht="15.75" thickBot="1">
      <c r="A223" s="18">
        <v>44865</v>
      </c>
      <c r="B223" s="16">
        <v>3881.85</v>
      </c>
      <c r="C223" s="16">
        <v>3770.55</v>
      </c>
      <c r="D223" s="17">
        <f t="shared" si="0"/>
        <v>-2.8671896131998848E-2</v>
      </c>
    </row>
    <row r="224" spans="1:4" ht="15.75" thickBot="1">
      <c r="A224" s="15">
        <v>44872</v>
      </c>
      <c r="B224" s="16">
        <v>3780.71</v>
      </c>
      <c r="C224" s="16">
        <v>3992.93</v>
      </c>
      <c r="D224" s="17">
        <f t="shared" si="0"/>
        <v>5.6132313771751811E-2</v>
      </c>
    </row>
    <row r="225" spans="1:4" ht="15.75" thickBot="1">
      <c r="A225" s="18">
        <v>44879</v>
      </c>
      <c r="B225" s="16">
        <v>3977.97</v>
      </c>
      <c r="C225" s="16">
        <v>3965.34</v>
      </c>
      <c r="D225" s="17">
        <f t="shared" si="0"/>
        <v>-3.1749862366985309E-3</v>
      </c>
    </row>
    <row r="226" spans="1:4" ht="15.75" thickBot="1">
      <c r="A226" s="18">
        <v>44886</v>
      </c>
      <c r="B226" s="16">
        <v>3956.23</v>
      </c>
      <c r="C226" s="16">
        <v>4026.12</v>
      </c>
      <c r="D226" s="17">
        <f t="shared" si="0"/>
        <v>1.7665808105191021E-2</v>
      </c>
    </row>
    <row r="227" spans="1:4" ht="15.75" thickBot="1">
      <c r="A227" s="18">
        <v>44893</v>
      </c>
      <c r="B227" s="16">
        <v>4005.36</v>
      </c>
      <c r="C227" s="16">
        <v>4071.7</v>
      </c>
      <c r="D227" s="17">
        <f t="shared" si="0"/>
        <v>1.656280584017409E-2</v>
      </c>
    </row>
    <row r="228" spans="1:4" ht="15.75" thickBot="1">
      <c r="A228" s="15">
        <v>44900</v>
      </c>
      <c r="B228" s="16">
        <v>4052.02</v>
      </c>
      <c r="C228" s="16">
        <v>3934.38</v>
      </c>
      <c r="D228" s="17">
        <f t="shared" si="0"/>
        <v>-2.9032433206153938E-2</v>
      </c>
    </row>
    <row r="229" spans="1:4" ht="15.75" thickBot="1">
      <c r="A229" s="18">
        <v>44907</v>
      </c>
      <c r="B229" s="16">
        <v>3939.29</v>
      </c>
      <c r="C229" s="16">
        <v>3852.36</v>
      </c>
      <c r="D229" s="17">
        <f t="shared" si="0"/>
        <v>-2.2067428394456828E-2</v>
      </c>
    </row>
    <row r="230" spans="1:4" ht="15.75" thickBot="1">
      <c r="A230" s="18">
        <v>44914</v>
      </c>
      <c r="B230" s="16">
        <v>3853.79</v>
      </c>
      <c r="C230" s="16">
        <v>3844.82</v>
      </c>
      <c r="D230" s="17">
        <f t="shared" si="0"/>
        <v>-2.3275788250007915E-3</v>
      </c>
    </row>
    <row r="231" spans="1:4" ht="15.75" thickBot="1">
      <c r="A231" s="18">
        <v>44921</v>
      </c>
      <c r="B231" s="16">
        <v>3843.34</v>
      </c>
      <c r="C231" s="16">
        <v>3839.5</v>
      </c>
      <c r="D231" s="17">
        <f t="shared" si="0"/>
        <v>-9.9913096421345646E-4</v>
      </c>
    </row>
    <row r="232" spans="1:4" ht="15.75" thickBot="1">
      <c r="A232" s="15">
        <v>44928</v>
      </c>
      <c r="B232" s="16">
        <v>3853.29</v>
      </c>
      <c r="C232" s="16">
        <v>3895.08</v>
      </c>
      <c r="D232" s="17">
        <f t="shared" si="0"/>
        <v>1.0845277671807719E-2</v>
      </c>
    </row>
    <row r="233" spans="1:4" ht="15.75" thickBot="1">
      <c r="A233" s="15">
        <v>44935</v>
      </c>
      <c r="B233" s="16">
        <v>3910.82</v>
      </c>
      <c r="C233" s="16">
        <v>3999.09</v>
      </c>
      <c r="D233" s="17">
        <f t="shared" si="0"/>
        <v>2.2570714070194991E-2</v>
      </c>
    </row>
    <row r="234" spans="1:4" ht="15.75" thickBot="1">
      <c r="A234" s="18">
        <v>44942</v>
      </c>
      <c r="B234" s="16">
        <v>3999.28</v>
      </c>
      <c r="C234" s="16">
        <v>3972.61</v>
      </c>
      <c r="D234" s="17">
        <f t="shared" si="0"/>
        <v>-6.6687003660659099E-3</v>
      </c>
    </row>
    <row r="235" spans="1:4" ht="15.75" thickBot="1">
      <c r="A235" s="18">
        <v>44949</v>
      </c>
      <c r="B235" s="16">
        <v>3978.14</v>
      </c>
      <c r="C235" s="16">
        <v>4070.56</v>
      </c>
      <c r="D235" s="17">
        <f t="shared" si="0"/>
        <v>2.3231962676024492E-2</v>
      </c>
    </row>
    <row r="236" spans="1:4" ht="15.75" thickBot="1">
      <c r="A236" s="18">
        <v>44956</v>
      </c>
      <c r="B236" s="16">
        <v>4049.27</v>
      </c>
      <c r="C236" s="16">
        <v>4136.4799999999996</v>
      </c>
      <c r="D236" s="17">
        <f t="shared" si="0"/>
        <v>2.1537215349927169E-2</v>
      </c>
    </row>
    <row r="237" spans="1:4" ht="15.75" thickBot="1">
      <c r="A237" s="15">
        <v>44963</v>
      </c>
      <c r="B237" s="16">
        <v>4119.57</v>
      </c>
      <c r="C237" s="16">
        <v>4090.46</v>
      </c>
      <c r="D237" s="17">
        <f t="shared" si="0"/>
        <v>-7.0662714797902872E-3</v>
      </c>
    </row>
    <row r="238" spans="1:4" ht="15.75" thickBot="1">
      <c r="A238" s="18">
        <v>44970</v>
      </c>
      <c r="B238" s="16">
        <v>4096.62</v>
      </c>
      <c r="C238" s="16">
        <v>4079.09</v>
      </c>
      <c r="D238" s="17">
        <f t="shared" si="0"/>
        <v>-4.2791374352514379E-3</v>
      </c>
    </row>
    <row r="239" spans="1:4" ht="15.75" thickBot="1">
      <c r="A239" s="18">
        <v>44977</v>
      </c>
      <c r="B239" s="16">
        <v>4052.35</v>
      </c>
      <c r="C239" s="16">
        <v>3970.04</v>
      </c>
      <c r="D239" s="17">
        <f t="shared" si="0"/>
        <v>-2.0311671005712722E-2</v>
      </c>
    </row>
    <row r="240" spans="1:4" ht="15.75" thickBot="1">
      <c r="A240" s="18">
        <v>44984</v>
      </c>
      <c r="B240" s="16">
        <v>3992.36</v>
      </c>
      <c r="C240" s="16">
        <v>4045.64</v>
      </c>
      <c r="D240" s="17">
        <f t="shared" si="0"/>
        <v>1.3345489885681587E-2</v>
      </c>
    </row>
    <row r="241" spans="1:4" ht="15.75" thickBot="1">
      <c r="A241" s="15">
        <v>44991</v>
      </c>
      <c r="B241" s="16">
        <v>4055.15</v>
      </c>
      <c r="C241" s="16">
        <v>3861.59</v>
      </c>
      <c r="D241" s="17">
        <f t="shared" si="0"/>
        <v>-4.7731896477318951E-2</v>
      </c>
    </row>
    <row r="242" spans="1:4" ht="15.75" thickBot="1">
      <c r="A242" s="18">
        <v>44998</v>
      </c>
      <c r="B242" s="16">
        <v>3835.12</v>
      </c>
      <c r="C242" s="16">
        <v>3916.64</v>
      </c>
      <c r="D242" s="17">
        <f t="shared" si="0"/>
        <v>2.1256179728404843E-2</v>
      </c>
    </row>
    <row r="243" spans="1:4" ht="15.75" thickBot="1">
      <c r="A243" s="18">
        <v>45005</v>
      </c>
      <c r="B243" s="16">
        <v>3917.47</v>
      </c>
      <c r="C243" s="16">
        <v>3970.99</v>
      </c>
      <c r="D243" s="17">
        <f t="shared" si="0"/>
        <v>1.3661878712536404E-2</v>
      </c>
    </row>
    <row r="244" spans="1:4" ht="15.75" thickBot="1">
      <c r="A244" s="18">
        <v>45012</v>
      </c>
      <c r="B244" s="16">
        <v>3982.93</v>
      </c>
      <c r="C244" s="16">
        <v>4109.3100000000004</v>
      </c>
      <c r="D244" s="17">
        <f t="shared" si="0"/>
        <v>3.1730409522638003E-2</v>
      </c>
    </row>
    <row r="245" spans="1:4" ht="15.75" thickBot="1">
      <c r="A245" s="15">
        <v>45019</v>
      </c>
      <c r="B245" s="16">
        <v>4102.2</v>
      </c>
      <c r="C245" s="16">
        <v>4105.0200000000004</v>
      </c>
      <c r="D245" s="17">
        <f t="shared" si="0"/>
        <v>6.8743600994603351E-4</v>
      </c>
    </row>
    <row r="246" spans="1:4" ht="15.75" thickBot="1">
      <c r="A246" s="18">
        <v>45026</v>
      </c>
      <c r="B246" s="16">
        <v>4085.2</v>
      </c>
      <c r="C246" s="16">
        <v>4137.6400000000003</v>
      </c>
      <c r="D246" s="17">
        <f t="shared" si="0"/>
        <v>1.2836580828356143E-2</v>
      </c>
    </row>
    <row r="247" spans="1:4" ht="15.75" thickBot="1">
      <c r="A247" s="18">
        <v>45033</v>
      </c>
      <c r="B247" s="16">
        <v>4137.17</v>
      </c>
      <c r="C247" s="16">
        <v>4133.5200000000004</v>
      </c>
      <c r="D247" s="17">
        <f t="shared" si="0"/>
        <v>-8.8224559300189166E-4</v>
      </c>
    </row>
    <row r="248" spans="1:4" ht="15.75" thickBot="1">
      <c r="A248" s="18">
        <v>45040</v>
      </c>
      <c r="B248" s="16">
        <v>4132.07</v>
      </c>
      <c r="C248" s="16">
        <v>4169.4799999999996</v>
      </c>
      <c r="D248" s="17">
        <f t="shared" si="0"/>
        <v>9.0535736325860535E-3</v>
      </c>
    </row>
    <row r="249" spans="1:4" ht="15.75" thickBot="1">
      <c r="A249" s="19">
        <v>45047</v>
      </c>
      <c r="B249" s="16">
        <v>4166.79</v>
      </c>
      <c r="C249" s="16">
        <v>4136.25</v>
      </c>
      <c r="D249" s="17">
        <f t="shared" si="0"/>
        <v>-7.3293830502617037E-3</v>
      </c>
    </row>
    <row r="250" spans="1:4" ht="15.75" thickBot="1">
      <c r="A250" s="19">
        <v>45054</v>
      </c>
      <c r="B250" s="16">
        <v>4136.9799999999996</v>
      </c>
      <c r="C250" s="16">
        <v>4124.08</v>
      </c>
      <c r="D250" s="17">
        <f t="shared" si="0"/>
        <v>-3.1182166701312643E-3</v>
      </c>
    </row>
    <row r="251" spans="1:4" ht="15.75" thickBot="1">
      <c r="A251" s="20">
        <v>45061</v>
      </c>
      <c r="B251" s="16">
        <v>4126.6499999999996</v>
      </c>
      <c r="C251" s="16">
        <v>4191.9799999999996</v>
      </c>
      <c r="D251" s="17">
        <f t="shared" si="0"/>
        <v>1.5831243260271632E-2</v>
      </c>
    </row>
    <row r="252" spans="1:4" ht="15.75" thickBot="1">
      <c r="A252" s="20">
        <v>45068</v>
      </c>
      <c r="B252" s="16">
        <v>4190.78</v>
      </c>
      <c r="C252" s="16">
        <v>4205.45</v>
      </c>
      <c r="D252" s="17">
        <f t="shared" si="0"/>
        <v>3.5005416652747396E-3</v>
      </c>
    </row>
    <row r="253" spans="1:4" ht="15.75" thickBot="1">
      <c r="A253" s="20">
        <v>45075</v>
      </c>
      <c r="B253" s="16">
        <v>4226.71</v>
      </c>
      <c r="C253" s="16">
        <v>4282.37</v>
      </c>
      <c r="D253" s="17">
        <f t="shared" si="0"/>
        <v>1.3168634706426477E-2</v>
      </c>
    </row>
    <row r="254" spans="1:4" ht="15.75" thickBot="1">
      <c r="A254" s="15">
        <v>45082</v>
      </c>
      <c r="B254" s="16">
        <v>4282.99</v>
      </c>
      <c r="C254" s="16">
        <v>4298.8599999999997</v>
      </c>
      <c r="D254" s="17">
        <f t="shared" si="0"/>
        <v>3.7053553708974083E-3</v>
      </c>
    </row>
    <row r="255" spans="1:4" ht="15.75" thickBot="1">
      <c r="A255" s="18">
        <v>45089</v>
      </c>
      <c r="B255" s="16">
        <v>4308.32</v>
      </c>
      <c r="C255" s="16">
        <v>4409.59</v>
      </c>
      <c r="D255" s="17">
        <f t="shared" si="0"/>
        <v>2.3505682029190136E-2</v>
      </c>
    </row>
    <row r="256" spans="1:4" ht="15.75" thickBot="1">
      <c r="A256" s="18">
        <v>45096</v>
      </c>
      <c r="B256" s="16">
        <v>4396.1099999999997</v>
      </c>
      <c r="C256" s="16">
        <v>4348.33</v>
      </c>
      <c r="D256" s="17">
        <f t="shared" si="0"/>
        <v>-1.0868699827802249E-2</v>
      </c>
    </row>
    <row r="257" spans="1:4" ht="15.75" thickBot="1">
      <c r="A257" s="18">
        <v>45103</v>
      </c>
      <c r="B257" s="16">
        <v>4344.84</v>
      </c>
      <c r="C257" s="16">
        <v>4450.38</v>
      </c>
      <c r="D257" s="17">
        <f t="shared" ref="D257:D263" si="1">(C257-B257)/B257</f>
        <v>2.4290882978429577E-2</v>
      </c>
    </row>
    <row r="258" spans="1:4" ht="15.75" thickBot="1">
      <c r="A258" s="15">
        <v>45110</v>
      </c>
      <c r="B258" s="16">
        <v>4450.4799999999996</v>
      </c>
      <c r="C258" s="16">
        <v>4398.95</v>
      </c>
      <c r="D258" s="17">
        <f t="shared" si="1"/>
        <v>-1.1578526361201432E-2</v>
      </c>
    </row>
    <row r="259" spans="1:4" ht="15.75" thickBot="1">
      <c r="A259" s="18">
        <v>45117</v>
      </c>
      <c r="B259" s="16">
        <v>4394.2299999999996</v>
      </c>
      <c r="C259" s="16">
        <v>4505.42</v>
      </c>
      <c r="D259" s="17">
        <f t="shared" si="1"/>
        <v>2.5303636814641137E-2</v>
      </c>
    </row>
    <row r="260" spans="1:4" ht="15.75" thickBot="1">
      <c r="A260" s="18">
        <v>45124</v>
      </c>
      <c r="B260" s="16">
        <v>4508.8599999999997</v>
      </c>
      <c r="C260" s="16">
        <v>4536.34</v>
      </c>
      <c r="D260" s="17">
        <f t="shared" si="1"/>
        <v>6.0946669446379957E-3</v>
      </c>
    </row>
    <row r="261" spans="1:4" ht="15.75" thickBot="1">
      <c r="A261" s="18">
        <v>45131</v>
      </c>
      <c r="B261" s="16">
        <v>4543.3900000000003</v>
      </c>
      <c r="C261" s="16">
        <v>4582.2299999999996</v>
      </c>
      <c r="D261" s="17">
        <f t="shared" si="1"/>
        <v>8.5486828117329206E-3</v>
      </c>
    </row>
    <row r="262" spans="1:4" ht="15.75" thickBot="1">
      <c r="A262" s="18">
        <v>45138</v>
      </c>
      <c r="B262" s="16">
        <v>4584.82</v>
      </c>
      <c r="C262" s="16">
        <v>4478.03</v>
      </c>
      <c r="D262" s="17">
        <f t="shared" si="1"/>
        <v>-2.329208125946056E-2</v>
      </c>
    </row>
    <row r="263" spans="1:4" ht="15.75" thickBot="1">
      <c r="A263" s="15">
        <v>45145</v>
      </c>
      <c r="B263" s="16">
        <v>4491.58</v>
      </c>
      <c r="C263" s="16">
        <v>4518.4399999999996</v>
      </c>
      <c r="D263" s="17">
        <f t="shared" si="1"/>
        <v>5.980078279803471E-3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Morgan Stanley</vt:lpstr>
      <vt:lpstr>S&amp;P 500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Nikitha TT</dc:creator>
  <cp:lastModifiedBy>ASUS</cp:lastModifiedBy>
  <dcterms:created xsi:type="dcterms:W3CDTF">2023-08-09T19:03:49Z</dcterms:created>
  <dcterms:modified xsi:type="dcterms:W3CDTF">2023-10-05T14:38:46Z</dcterms:modified>
</cp:coreProperties>
</file>