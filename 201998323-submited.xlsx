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kit\Downloads\"/>
    </mc:Choice>
  </mc:AlternateContent>
  <xr:revisionPtr revIDLastSave="0" documentId="13_ncr:1_{EFE4835D-68AD-4C68-A40E-50B61A42B72E}" xr6:coauthVersionLast="47" xr6:coauthVersionMax="47" xr10:uidLastSave="{00000000-0000-0000-0000-000000000000}"/>
  <bookViews>
    <workbookView xWindow="-110" yWindow="-110" windowWidth="19420" windowHeight="11500" firstSheet="10" activeTab="13" xr2:uid="{00000000-000D-0000-FFFF-FFFF00000000}"/>
  </bookViews>
  <sheets>
    <sheet name="Summary Report" sheetId="1" r:id="rId1"/>
    <sheet name="Data-Yearly" sheetId="2" r:id="rId2"/>
    <sheet name="Data-Monthly" sheetId="3" r:id="rId3"/>
    <sheet name="Yearly Returns Chart" sheetId="4" r:id="rId4"/>
    <sheet name="Yearly Rescaled Price Chart " sheetId="5" r:id="rId5"/>
    <sheet name="Yearly Returns" sheetId="6" state="hidden" r:id="rId6"/>
    <sheet name="Yearly Rescaled Price" sheetId="7" state="hidden" r:id="rId7"/>
    <sheet name="Market Frontier" sheetId="8" r:id="rId8"/>
    <sheet name="Frequency Distributions Charts" sheetId="9" r:id="rId9"/>
    <sheet name="T-Test Full Sample" sheetId="10" r:id="rId10"/>
    <sheet name="T-Test Bull Market " sheetId="11" r:id="rId11"/>
    <sheet name="CAPM Bull Market" sheetId="12" r:id="rId12"/>
    <sheet name="T-Test Bear Market" sheetId="13" r:id="rId13"/>
    <sheet name="CAPM Bear Market" sheetId="14" r:id="rId14"/>
    <sheet name="F-F_Research_Data_Factors" sheetId="15" r:id="rId15"/>
    <sheet name="Allocation" sheetId="16" r:id="rId16"/>
  </sheets>
  <definedNames>
    <definedName name="solver_adj" localSheetId="7">'Market Frontier'!$B$31</definedName>
    <definedName name="solver_cvg" localSheetId="7">0.0001</definedName>
    <definedName name="solver_drv" localSheetId="7">2</definedName>
    <definedName name="solver_eng" localSheetId="7">1</definedName>
    <definedName name="solver_est" localSheetId="7">1</definedName>
    <definedName name="solver_itr" localSheetId="7">2147483647</definedName>
    <definedName name="solver_lhs1" localSheetId="7">'Market Frontier'!$B$31</definedName>
    <definedName name="solver_lhs2" localSheetId="7">'Market Frontier'!$B$31</definedName>
    <definedName name="solver_lhs3" localSheetId="7">'Market Frontier'!$B$31:$B$32</definedName>
    <definedName name="solver_mip" localSheetId="7">2147483647</definedName>
    <definedName name="solver_mni" localSheetId="7">30</definedName>
    <definedName name="solver_mrt" localSheetId="7">0.075</definedName>
    <definedName name="solver_msl" localSheetId="7">2</definedName>
    <definedName name="solver_neg" localSheetId="7">1</definedName>
    <definedName name="solver_nod" localSheetId="7">2147483647</definedName>
    <definedName name="solver_num" localSheetId="7">0</definedName>
    <definedName name="solver_nwt" localSheetId="7">1</definedName>
    <definedName name="solver_opt" localSheetId="7">'Market Frontier'!$B$35</definedName>
    <definedName name="solver_pre" localSheetId="7">0.000001</definedName>
    <definedName name="solver_rbv" localSheetId="7">2</definedName>
    <definedName name="solver_rel1" localSheetId="7">1</definedName>
    <definedName name="solver_rel2" localSheetId="7">3</definedName>
    <definedName name="solver_rel3" localSheetId="7">2</definedName>
    <definedName name="solver_rhs1" localSheetId="7">1</definedName>
    <definedName name="solver_rhs2" localSheetId="7">0</definedName>
    <definedName name="solver_rhs3" localSheetId="7">1</definedName>
    <definedName name="solver_rlx" localSheetId="7">2</definedName>
    <definedName name="solver_rsd" localSheetId="7">0</definedName>
    <definedName name="solver_scl" localSheetId="7">2</definedName>
    <definedName name="solver_sho" localSheetId="7">2</definedName>
    <definedName name="solver_ssz" localSheetId="7">100</definedName>
    <definedName name="solver_tim" localSheetId="7">2147483647</definedName>
    <definedName name="solver_tol" localSheetId="7">0.01</definedName>
    <definedName name="solver_typ" localSheetId="7">1</definedName>
    <definedName name="solver_val" localSheetId="7">0</definedName>
    <definedName name="solver_ver" localSheetId="7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X4WFWwc/zC0dezuT7CRPkC2pliZHCH2OtWDbgssm4u8="/>
    </ext>
  </extLst>
</workbook>
</file>

<file path=xl/calcChain.xml><?xml version="1.0" encoding="utf-8"?>
<calcChain xmlns="http://schemas.openxmlformats.org/spreadsheetml/2006/main">
  <c r="H29" i="14" l="1"/>
  <c r="H28" i="14"/>
  <c r="H27" i="14"/>
  <c r="H5" i="14"/>
  <c r="H4" i="14"/>
  <c r="H3" i="14"/>
  <c r="H6" i="12"/>
  <c r="H5" i="12"/>
  <c r="H4" i="12"/>
  <c r="H28" i="12"/>
  <c r="H27" i="12"/>
  <c r="H26" i="12"/>
  <c r="E13" i="12"/>
  <c r="C35" i="1" l="1"/>
  <c r="D35" i="1"/>
  <c r="E35" i="1"/>
  <c r="E34" i="1"/>
  <c r="D34" i="1"/>
  <c r="D33" i="1"/>
  <c r="C33" i="1"/>
  <c r="C34" i="1"/>
  <c r="E33" i="1"/>
  <c r="I249" i="16"/>
  <c r="I248" i="16"/>
  <c r="I247" i="16"/>
  <c r="I246" i="16"/>
  <c r="I245" i="16"/>
  <c r="I244" i="16"/>
  <c r="I243" i="16"/>
  <c r="I242" i="16"/>
  <c r="I241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  <c r="B32" i="8"/>
  <c r="B11" i="8"/>
  <c r="A11" i="8"/>
  <c r="B10" i="8"/>
  <c r="A10" i="8"/>
  <c r="B9" i="8"/>
  <c r="A9" i="8"/>
  <c r="B8" i="8"/>
  <c r="B5" i="8"/>
  <c r="E2" i="8"/>
  <c r="I290" i="3"/>
  <c r="F290" i="3"/>
  <c r="E253" i="3"/>
  <c r="D253" i="3"/>
  <c r="E252" i="3"/>
  <c r="D252" i="3"/>
  <c r="E251" i="3"/>
  <c r="D251" i="3"/>
  <c r="E250" i="3"/>
  <c r="I250" i="3" s="1"/>
  <c r="D250" i="3"/>
  <c r="H250" i="3" s="1"/>
  <c r="E249" i="3"/>
  <c r="D249" i="3"/>
  <c r="E248" i="3"/>
  <c r="D248" i="3"/>
  <c r="E247" i="3"/>
  <c r="D247" i="3"/>
  <c r="E246" i="3"/>
  <c r="D246" i="3"/>
  <c r="H246" i="3" s="1"/>
  <c r="E245" i="3"/>
  <c r="D245" i="3"/>
  <c r="E244" i="3"/>
  <c r="D244" i="3"/>
  <c r="E243" i="3"/>
  <c r="D243" i="3"/>
  <c r="E242" i="3"/>
  <c r="D242" i="3"/>
  <c r="E241" i="3"/>
  <c r="D241" i="3"/>
  <c r="E240" i="3"/>
  <c r="I240" i="3" s="1"/>
  <c r="D240" i="3"/>
  <c r="E239" i="3"/>
  <c r="D239" i="3"/>
  <c r="H238" i="3"/>
  <c r="E238" i="3"/>
  <c r="D238" i="3"/>
  <c r="I237" i="3"/>
  <c r="E237" i="3"/>
  <c r="D237" i="3"/>
  <c r="E236" i="3"/>
  <c r="D236" i="3"/>
  <c r="E235" i="3"/>
  <c r="D235" i="3"/>
  <c r="E234" i="3"/>
  <c r="D234" i="3"/>
  <c r="H234" i="3" s="1"/>
  <c r="E233" i="3"/>
  <c r="I233" i="3" s="1"/>
  <c r="D233" i="3"/>
  <c r="H233" i="3" s="1"/>
  <c r="E232" i="3"/>
  <c r="I232" i="3" s="1"/>
  <c r="D232" i="3"/>
  <c r="H232" i="3" s="1"/>
  <c r="E231" i="3"/>
  <c r="I231" i="3" s="1"/>
  <c r="D231" i="3"/>
  <c r="E230" i="3"/>
  <c r="D230" i="3"/>
  <c r="E229" i="3"/>
  <c r="D229" i="3"/>
  <c r="H229" i="3" s="1"/>
  <c r="E228" i="3"/>
  <c r="D228" i="3"/>
  <c r="E227" i="3"/>
  <c r="D227" i="3"/>
  <c r="E226" i="3"/>
  <c r="I226" i="3" s="1"/>
  <c r="D226" i="3"/>
  <c r="E225" i="3"/>
  <c r="D225" i="3"/>
  <c r="E224" i="3"/>
  <c r="D224" i="3"/>
  <c r="E223" i="3"/>
  <c r="D223" i="3"/>
  <c r="E222" i="3"/>
  <c r="D222" i="3"/>
  <c r="E221" i="3"/>
  <c r="D221" i="3"/>
  <c r="H221" i="3" s="1"/>
  <c r="E220" i="3"/>
  <c r="D220" i="3"/>
  <c r="E219" i="3"/>
  <c r="I219" i="3" s="1"/>
  <c r="D219" i="3"/>
  <c r="E218" i="3"/>
  <c r="D218" i="3"/>
  <c r="E217" i="3"/>
  <c r="D217" i="3"/>
  <c r="E216" i="3"/>
  <c r="D216" i="3"/>
  <c r="E215" i="3"/>
  <c r="I215" i="3" s="1"/>
  <c r="D215" i="3"/>
  <c r="H214" i="3"/>
  <c r="E214" i="3"/>
  <c r="I214" i="3" s="1"/>
  <c r="D214" i="3"/>
  <c r="E213" i="3"/>
  <c r="D213" i="3"/>
  <c r="E212" i="3"/>
  <c r="D212" i="3"/>
  <c r="E211" i="3"/>
  <c r="D211" i="3"/>
  <c r="E210" i="3"/>
  <c r="D210" i="3"/>
  <c r="E209" i="3"/>
  <c r="I209" i="3" s="1"/>
  <c r="D209" i="3"/>
  <c r="H209" i="3" s="1"/>
  <c r="E208" i="3"/>
  <c r="D208" i="3"/>
  <c r="E207" i="3"/>
  <c r="D207" i="3"/>
  <c r="E206" i="3"/>
  <c r="D206" i="3"/>
  <c r="E205" i="3"/>
  <c r="D205" i="3"/>
  <c r="E204" i="3"/>
  <c r="D204" i="3"/>
  <c r="I203" i="3"/>
  <c r="E203" i="3"/>
  <c r="D203" i="3"/>
  <c r="H202" i="3"/>
  <c r="E202" i="3"/>
  <c r="D202" i="3"/>
  <c r="E201" i="3"/>
  <c r="D201" i="3"/>
  <c r="E200" i="3"/>
  <c r="I200" i="3" s="1"/>
  <c r="D200" i="3"/>
  <c r="E199" i="3"/>
  <c r="D199" i="3"/>
  <c r="E198" i="3"/>
  <c r="D198" i="3"/>
  <c r="H198" i="3" s="1"/>
  <c r="E197" i="3"/>
  <c r="D197" i="3"/>
  <c r="E196" i="3"/>
  <c r="I196" i="3" s="1"/>
  <c r="D196" i="3"/>
  <c r="H196" i="3" s="1"/>
  <c r="E195" i="3"/>
  <c r="I195" i="3" s="1"/>
  <c r="D195" i="3"/>
  <c r="E194" i="3"/>
  <c r="D194" i="3"/>
  <c r="E193" i="3"/>
  <c r="D193" i="3"/>
  <c r="E192" i="3"/>
  <c r="D192" i="3"/>
  <c r="E191" i="3"/>
  <c r="D191" i="3"/>
  <c r="E190" i="3"/>
  <c r="D190" i="3"/>
  <c r="E189" i="3"/>
  <c r="I189" i="3" s="1"/>
  <c r="D189" i="3"/>
  <c r="E188" i="3"/>
  <c r="D188" i="3"/>
  <c r="E187" i="3"/>
  <c r="D187" i="3"/>
  <c r="E186" i="3"/>
  <c r="D186" i="3"/>
  <c r="E185" i="3"/>
  <c r="I185" i="3" s="1"/>
  <c r="D185" i="3"/>
  <c r="E184" i="3"/>
  <c r="D184" i="3"/>
  <c r="H184" i="3" s="1"/>
  <c r="E183" i="3"/>
  <c r="D183" i="3"/>
  <c r="E182" i="3"/>
  <c r="D182" i="3"/>
  <c r="H182" i="3" s="1"/>
  <c r="E181" i="3"/>
  <c r="D181" i="3"/>
  <c r="E180" i="3"/>
  <c r="D180" i="3"/>
  <c r="E179" i="3"/>
  <c r="I179" i="3" s="1"/>
  <c r="D179" i="3"/>
  <c r="H179" i="3" s="1"/>
  <c r="E178" i="3"/>
  <c r="I178" i="3" s="1"/>
  <c r="D178" i="3"/>
  <c r="H178" i="3" s="1"/>
  <c r="E177" i="3"/>
  <c r="D177" i="3"/>
  <c r="E176" i="3"/>
  <c r="D176" i="3"/>
  <c r="E175" i="3"/>
  <c r="I175" i="3" s="1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H169" i="3" s="1"/>
  <c r="E168" i="3"/>
  <c r="I168" i="3" s="1"/>
  <c r="D168" i="3"/>
  <c r="H168" i="3" s="1"/>
  <c r="E167" i="3"/>
  <c r="D167" i="3"/>
  <c r="H167" i="3" s="1"/>
  <c r="E166" i="3"/>
  <c r="I166" i="3" s="1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H158" i="3"/>
  <c r="E158" i="3"/>
  <c r="D158" i="3"/>
  <c r="E157" i="3"/>
  <c r="D157" i="3"/>
  <c r="E156" i="3"/>
  <c r="D156" i="3"/>
  <c r="E155" i="3"/>
  <c r="D155" i="3"/>
  <c r="E154" i="3"/>
  <c r="D154" i="3"/>
  <c r="H154" i="3" s="1"/>
  <c r="E153" i="3"/>
  <c r="D153" i="3"/>
  <c r="E152" i="3"/>
  <c r="D152" i="3"/>
  <c r="E151" i="3"/>
  <c r="I151" i="3" s="1"/>
  <c r="D151" i="3"/>
  <c r="E150" i="3"/>
  <c r="D150" i="3"/>
  <c r="I149" i="3"/>
  <c r="E149" i="3"/>
  <c r="D149" i="3"/>
  <c r="E148" i="3"/>
  <c r="I148" i="3" s="1"/>
  <c r="D148" i="3"/>
  <c r="H148" i="3" s="1"/>
  <c r="E147" i="3"/>
  <c r="I147" i="3" s="1"/>
  <c r="D147" i="3"/>
  <c r="E146" i="3"/>
  <c r="D146" i="3"/>
  <c r="H146" i="3" s="1"/>
  <c r="E145" i="3"/>
  <c r="D145" i="3"/>
  <c r="E144" i="3"/>
  <c r="D144" i="3"/>
  <c r="E143" i="3"/>
  <c r="D143" i="3"/>
  <c r="E142" i="3"/>
  <c r="D142" i="3"/>
  <c r="I141" i="3"/>
  <c r="H141" i="3"/>
  <c r="E141" i="3"/>
  <c r="D141" i="3"/>
  <c r="E140" i="3"/>
  <c r="D140" i="3"/>
  <c r="E139" i="3"/>
  <c r="D139" i="3"/>
  <c r="E138" i="3"/>
  <c r="D138" i="3"/>
  <c r="H138" i="3" s="1"/>
  <c r="E137" i="3"/>
  <c r="D137" i="3"/>
  <c r="E136" i="3"/>
  <c r="D136" i="3"/>
  <c r="E135" i="3"/>
  <c r="D135" i="3"/>
  <c r="E134" i="3"/>
  <c r="D134" i="3"/>
  <c r="E133" i="3"/>
  <c r="D133" i="3"/>
  <c r="E132" i="3"/>
  <c r="I132" i="3" s="1"/>
  <c r="D132" i="3"/>
  <c r="H132" i="3" s="1"/>
  <c r="E131" i="3"/>
  <c r="D131" i="3"/>
  <c r="E130" i="3"/>
  <c r="I130" i="3" s="1"/>
  <c r="D130" i="3"/>
  <c r="E129" i="3"/>
  <c r="D129" i="3"/>
  <c r="H128" i="3"/>
  <c r="E128" i="3"/>
  <c r="I128" i="3" s="1"/>
  <c r="D128" i="3"/>
  <c r="E127" i="3"/>
  <c r="I127" i="3" s="1"/>
  <c r="D127" i="3"/>
  <c r="H127" i="3" s="1"/>
  <c r="E126" i="3"/>
  <c r="D126" i="3"/>
  <c r="E125" i="3"/>
  <c r="D125" i="3"/>
  <c r="E124" i="3"/>
  <c r="D124" i="3"/>
  <c r="E123" i="3"/>
  <c r="D123" i="3"/>
  <c r="H123" i="3" s="1"/>
  <c r="E122" i="3"/>
  <c r="D122" i="3"/>
  <c r="E121" i="3"/>
  <c r="I121" i="3" s="1"/>
  <c r="D121" i="3"/>
  <c r="H121" i="3" s="1"/>
  <c r="H120" i="3"/>
  <c r="E120" i="3"/>
  <c r="D120" i="3"/>
  <c r="E119" i="3"/>
  <c r="D119" i="3"/>
  <c r="E118" i="3"/>
  <c r="D118" i="3"/>
  <c r="H117" i="3"/>
  <c r="E117" i="3"/>
  <c r="D117" i="3"/>
  <c r="E116" i="3"/>
  <c r="D116" i="3"/>
  <c r="E115" i="3"/>
  <c r="D115" i="3"/>
  <c r="E114" i="3"/>
  <c r="D114" i="3"/>
  <c r="H114" i="3" s="1"/>
  <c r="I113" i="3"/>
  <c r="E113" i="3"/>
  <c r="D113" i="3"/>
  <c r="H113" i="3" s="1"/>
  <c r="E112" i="3"/>
  <c r="D112" i="3"/>
  <c r="E111" i="3"/>
  <c r="I111" i="3" s="1"/>
  <c r="D111" i="3"/>
  <c r="E110" i="3"/>
  <c r="D110" i="3"/>
  <c r="E109" i="3"/>
  <c r="D109" i="3"/>
  <c r="E108" i="3"/>
  <c r="D108" i="3"/>
  <c r="E107" i="3"/>
  <c r="D107" i="3"/>
  <c r="E106" i="3"/>
  <c r="D106" i="3"/>
  <c r="H106" i="3" s="1"/>
  <c r="E105" i="3"/>
  <c r="D105" i="3"/>
  <c r="E104" i="3"/>
  <c r="D104" i="3"/>
  <c r="E103" i="3"/>
  <c r="D103" i="3"/>
  <c r="E102" i="3"/>
  <c r="D102" i="3"/>
  <c r="E101" i="3"/>
  <c r="D101" i="3"/>
  <c r="H101" i="3" s="1"/>
  <c r="E100" i="3"/>
  <c r="I100" i="3" s="1"/>
  <c r="D100" i="3"/>
  <c r="H100" i="3" s="1"/>
  <c r="E99" i="3"/>
  <c r="D99" i="3"/>
  <c r="E98" i="3"/>
  <c r="D98" i="3"/>
  <c r="E97" i="3"/>
  <c r="D97" i="3"/>
  <c r="H97" i="3" s="1"/>
  <c r="E96" i="3"/>
  <c r="I96" i="3" s="1"/>
  <c r="D96" i="3"/>
  <c r="H96" i="3" s="1"/>
  <c r="E95" i="3"/>
  <c r="I95" i="3" s="1"/>
  <c r="D95" i="3"/>
  <c r="H95" i="3" s="1"/>
  <c r="E94" i="3"/>
  <c r="D94" i="3"/>
  <c r="I93" i="3"/>
  <c r="E93" i="3"/>
  <c r="D93" i="3"/>
  <c r="E92" i="3"/>
  <c r="D92" i="3"/>
  <c r="E91" i="3"/>
  <c r="D91" i="3"/>
  <c r="E90" i="3"/>
  <c r="D90" i="3"/>
  <c r="E89" i="3"/>
  <c r="I89" i="3" s="1"/>
  <c r="D89" i="3"/>
  <c r="E88" i="3"/>
  <c r="D88" i="3"/>
  <c r="E87" i="3"/>
  <c r="D87" i="3"/>
  <c r="E86" i="3"/>
  <c r="I86" i="3" s="1"/>
  <c r="D86" i="3"/>
  <c r="H86" i="3" s="1"/>
  <c r="E85" i="3"/>
  <c r="D85" i="3"/>
  <c r="H84" i="3"/>
  <c r="E84" i="3"/>
  <c r="D84" i="3"/>
  <c r="E83" i="3"/>
  <c r="I83" i="3" s="1"/>
  <c r="D83" i="3"/>
  <c r="E82" i="3"/>
  <c r="D82" i="3"/>
  <c r="E81" i="3"/>
  <c r="D81" i="3"/>
  <c r="E80" i="3"/>
  <c r="D80" i="3"/>
  <c r="E79" i="3"/>
  <c r="D79" i="3"/>
  <c r="H78" i="3"/>
  <c r="E78" i="3"/>
  <c r="D78" i="3"/>
  <c r="E77" i="3"/>
  <c r="D77" i="3"/>
  <c r="E76" i="3"/>
  <c r="D76" i="3"/>
  <c r="E75" i="3"/>
  <c r="D75" i="3"/>
  <c r="H75" i="3" s="1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I67" i="3" s="1"/>
  <c r="D67" i="3"/>
  <c r="H67" i="3" s="1"/>
  <c r="E66" i="3"/>
  <c r="D66" i="3"/>
  <c r="H66" i="3" s="1"/>
  <c r="E65" i="3"/>
  <c r="D65" i="3"/>
  <c r="E64" i="3"/>
  <c r="D64" i="3"/>
  <c r="E63" i="3"/>
  <c r="D63" i="3"/>
  <c r="H63" i="3" s="1"/>
  <c r="E62" i="3"/>
  <c r="I62" i="3" s="1"/>
  <c r="D62" i="3"/>
  <c r="H62" i="3" s="1"/>
  <c r="E61" i="3"/>
  <c r="D61" i="3"/>
  <c r="E60" i="3"/>
  <c r="D60" i="3"/>
  <c r="E59" i="3"/>
  <c r="D59" i="3"/>
  <c r="E58" i="3"/>
  <c r="D58" i="3"/>
  <c r="H58" i="3" s="1"/>
  <c r="E57" i="3"/>
  <c r="D57" i="3"/>
  <c r="E56" i="3"/>
  <c r="D56" i="3"/>
  <c r="E55" i="3"/>
  <c r="D55" i="3"/>
  <c r="E54" i="3"/>
  <c r="D54" i="3"/>
  <c r="E53" i="3"/>
  <c r="I53" i="3" s="1"/>
  <c r="D53" i="3"/>
  <c r="H53" i="3" s="1"/>
  <c r="E52" i="3"/>
  <c r="I52" i="3" s="1"/>
  <c r="D52" i="3"/>
  <c r="E51" i="3"/>
  <c r="D51" i="3"/>
  <c r="E50" i="3"/>
  <c r="D50" i="3"/>
  <c r="E49" i="3"/>
  <c r="D49" i="3"/>
  <c r="E48" i="3"/>
  <c r="I48" i="3" s="1"/>
  <c r="D48" i="3"/>
  <c r="H48" i="3" s="1"/>
  <c r="E47" i="3"/>
  <c r="D47" i="3"/>
  <c r="H46" i="3"/>
  <c r="E46" i="3"/>
  <c r="D46" i="3"/>
  <c r="E45" i="3"/>
  <c r="I45" i="3" s="1"/>
  <c r="D45" i="3"/>
  <c r="E44" i="3"/>
  <c r="D44" i="3"/>
  <c r="E43" i="3"/>
  <c r="D43" i="3"/>
  <c r="E42" i="3"/>
  <c r="I42" i="3" s="1"/>
  <c r="D42" i="3"/>
  <c r="H41" i="3"/>
  <c r="E41" i="3"/>
  <c r="D41" i="3"/>
  <c r="E40" i="3"/>
  <c r="D40" i="3"/>
  <c r="E39" i="3"/>
  <c r="D39" i="3"/>
  <c r="E38" i="3"/>
  <c r="D38" i="3"/>
  <c r="E37" i="3"/>
  <c r="D37" i="3"/>
  <c r="E36" i="3"/>
  <c r="D36" i="3"/>
  <c r="L35" i="3"/>
  <c r="H35" i="3"/>
  <c r="E35" i="3"/>
  <c r="D35" i="3"/>
  <c r="L34" i="3"/>
  <c r="E34" i="3"/>
  <c r="D34" i="3"/>
  <c r="L33" i="3"/>
  <c r="E33" i="3"/>
  <c r="I33" i="3" s="1"/>
  <c r="D33" i="3"/>
  <c r="H33" i="3" s="1"/>
  <c r="H32" i="3"/>
  <c r="E32" i="3"/>
  <c r="D32" i="3"/>
  <c r="H31" i="3"/>
  <c r="E31" i="3"/>
  <c r="I31" i="3" s="1"/>
  <c r="D31" i="3"/>
  <c r="E30" i="3"/>
  <c r="D30" i="3"/>
  <c r="E29" i="3"/>
  <c r="D29" i="3"/>
  <c r="E28" i="3"/>
  <c r="D28" i="3"/>
  <c r="E27" i="3"/>
  <c r="I27" i="3" s="1"/>
  <c r="D27" i="3"/>
  <c r="E26" i="3"/>
  <c r="D26" i="3"/>
  <c r="E25" i="3"/>
  <c r="D25" i="3"/>
  <c r="E24" i="3"/>
  <c r="D24" i="3"/>
  <c r="H24" i="3" s="1"/>
  <c r="E23" i="3"/>
  <c r="D23" i="3"/>
  <c r="E22" i="3"/>
  <c r="D22" i="3"/>
  <c r="E21" i="3"/>
  <c r="D21" i="3"/>
  <c r="E20" i="3"/>
  <c r="D20" i="3"/>
  <c r="E19" i="3"/>
  <c r="D19" i="3"/>
  <c r="E18" i="3"/>
  <c r="D18" i="3"/>
  <c r="H18" i="3" s="1"/>
  <c r="E17" i="3"/>
  <c r="D17" i="3"/>
  <c r="E16" i="3"/>
  <c r="D16" i="3"/>
  <c r="H16" i="3" s="1"/>
  <c r="I15" i="3"/>
  <c r="E15" i="3"/>
  <c r="D15" i="3"/>
  <c r="E14" i="3"/>
  <c r="D14" i="3"/>
  <c r="E13" i="3"/>
  <c r="D13" i="3"/>
  <c r="I12" i="3"/>
  <c r="E12" i="3"/>
  <c r="D12" i="3"/>
  <c r="H12" i="3" s="1"/>
  <c r="L11" i="3"/>
  <c r="I11" i="3"/>
  <c r="H11" i="3"/>
  <c r="E11" i="3"/>
  <c r="D11" i="3"/>
  <c r="L10" i="3"/>
  <c r="E10" i="3"/>
  <c r="D10" i="3"/>
  <c r="L9" i="3"/>
  <c r="H9" i="3"/>
  <c r="E9" i="3"/>
  <c r="I9" i="3" s="1"/>
  <c r="D9" i="3"/>
  <c r="E8" i="3"/>
  <c r="I8" i="3" s="1"/>
  <c r="D8" i="3"/>
  <c r="H8" i="3" s="1"/>
  <c r="E7" i="3"/>
  <c r="D7" i="3"/>
  <c r="E6" i="3"/>
  <c r="D6" i="3"/>
  <c r="E5" i="3"/>
  <c r="I5" i="3" s="1"/>
  <c r="D5" i="3"/>
  <c r="E4" i="3"/>
  <c r="D4" i="3"/>
  <c r="E3" i="3"/>
  <c r="I3" i="3" s="1"/>
  <c r="D3" i="3"/>
  <c r="H3" i="3" s="1"/>
  <c r="G253" i="3"/>
  <c r="I253" i="3" s="1"/>
  <c r="G250" i="3"/>
  <c r="G249" i="3"/>
  <c r="G247" i="3"/>
  <c r="G246" i="3"/>
  <c r="G243" i="3"/>
  <c r="G240" i="3"/>
  <c r="H240" i="3" s="1"/>
  <c r="G238" i="3"/>
  <c r="G237" i="3"/>
  <c r="H237" i="3" s="1"/>
  <c r="G235" i="3"/>
  <c r="I235" i="3" s="1"/>
  <c r="G234" i="3"/>
  <c r="G233" i="3"/>
  <c r="G232" i="3"/>
  <c r="G231" i="3"/>
  <c r="G229" i="3"/>
  <c r="G226" i="3"/>
  <c r="H226" i="3" s="1"/>
  <c r="G223" i="3"/>
  <c r="I223" i="3" s="1"/>
  <c r="G221" i="3"/>
  <c r="I221" i="3" s="1"/>
  <c r="G219" i="3"/>
  <c r="G217" i="3"/>
  <c r="G216" i="3"/>
  <c r="I216" i="3" s="1"/>
  <c r="G215" i="3"/>
  <c r="G214" i="3"/>
  <c r="G213" i="3"/>
  <c r="H213" i="3" s="1"/>
  <c r="G212" i="3"/>
  <c r="I212" i="3" s="1"/>
  <c r="G209" i="3"/>
  <c r="G207" i="3"/>
  <c r="G203" i="3"/>
  <c r="G202" i="3"/>
  <c r="G200" i="3"/>
  <c r="H200" i="3" s="1"/>
  <c r="G199" i="3"/>
  <c r="G198" i="3"/>
  <c r="G196" i="3"/>
  <c r="G195" i="3"/>
  <c r="G192" i="3"/>
  <c r="H192" i="3" s="1"/>
  <c r="G190" i="3"/>
  <c r="H190" i="3" s="1"/>
  <c r="G189" i="3"/>
  <c r="G186" i="3"/>
  <c r="G185" i="3"/>
  <c r="G184" i="3"/>
  <c r="I184" i="3" s="1"/>
  <c r="G182" i="3"/>
  <c r="G181" i="3"/>
  <c r="H181" i="3" s="1"/>
  <c r="G179" i="3"/>
  <c r="G178" i="3"/>
  <c r="G175" i="3"/>
  <c r="G171" i="3"/>
  <c r="I171" i="3" s="1"/>
  <c r="G169" i="3"/>
  <c r="G168" i="3"/>
  <c r="G167" i="3"/>
  <c r="G166" i="3"/>
  <c r="G165" i="3"/>
  <c r="G164" i="3"/>
  <c r="G163" i="3"/>
  <c r="I163" i="3" s="1"/>
  <c r="G161" i="3"/>
  <c r="I161" i="3" s="1"/>
  <c r="G158" i="3"/>
  <c r="G154" i="3"/>
  <c r="G152" i="3"/>
  <c r="I152" i="3" s="1"/>
  <c r="G151" i="3"/>
  <c r="G149" i="3"/>
  <c r="H149" i="3" s="1"/>
  <c r="G148" i="3"/>
  <c r="G147" i="3"/>
  <c r="G146" i="3"/>
  <c r="G145" i="3"/>
  <c r="I145" i="3" s="1"/>
  <c r="G144" i="3"/>
  <c r="G141" i="3"/>
  <c r="G138" i="3"/>
  <c r="G135" i="3"/>
  <c r="G134" i="3"/>
  <c r="G132" i="3"/>
  <c r="G131" i="3"/>
  <c r="I131" i="3" s="1"/>
  <c r="G130" i="3"/>
  <c r="H130" i="3" s="1"/>
  <c r="G128" i="3"/>
  <c r="G127" i="3"/>
  <c r="G123" i="3"/>
  <c r="G121" i="3"/>
  <c r="G120" i="3"/>
  <c r="I120" i="3" s="1"/>
  <c r="G118" i="3"/>
  <c r="G117" i="3"/>
  <c r="I117" i="3" s="1"/>
  <c r="G116" i="3"/>
  <c r="I116" i="3" s="1"/>
  <c r="G114" i="3"/>
  <c r="G113" i="3"/>
  <c r="G111" i="3"/>
  <c r="G110" i="3"/>
  <c r="H110" i="3" s="1"/>
  <c r="G106" i="3"/>
  <c r="G103" i="3"/>
  <c r="G101" i="3"/>
  <c r="G100" i="3"/>
  <c r="G99" i="3"/>
  <c r="G98" i="3"/>
  <c r="G97" i="3"/>
  <c r="I97" i="3" s="1"/>
  <c r="G96" i="3"/>
  <c r="G95" i="3"/>
  <c r="G93" i="3"/>
  <c r="G89" i="3"/>
  <c r="G86" i="3"/>
  <c r="G84" i="3"/>
  <c r="G83" i="3"/>
  <c r="G81" i="3"/>
  <c r="I81" i="3" s="1"/>
  <c r="G80" i="3"/>
  <c r="G79" i="3"/>
  <c r="G78" i="3"/>
  <c r="I78" i="3" s="1"/>
  <c r="G77" i="3"/>
  <c r="I77" i="3" s="1"/>
  <c r="G75" i="3"/>
  <c r="I75" i="3" s="1"/>
  <c r="G72" i="3"/>
  <c r="G70" i="3"/>
  <c r="H70" i="3" s="1"/>
  <c r="G67" i="3"/>
  <c r="G66" i="3"/>
  <c r="G64" i="3"/>
  <c r="I64" i="3" s="1"/>
  <c r="G63" i="3"/>
  <c r="I63" i="3" s="1"/>
  <c r="G62" i="3"/>
  <c r="G59" i="3"/>
  <c r="G58" i="3"/>
  <c r="I58" i="3" s="1"/>
  <c r="G55" i="3"/>
  <c r="G53" i="3"/>
  <c r="G52" i="3"/>
  <c r="H52" i="3" s="1"/>
  <c r="G50" i="3"/>
  <c r="I50" i="3" s="1"/>
  <c r="G49" i="3"/>
  <c r="G48" i="3"/>
  <c r="G46" i="3"/>
  <c r="I46" i="3" s="1"/>
  <c r="G45" i="3"/>
  <c r="G42" i="3"/>
  <c r="H42" i="3" s="1"/>
  <c r="G41" i="3"/>
  <c r="I41" i="3" s="1"/>
  <c r="G38" i="3"/>
  <c r="I38" i="3" s="1"/>
  <c r="G35" i="3"/>
  <c r="G33" i="3"/>
  <c r="G32" i="3"/>
  <c r="I32" i="3" s="1"/>
  <c r="G31" i="3"/>
  <c r="G30" i="3"/>
  <c r="G29" i="3"/>
  <c r="I29" i="3" s="1"/>
  <c r="G27" i="3"/>
  <c r="H27" i="3" s="1"/>
  <c r="G26" i="3"/>
  <c r="H26" i="3" s="1"/>
  <c r="G24" i="3"/>
  <c r="I24" i="3" s="1"/>
  <c r="G21" i="3"/>
  <c r="G18" i="3"/>
  <c r="G16" i="3"/>
  <c r="I16" i="3" s="1"/>
  <c r="G15" i="3"/>
  <c r="H15" i="3" s="1"/>
  <c r="G13" i="3"/>
  <c r="G12" i="3"/>
  <c r="G11" i="3"/>
  <c r="G10" i="3"/>
  <c r="H10" i="3" s="1"/>
  <c r="G9" i="3"/>
  <c r="G8" i="3"/>
  <c r="G5" i="3"/>
  <c r="H5" i="3" s="1"/>
  <c r="G3" i="3"/>
  <c r="G2" i="3" a="1"/>
  <c r="G248" i="3" s="1"/>
  <c r="I248" i="3" s="1"/>
  <c r="F253" i="3"/>
  <c r="F252" i="3"/>
  <c r="F250" i="3"/>
  <c r="F249" i="3"/>
  <c r="F248" i="3"/>
  <c r="F245" i="3"/>
  <c r="F242" i="3"/>
  <c r="F239" i="3"/>
  <c r="F237" i="3"/>
  <c r="F236" i="3"/>
  <c r="F235" i="3"/>
  <c r="F234" i="3"/>
  <c r="F233" i="3"/>
  <c r="F232" i="3"/>
  <c r="F230" i="3"/>
  <c r="F229" i="3"/>
  <c r="F226" i="3"/>
  <c r="F223" i="3"/>
  <c r="F221" i="3"/>
  <c r="F219" i="3"/>
  <c r="F218" i="3"/>
  <c r="F216" i="3"/>
  <c r="F215" i="3"/>
  <c r="F214" i="3"/>
  <c r="F213" i="3"/>
  <c r="F210" i="3"/>
  <c r="F207" i="3"/>
  <c r="F205" i="3"/>
  <c r="F204" i="3"/>
  <c r="F202" i="3"/>
  <c r="F201" i="3"/>
  <c r="F200" i="3"/>
  <c r="F199" i="3"/>
  <c r="F197" i="3"/>
  <c r="F194" i="3"/>
  <c r="F191" i="3"/>
  <c r="F189" i="3"/>
  <c r="F188" i="3"/>
  <c r="F186" i="3"/>
  <c r="F185" i="3"/>
  <c r="F184" i="3"/>
  <c r="F182" i="3"/>
  <c r="F181" i="3"/>
  <c r="F178" i="3"/>
  <c r="F176" i="3"/>
  <c r="F175" i="3"/>
  <c r="F173" i="3"/>
  <c r="F171" i="3"/>
  <c r="F170" i="3"/>
  <c r="F168" i="3"/>
  <c r="F166" i="3"/>
  <c r="F165" i="3"/>
  <c r="F162" i="3"/>
  <c r="F159" i="3"/>
  <c r="F157" i="3"/>
  <c r="F156" i="3"/>
  <c r="F155" i="3"/>
  <c r="F154" i="3"/>
  <c r="F153" i="3"/>
  <c r="F152" i="3"/>
  <c r="F151" i="3"/>
  <c r="F149" i="3"/>
  <c r="F146" i="3"/>
  <c r="F141" i="3"/>
  <c r="F140" i="3"/>
  <c r="F138" i="3"/>
  <c r="F137" i="3"/>
  <c r="F136" i="3"/>
  <c r="F135" i="3"/>
  <c r="F134" i="3"/>
  <c r="F133" i="3"/>
  <c r="F130" i="3"/>
  <c r="F128" i="3"/>
  <c r="F127" i="3"/>
  <c r="F125" i="3"/>
  <c r="F122" i="3"/>
  <c r="F121" i="3"/>
  <c r="F118" i="3"/>
  <c r="F117" i="3"/>
  <c r="F114" i="3"/>
  <c r="F112" i="3"/>
  <c r="F111" i="3"/>
  <c r="F109" i="3"/>
  <c r="F108" i="3"/>
  <c r="F107" i="3"/>
  <c r="F106" i="3"/>
  <c r="F105" i="3"/>
  <c r="F104" i="3"/>
  <c r="F102" i="3"/>
  <c r="F98" i="3"/>
  <c r="F95" i="3"/>
  <c r="F92" i="3"/>
  <c r="F91" i="3"/>
  <c r="F90" i="3"/>
  <c r="F89" i="3"/>
  <c r="F88" i="3"/>
  <c r="F87" i="3"/>
  <c r="F86" i="3"/>
  <c r="F85" i="3"/>
  <c r="F82" i="3"/>
  <c r="F79" i="3"/>
  <c r="F77" i="3"/>
  <c r="F76" i="3"/>
  <c r="F73" i="3"/>
  <c r="F72" i="3"/>
  <c r="F71" i="3"/>
  <c r="F70" i="3"/>
  <c r="F69" i="3"/>
  <c r="F66" i="3"/>
  <c r="F64" i="3"/>
  <c r="F63" i="3"/>
  <c r="F61" i="3"/>
  <c r="F60" i="3"/>
  <c r="F58" i="3"/>
  <c r="F57" i="3"/>
  <c r="F56" i="3"/>
  <c r="F54" i="3"/>
  <c r="F53" i="3"/>
  <c r="F48" i="3"/>
  <c r="F47" i="3"/>
  <c r="F45" i="3"/>
  <c r="F44" i="3"/>
  <c r="F43" i="3"/>
  <c r="F42" i="3"/>
  <c r="F41" i="3"/>
  <c r="F40" i="3"/>
  <c r="F38" i="3"/>
  <c r="F37" i="3"/>
  <c r="F34" i="3"/>
  <c r="F31" i="3"/>
  <c r="F29" i="3"/>
  <c r="F28" i="3"/>
  <c r="F27" i="3"/>
  <c r="F25" i="3"/>
  <c r="F24" i="3"/>
  <c r="F23" i="3"/>
  <c r="F22" i="3"/>
  <c r="F21" i="3"/>
  <c r="F18" i="3"/>
  <c r="F15" i="3"/>
  <c r="F13" i="3"/>
  <c r="F12" i="3"/>
  <c r="F10" i="3"/>
  <c r="F9" i="3"/>
  <c r="F8" i="3"/>
  <c r="F7" i="3"/>
  <c r="F6" i="3"/>
  <c r="F5" i="3"/>
  <c r="F2" i="3" a="1"/>
  <c r="F240" i="3" s="1"/>
  <c r="C25" i="2"/>
  <c r="B25" i="2"/>
  <c r="C24" i="2"/>
  <c r="B24" i="2"/>
  <c r="G22" i="2"/>
  <c r="F22" i="2"/>
  <c r="E22" i="2"/>
  <c r="D22" i="2"/>
  <c r="G21" i="2"/>
  <c r="F21" i="2"/>
  <c r="E21" i="2"/>
  <c r="D21" i="2"/>
  <c r="G20" i="2"/>
  <c r="F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D8" i="2"/>
  <c r="G7" i="2"/>
  <c r="F7" i="2"/>
  <c r="E7" i="2"/>
  <c r="D7" i="2"/>
  <c r="G6" i="2"/>
  <c r="F6" i="2"/>
  <c r="E6" i="2"/>
  <c r="D6" i="2"/>
  <c r="G5" i="2"/>
  <c r="F5" i="2"/>
  <c r="E5" i="2"/>
  <c r="D5" i="2"/>
  <c r="G4" i="2"/>
  <c r="F4" i="2"/>
  <c r="E4" i="2"/>
  <c r="C3" i="8" s="1"/>
  <c r="D4" i="2"/>
  <c r="G3" i="2"/>
  <c r="F3" i="2"/>
  <c r="E3" i="2"/>
  <c r="C2" i="8" s="1"/>
  <c r="D3" i="2"/>
  <c r="G2" i="2"/>
  <c r="F2" i="2"/>
  <c r="G44" i="1"/>
  <c r="B11" i="1"/>
  <c r="H188" i="3" l="1"/>
  <c r="H220" i="3"/>
  <c r="I47" i="3"/>
  <c r="H22" i="3"/>
  <c r="H74" i="3"/>
  <c r="I43" i="3"/>
  <c r="H90" i="3"/>
  <c r="H76" i="3"/>
  <c r="I183" i="3"/>
  <c r="H173" i="3"/>
  <c r="H107" i="3"/>
  <c r="I21" i="3"/>
  <c r="H155" i="3"/>
  <c r="H21" i="3"/>
  <c r="H68" i="3"/>
  <c r="H79" i="3"/>
  <c r="I119" i="3"/>
  <c r="H215" i="3"/>
  <c r="H251" i="3"/>
  <c r="I142" i="3"/>
  <c r="H80" i="3"/>
  <c r="I37" i="3"/>
  <c r="I115" i="3"/>
  <c r="H150" i="3"/>
  <c r="I192" i="3"/>
  <c r="H199" i="3"/>
  <c r="H216" i="3"/>
  <c r="I246" i="3"/>
  <c r="H253" i="3"/>
  <c r="H64" i="3"/>
  <c r="I76" i="3"/>
  <c r="H81" i="3"/>
  <c r="I104" i="3"/>
  <c r="H133" i="3"/>
  <c r="I144" i="3"/>
  <c r="I169" i="3"/>
  <c r="H186" i="3"/>
  <c r="I199" i="3"/>
  <c r="H217" i="3"/>
  <c r="B4" i="8"/>
  <c r="D9" i="8" s="1"/>
  <c r="B3" i="8"/>
  <c r="B2" i="8"/>
  <c r="H13" i="3"/>
  <c r="H38" i="3"/>
  <c r="H49" i="3"/>
  <c r="I59" i="3"/>
  <c r="I70" i="3"/>
  <c r="I92" i="3"/>
  <c r="I122" i="3"/>
  <c r="I133" i="3"/>
  <c r="H145" i="3"/>
  <c r="H151" i="3"/>
  <c r="I112" i="3"/>
  <c r="I73" i="3"/>
  <c r="I101" i="3"/>
  <c r="H119" i="3"/>
  <c r="I160" i="3"/>
  <c r="I208" i="3"/>
  <c r="I220" i="3"/>
  <c r="H103" i="3"/>
  <c r="I143" i="3"/>
  <c r="I13" i="3"/>
  <c r="I247" i="3"/>
  <c r="I102" i="3"/>
  <c r="I197" i="3"/>
  <c r="I80" i="3"/>
  <c r="H91" i="3"/>
  <c r="H161" i="3"/>
  <c r="H252" i="3"/>
  <c r="H109" i="3"/>
  <c r="I98" i="3"/>
  <c r="H212" i="3"/>
  <c r="H29" i="3"/>
  <c r="H50" i="3"/>
  <c r="I105" i="3"/>
  <c r="I134" i="3"/>
  <c r="H164" i="3"/>
  <c r="F93" i="3"/>
  <c r="F120" i="3"/>
  <c r="F143" i="3"/>
  <c r="F169" i="3"/>
  <c r="F192" i="3"/>
  <c r="F217" i="3"/>
  <c r="I34" i="3"/>
  <c r="H39" i="3"/>
  <c r="H45" i="3"/>
  <c r="H55" i="3"/>
  <c r="H77" i="3"/>
  <c r="I99" i="3"/>
  <c r="I123" i="3"/>
  <c r="H135" i="3"/>
  <c r="I164" i="3"/>
  <c r="I181" i="3"/>
  <c r="H206" i="3"/>
  <c r="I156" i="3"/>
  <c r="I198" i="3"/>
  <c r="I39" i="3"/>
  <c r="I55" i="3"/>
  <c r="H152" i="3"/>
  <c r="H165" i="3"/>
  <c r="H230" i="3"/>
  <c r="H243" i="3"/>
  <c r="H248" i="3"/>
  <c r="B26" i="2" a="1"/>
  <c r="B26" i="2" s="1"/>
  <c r="H30" i="3"/>
  <c r="I66" i="3"/>
  <c r="H72" i="3"/>
  <c r="I124" i="3"/>
  <c r="H159" i="3"/>
  <c r="I165" i="3"/>
  <c r="I194" i="3"/>
  <c r="I213" i="3"/>
  <c r="I243" i="3"/>
  <c r="F244" i="3"/>
  <c r="F228" i="3"/>
  <c r="F212" i="3"/>
  <c r="F196" i="3"/>
  <c r="F180" i="3"/>
  <c r="F164" i="3"/>
  <c r="F148" i="3"/>
  <c r="F132" i="3"/>
  <c r="F116" i="3"/>
  <c r="F100" i="3"/>
  <c r="F84" i="3"/>
  <c r="F68" i="3"/>
  <c r="F52" i="3"/>
  <c r="F36" i="3"/>
  <c r="F20" i="3"/>
  <c r="F4" i="3"/>
  <c r="F243" i="3"/>
  <c r="F227" i="3"/>
  <c r="F211" i="3"/>
  <c r="F195" i="3"/>
  <c r="F179" i="3"/>
  <c r="F163" i="3"/>
  <c r="F147" i="3"/>
  <c r="F131" i="3"/>
  <c r="F115" i="3"/>
  <c r="F99" i="3"/>
  <c r="F83" i="3"/>
  <c r="F67" i="3"/>
  <c r="F51" i="3"/>
  <c r="F35" i="3"/>
  <c r="F19" i="3"/>
  <c r="F3" i="3"/>
  <c r="F241" i="3"/>
  <c r="F225" i="3"/>
  <c r="F209" i="3"/>
  <c r="F193" i="3"/>
  <c r="F177" i="3"/>
  <c r="F161" i="3"/>
  <c r="F145" i="3"/>
  <c r="F129" i="3"/>
  <c r="F113" i="3"/>
  <c r="F97" i="3"/>
  <c r="F81" i="3"/>
  <c r="F65" i="3"/>
  <c r="F49" i="3"/>
  <c r="F33" i="3"/>
  <c r="F17" i="3"/>
  <c r="F2" i="3"/>
  <c r="F238" i="3"/>
  <c r="F222" i="3"/>
  <c r="F206" i="3"/>
  <c r="F190" i="3"/>
  <c r="F174" i="3"/>
  <c r="F158" i="3"/>
  <c r="F142" i="3"/>
  <c r="F126" i="3"/>
  <c r="F110" i="3"/>
  <c r="F94" i="3"/>
  <c r="F78" i="3"/>
  <c r="F62" i="3"/>
  <c r="F46" i="3"/>
  <c r="F30" i="3"/>
  <c r="F14" i="3"/>
  <c r="F251" i="3"/>
  <c r="F231" i="3"/>
  <c r="F208" i="3"/>
  <c r="F187" i="3"/>
  <c r="F167" i="3"/>
  <c r="F144" i="3"/>
  <c r="F123" i="3"/>
  <c r="F103" i="3"/>
  <c r="F80" i="3"/>
  <c r="F59" i="3"/>
  <c r="F39" i="3"/>
  <c r="F16" i="3"/>
  <c r="F247" i="3"/>
  <c r="F224" i="3"/>
  <c r="F203" i="3"/>
  <c r="F183" i="3"/>
  <c r="F160" i="3"/>
  <c r="F139" i="3"/>
  <c r="F119" i="3"/>
  <c r="F96" i="3"/>
  <c r="F75" i="3"/>
  <c r="F55" i="3"/>
  <c r="F32" i="3"/>
  <c r="F11" i="3"/>
  <c r="F26" i="3"/>
  <c r="F50" i="3"/>
  <c r="F74" i="3"/>
  <c r="F101" i="3"/>
  <c r="F124" i="3"/>
  <c r="F150" i="3"/>
  <c r="F172" i="3"/>
  <c r="F198" i="3"/>
  <c r="F220" i="3"/>
  <c r="F246" i="3"/>
  <c r="I10" i="3"/>
  <c r="I30" i="3"/>
  <c r="I72" i="3"/>
  <c r="H118" i="3"/>
  <c r="I136" i="3"/>
  <c r="H147" i="3"/>
  <c r="I159" i="3"/>
  <c r="H189" i="3"/>
  <c r="I207" i="3"/>
  <c r="H231" i="3"/>
  <c r="H247" i="3"/>
  <c r="A12" i="8"/>
  <c r="I49" i="3"/>
  <c r="H93" i="3"/>
  <c r="I103" i="3"/>
  <c r="I118" i="3"/>
  <c r="H139" i="3"/>
  <c r="I154" i="3"/>
  <c r="H180" i="3"/>
  <c r="C11" i="8"/>
  <c r="G14" i="3"/>
  <c r="H14" i="3" s="1"/>
  <c r="G36" i="3"/>
  <c r="I36" i="3" s="1"/>
  <c r="G61" i="3"/>
  <c r="I61" i="3" s="1"/>
  <c r="G82" i="3"/>
  <c r="I82" i="3" s="1"/>
  <c r="G104" i="3"/>
  <c r="H104" i="3" s="1"/>
  <c r="G129" i="3"/>
  <c r="G150" i="3"/>
  <c r="G173" i="3"/>
  <c r="I173" i="3" s="1"/>
  <c r="G197" i="3"/>
  <c r="H197" i="3" s="1"/>
  <c r="G218" i="3"/>
  <c r="H218" i="3" s="1"/>
  <c r="G241" i="3"/>
  <c r="H241" i="3" s="1"/>
  <c r="I26" i="3"/>
  <c r="I35" i="3"/>
  <c r="I54" i="3"/>
  <c r="H83" i="3"/>
  <c r="H98" i="3"/>
  <c r="H134" i="3"/>
  <c r="H144" i="3"/>
  <c r="H185" i="3"/>
  <c r="I114" i="3"/>
  <c r="I135" i="3"/>
  <c r="I150" i="3"/>
  <c r="H171" i="3"/>
  <c r="I186" i="3"/>
  <c r="I206" i="3"/>
  <c r="I217" i="3"/>
  <c r="H223" i="3"/>
  <c r="H249" i="3"/>
  <c r="G19" i="3"/>
  <c r="G43" i="3"/>
  <c r="H43" i="3" s="1"/>
  <c r="G65" i="3"/>
  <c r="H65" i="3" s="1"/>
  <c r="G87" i="3"/>
  <c r="I87" i="3" s="1"/>
  <c r="G112" i="3"/>
  <c r="H112" i="3" s="1"/>
  <c r="G133" i="3"/>
  <c r="G155" i="3"/>
  <c r="I155" i="3" s="1"/>
  <c r="G180" i="3"/>
  <c r="I180" i="3" s="1"/>
  <c r="G201" i="3"/>
  <c r="H201" i="3" s="1"/>
  <c r="G224" i="3"/>
  <c r="I18" i="3"/>
  <c r="I79" i="3"/>
  <c r="I84" i="3"/>
  <c r="H89" i="3"/>
  <c r="H166" i="3"/>
  <c r="H176" i="3"/>
  <c r="I238" i="3"/>
  <c r="I249" i="3"/>
  <c r="G252" i="3"/>
  <c r="I252" i="3" s="1"/>
  <c r="G236" i="3"/>
  <c r="G220" i="3"/>
  <c r="G204" i="3"/>
  <c r="G188" i="3"/>
  <c r="I188" i="3" s="1"/>
  <c r="G172" i="3"/>
  <c r="G156" i="3"/>
  <c r="H156" i="3" s="1"/>
  <c r="G140" i="3"/>
  <c r="G124" i="3"/>
  <c r="H124" i="3" s="1"/>
  <c r="G108" i="3"/>
  <c r="G92" i="3"/>
  <c r="H92" i="3" s="1"/>
  <c r="G76" i="3"/>
  <c r="G60" i="3"/>
  <c r="H60" i="3" s="1"/>
  <c r="G44" i="3"/>
  <c r="H44" i="3" s="1"/>
  <c r="G28" i="3"/>
  <c r="I28" i="3" s="1"/>
  <c r="G245" i="3"/>
  <c r="G228" i="3"/>
  <c r="I228" i="3" s="1"/>
  <c r="G211" i="3"/>
  <c r="H211" i="3" s="1"/>
  <c r="G194" i="3"/>
  <c r="H194" i="3" s="1"/>
  <c r="G177" i="3"/>
  <c r="G160" i="3"/>
  <c r="H160" i="3" s="1"/>
  <c r="G143" i="3"/>
  <c r="G126" i="3"/>
  <c r="H126" i="3" s="1"/>
  <c r="G109" i="3"/>
  <c r="I109" i="3" s="1"/>
  <c r="G91" i="3"/>
  <c r="I91" i="3" s="1"/>
  <c r="G74" i="3"/>
  <c r="I74" i="3" s="1"/>
  <c r="G57" i="3"/>
  <c r="H57" i="3" s="1"/>
  <c r="G40" i="3"/>
  <c r="G23" i="3"/>
  <c r="H23" i="3" s="1"/>
  <c r="G7" i="3"/>
  <c r="H7" i="3" s="1"/>
  <c r="G244" i="3"/>
  <c r="I244" i="3" s="1"/>
  <c r="G227" i="3"/>
  <c r="I227" i="3" s="1"/>
  <c r="G210" i="3"/>
  <c r="I210" i="3" s="1"/>
  <c r="G193" i="3"/>
  <c r="G176" i="3"/>
  <c r="I176" i="3" s="1"/>
  <c r="G159" i="3"/>
  <c r="G142" i="3"/>
  <c r="H142" i="3" s="1"/>
  <c r="G125" i="3"/>
  <c r="I125" i="3" s="1"/>
  <c r="G107" i="3"/>
  <c r="I107" i="3" s="1"/>
  <c r="G90" i="3"/>
  <c r="I90" i="3" s="1"/>
  <c r="G73" i="3"/>
  <c r="H73" i="3" s="1"/>
  <c r="G56" i="3"/>
  <c r="H56" i="3" s="1"/>
  <c r="G39" i="3"/>
  <c r="G22" i="3"/>
  <c r="I22" i="3" s="1"/>
  <c r="G6" i="3"/>
  <c r="H6" i="3" s="1"/>
  <c r="G242" i="3"/>
  <c r="I242" i="3" s="1"/>
  <c r="G225" i="3"/>
  <c r="G208" i="3"/>
  <c r="H208" i="3" s="1"/>
  <c r="G191" i="3"/>
  <c r="I191" i="3" s="1"/>
  <c r="G174" i="3"/>
  <c r="H174" i="3" s="1"/>
  <c r="G157" i="3"/>
  <c r="I157" i="3" s="1"/>
  <c r="G139" i="3"/>
  <c r="I139" i="3" s="1"/>
  <c r="G122" i="3"/>
  <c r="H122" i="3" s="1"/>
  <c r="G105" i="3"/>
  <c r="H105" i="3" s="1"/>
  <c r="G88" i="3"/>
  <c r="G71" i="3"/>
  <c r="I71" i="3" s="1"/>
  <c r="G54" i="3"/>
  <c r="H54" i="3" s="1"/>
  <c r="G37" i="3"/>
  <c r="H37" i="3" s="1"/>
  <c r="G20" i="3"/>
  <c r="G4" i="3"/>
  <c r="G239" i="3"/>
  <c r="G222" i="3"/>
  <c r="H222" i="3" s="1"/>
  <c r="G205" i="3"/>
  <c r="I205" i="3" s="1"/>
  <c r="G187" i="3"/>
  <c r="I187" i="3" s="1"/>
  <c r="G170" i="3"/>
  <c r="H170" i="3" s="1"/>
  <c r="G153" i="3"/>
  <c r="I153" i="3" s="1"/>
  <c r="G136" i="3"/>
  <c r="H136" i="3" s="1"/>
  <c r="G119" i="3"/>
  <c r="G102" i="3"/>
  <c r="H102" i="3" s="1"/>
  <c r="G85" i="3"/>
  <c r="I85" i="3" s="1"/>
  <c r="G68" i="3"/>
  <c r="I68" i="3" s="1"/>
  <c r="G51" i="3"/>
  <c r="I51" i="3" s="1"/>
  <c r="G34" i="3"/>
  <c r="H34" i="3" s="1"/>
  <c r="G17" i="3"/>
  <c r="H17" i="3" s="1"/>
  <c r="G2" i="3"/>
  <c r="G25" i="3"/>
  <c r="I25" i="3" s="1"/>
  <c r="G47" i="3"/>
  <c r="H47" i="3" s="1"/>
  <c r="G69" i="3"/>
  <c r="H69" i="3" s="1"/>
  <c r="G94" i="3"/>
  <c r="H94" i="3" s="1"/>
  <c r="G115" i="3"/>
  <c r="H115" i="3" s="1"/>
  <c r="G137" i="3"/>
  <c r="H137" i="3" s="1"/>
  <c r="G162" i="3"/>
  <c r="I162" i="3" s="1"/>
  <c r="G183" i="3"/>
  <c r="H183" i="3" s="1"/>
  <c r="G206" i="3"/>
  <c r="G230" i="3"/>
  <c r="G251" i="3"/>
  <c r="I251" i="3" s="1"/>
  <c r="I110" i="3"/>
  <c r="H116" i="3"/>
  <c r="I146" i="3"/>
  <c r="H157" i="3"/>
  <c r="I167" i="3"/>
  <c r="I182" i="3"/>
  <c r="H203" i="3"/>
  <c r="H219" i="3"/>
  <c r="I229" i="3"/>
  <c r="I239" i="3"/>
  <c r="H71" i="3"/>
  <c r="I106" i="3"/>
  <c r="H111" i="3"/>
  <c r="I138" i="3"/>
  <c r="H143" i="3"/>
  <c r="H175" i="3"/>
  <c r="I202" i="3"/>
  <c r="H207" i="3"/>
  <c r="I234" i="3"/>
  <c r="H239" i="3"/>
  <c r="I230" i="3"/>
  <c r="H235" i="3"/>
  <c r="H59" i="3"/>
  <c r="H51" i="3"/>
  <c r="H99" i="3"/>
  <c r="H131" i="3"/>
  <c r="I158" i="3"/>
  <c r="H163" i="3"/>
  <c r="I190" i="3"/>
  <c r="H195" i="3"/>
  <c r="I193" i="3" l="1"/>
  <c r="H193" i="3"/>
  <c r="H227" i="3"/>
  <c r="H153" i="3"/>
  <c r="I14" i="3"/>
  <c r="I69" i="3"/>
  <c r="I222" i="3"/>
  <c r="I4" i="3"/>
  <c r="H4" i="3"/>
  <c r="I40" i="3"/>
  <c r="H40" i="3"/>
  <c r="L6" i="3" s="1"/>
  <c r="H210" i="3"/>
  <c r="I44" i="3"/>
  <c r="I6" i="3"/>
  <c r="H61" i="3"/>
  <c r="I20" i="3"/>
  <c r="H20" i="3"/>
  <c r="I174" i="3"/>
  <c r="I23" i="3"/>
  <c r="I60" i="3"/>
  <c r="H228" i="3"/>
  <c r="I57" i="3"/>
  <c r="I7" i="3"/>
  <c r="H242" i="3"/>
  <c r="H87" i="3"/>
  <c r="I211" i="3"/>
  <c r="H236" i="3"/>
  <c r="I236" i="3"/>
  <c r="I126" i="3"/>
  <c r="I201" i="3"/>
  <c r="I218" i="3"/>
  <c r="H205" i="3"/>
  <c r="H191" i="3"/>
  <c r="H82" i="3"/>
  <c r="D8" i="8"/>
  <c r="B34" i="8"/>
  <c r="D3" i="8" s="1"/>
  <c r="D10" i="8"/>
  <c r="I170" i="3"/>
  <c r="H140" i="3"/>
  <c r="I140" i="3"/>
  <c r="I224" i="3"/>
  <c r="H224" i="3"/>
  <c r="H187" i="3"/>
  <c r="I88" i="3"/>
  <c r="H88" i="3"/>
  <c r="I56" i="3"/>
  <c r="I241" i="3"/>
  <c r="I17" i="3"/>
  <c r="I172" i="3"/>
  <c r="H172" i="3"/>
  <c r="H125" i="3"/>
  <c r="I94" i="3"/>
  <c r="H177" i="3"/>
  <c r="I177" i="3"/>
  <c r="I204" i="3"/>
  <c r="H204" i="3"/>
  <c r="I129" i="3"/>
  <c r="H129" i="3"/>
  <c r="D11" i="8"/>
  <c r="H162" i="3"/>
  <c r="H85" i="3"/>
  <c r="I137" i="3"/>
  <c r="I245" i="3"/>
  <c r="H245" i="3"/>
  <c r="I225" i="3"/>
  <c r="H225" i="3"/>
  <c r="I19" i="3"/>
  <c r="H19" i="3"/>
  <c r="I65" i="3"/>
  <c r="H244" i="3"/>
  <c r="H108" i="3"/>
  <c r="I108" i="3"/>
  <c r="H25" i="3"/>
  <c r="C8" i="8"/>
  <c r="C9" i="8"/>
  <c r="C10" i="8"/>
  <c r="B33" i="8"/>
  <c r="A13" i="8"/>
  <c r="B12" i="8"/>
  <c r="D12" i="8" s="1"/>
  <c r="H28" i="3"/>
  <c r="H36" i="3"/>
  <c r="C12" i="8" l="1"/>
  <c r="B35" i="8"/>
  <c r="E3" i="8"/>
  <c r="B259" i="3"/>
  <c r="B258" i="3"/>
  <c r="B265" i="3"/>
  <c r="B260" i="3"/>
  <c r="E257" i="3" s="1"/>
  <c r="B262" i="3"/>
  <c r="B266" i="3"/>
  <c r="B267" i="3"/>
  <c r="B261" i="3"/>
  <c r="B268" i="3" s="1"/>
  <c r="B269" i="3" s="1"/>
  <c r="M4" i="3"/>
  <c r="B264" i="3"/>
  <c r="B263" i="3"/>
  <c r="N4" i="3"/>
  <c r="L5" i="3"/>
  <c r="C261" i="3"/>
  <c r="C267" i="3"/>
  <c r="C259" i="3"/>
  <c r="C265" i="3"/>
  <c r="C258" i="3"/>
  <c r="C262" i="3"/>
  <c r="C260" i="3"/>
  <c r="H257" i="3" s="1"/>
  <c r="C266" i="3"/>
  <c r="N5" i="3"/>
  <c r="C263" i="3"/>
  <c r="C264" i="3"/>
  <c r="A14" i="8"/>
  <c r="B13" i="8"/>
  <c r="D13" i="8" s="1"/>
  <c r="M6" i="3"/>
  <c r="C13" i="8" l="1"/>
  <c r="D14" i="8"/>
  <c r="A15" i="8"/>
  <c r="B14" i="8"/>
  <c r="C14" i="8" s="1"/>
  <c r="E258" i="3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F257" i="3" a="1"/>
  <c r="C268" i="3"/>
  <c r="C269" i="3" s="1"/>
  <c r="H258" i="3" s="1"/>
  <c r="H259" i="3" l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A16" i="8"/>
  <c r="C15" i="8"/>
  <c r="B15" i="8"/>
  <c r="D15" i="8" s="1"/>
  <c r="F277" i="3"/>
  <c r="F261" i="3"/>
  <c r="F274" i="3"/>
  <c r="F258" i="3"/>
  <c r="F273" i="3"/>
  <c r="F278" i="3"/>
  <c r="F257" i="3"/>
  <c r="F276" i="3"/>
  <c r="F272" i="3"/>
  <c r="F271" i="3"/>
  <c r="F288" i="3"/>
  <c r="F269" i="3"/>
  <c r="F266" i="3"/>
  <c r="F287" i="3"/>
  <c r="F263" i="3"/>
  <c r="F286" i="3"/>
  <c r="F262" i="3"/>
  <c r="F283" i="3"/>
  <c r="F282" i="3"/>
  <c r="F280" i="3"/>
  <c r="F270" i="3"/>
  <c r="F268" i="3"/>
  <c r="F267" i="3"/>
  <c r="F265" i="3"/>
  <c r="F264" i="3"/>
  <c r="F260" i="3"/>
  <c r="F279" i="3"/>
  <c r="F259" i="3"/>
  <c r="F285" i="3"/>
  <c r="F281" i="3"/>
  <c r="F284" i="3"/>
  <c r="F275" i="3"/>
  <c r="I257" i="3" l="1" a="1"/>
  <c r="A17" i="8"/>
  <c r="B16" i="8"/>
  <c r="C16" i="8" s="1"/>
  <c r="D16" i="8"/>
  <c r="A18" i="8" l="1"/>
  <c r="B17" i="8"/>
  <c r="D17" i="8" s="1"/>
  <c r="I275" i="3"/>
  <c r="I259" i="3"/>
  <c r="I288" i="3"/>
  <c r="I272" i="3"/>
  <c r="I257" i="3"/>
  <c r="I287" i="3"/>
  <c r="I271" i="3"/>
  <c r="I282" i="3"/>
  <c r="I263" i="3"/>
  <c r="I281" i="3"/>
  <c r="I262" i="3"/>
  <c r="I279" i="3"/>
  <c r="I260" i="3"/>
  <c r="I278" i="3"/>
  <c r="I258" i="3"/>
  <c r="I276" i="3"/>
  <c r="I264" i="3"/>
  <c r="I285" i="3"/>
  <c r="I284" i="3"/>
  <c r="I277" i="3"/>
  <c r="I274" i="3"/>
  <c r="I270" i="3"/>
  <c r="I286" i="3"/>
  <c r="I283" i="3"/>
  <c r="I280" i="3"/>
  <c r="I261" i="3"/>
  <c r="I273" i="3"/>
  <c r="I269" i="3"/>
  <c r="I268" i="3"/>
  <c r="I267" i="3"/>
  <c r="I266" i="3"/>
  <c r="I265" i="3"/>
  <c r="A19" i="8" l="1"/>
  <c r="B18" i="8"/>
  <c r="D18" i="8" s="1"/>
  <c r="C17" i="8"/>
  <c r="C18" i="8" l="1"/>
  <c r="A20" i="8"/>
  <c r="B19" i="8"/>
  <c r="D19" i="8" s="1"/>
  <c r="C19" i="8" l="1"/>
  <c r="A21" i="8"/>
  <c r="B20" i="8"/>
  <c r="C20" i="8" s="1"/>
  <c r="D20" i="8"/>
  <c r="B21" i="8" l="1"/>
  <c r="D21" i="8" s="1"/>
  <c r="A22" i="8"/>
  <c r="B22" i="8" l="1"/>
  <c r="C22" i="8" s="1"/>
  <c r="A23" i="8"/>
  <c r="D22" i="8"/>
  <c r="C21" i="8"/>
  <c r="A24" i="8" l="1"/>
  <c r="B23" i="8"/>
  <c r="D23" i="8" s="1"/>
  <c r="C23" i="8" l="1"/>
  <c r="A25" i="8"/>
  <c r="B24" i="8"/>
  <c r="C24" i="8" s="1"/>
  <c r="D24" i="8"/>
  <c r="B25" i="8" l="1"/>
  <c r="D25" i="8" s="1"/>
  <c r="A26" i="8"/>
  <c r="A27" i="8" l="1"/>
  <c r="B26" i="8"/>
  <c r="C26" i="8" s="1"/>
  <c r="D26" i="8"/>
  <c r="C25" i="8"/>
  <c r="A28" i="8" l="1"/>
  <c r="B27" i="8"/>
  <c r="D27" i="8" s="1"/>
  <c r="C27" i="8" l="1"/>
  <c r="B28" i="8"/>
  <c r="C28" i="8" s="1"/>
  <c r="D28" i="8"/>
</calcChain>
</file>

<file path=xl/sharedStrings.xml><?xml version="1.0" encoding="utf-8"?>
<sst xmlns="http://schemas.openxmlformats.org/spreadsheetml/2006/main" count="2129" uniqueCount="1864">
  <si>
    <t>Total Marks</t>
  </si>
  <si>
    <t>Links to Annual Data and Charts</t>
  </si>
  <si>
    <t>Links</t>
  </si>
  <si>
    <t>1.a</t>
  </si>
  <si>
    <t>Data - Yearly (format return)</t>
  </si>
  <si>
    <t>Data-Yearly</t>
  </si>
  <si>
    <t>1.b</t>
  </si>
  <si>
    <t>Yearly Returns Chart</t>
  </si>
  <si>
    <t>1.c</t>
  </si>
  <si>
    <t>Yearly Rescaled Price Chart</t>
  </si>
  <si>
    <t>Analysis of Annual Data</t>
  </si>
  <si>
    <t>USPH</t>
  </si>
  <si>
    <t>BG</t>
  </si>
  <si>
    <t>1.d</t>
  </si>
  <si>
    <t>Buy and Hold Returns  (2005-2025)</t>
  </si>
  <si>
    <t>1.e</t>
  </si>
  <si>
    <t>Compounded Annual Returns  (2005-2025)</t>
  </si>
  <si>
    <t>1.f</t>
  </si>
  <si>
    <t>1.g</t>
  </si>
  <si>
    <t>Market frontier</t>
  </si>
  <si>
    <t>Market Frontier</t>
  </si>
  <si>
    <t>Link to Monthly Data</t>
  </si>
  <si>
    <t>Link</t>
  </si>
  <si>
    <t>2.a</t>
  </si>
  <si>
    <t>Data - Monthly</t>
  </si>
  <si>
    <t>Data-Monthly</t>
  </si>
  <si>
    <t>Analysis of Monthly Data</t>
  </si>
  <si>
    <t>2.b</t>
  </si>
  <si>
    <t>Mean</t>
  </si>
  <si>
    <t>Median</t>
  </si>
  <si>
    <t>Min</t>
  </si>
  <si>
    <t>Max</t>
  </si>
  <si>
    <t>Variance</t>
  </si>
  <si>
    <t>Standard Deviation</t>
  </si>
  <si>
    <t>Kurtosis</t>
  </si>
  <si>
    <t>Skewness</t>
  </si>
  <si>
    <t>2.c</t>
  </si>
  <si>
    <t>Month with the highest excess return</t>
  </si>
  <si>
    <t>Month with the lowest excess return</t>
  </si>
  <si>
    <t>Frequency Distributions of Excess Returns</t>
  </si>
  <si>
    <t>2.d</t>
  </si>
  <si>
    <t>Frequency Distributions Charts</t>
  </si>
  <si>
    <t>Correlation Matrix</t>
  </si>
  <si>
    <t>Market</t>
  </si>
  <si>
    <t>2.e</t>
  </si>
  <si>
    <t>Market Returns</t>
  </si>
  <si>
    <t>Capital Asset Pricing Model</t>
  </si>
  <si>
    <t>2.f</t>
  </si>
  <si>
    <t>Alpha</t>
  </si>
  <si>
    <t>Beta</t>
  </si>
  <si>
    <t>Adj R-square</t>
  </si>
  <si>
    <t>Presentation of the calculations, graphs and summary results</t>
  </si>
  <si>
    <t>Part I Total</t>
  </si>
  <si>
    <t>Year (end)</t>
  </si>
  <si>
    <t>USPH_price</t>
  </si>
  <si>
    <t>BG_price</t>
  </si>
  <si>
    <t xml:space="preserve">Simple Return - USPH </t>
  </si>
  <si>
    <t xml:space="preserve">Simple Return - BG </t>
  </si>
  <si>
    <t>Rescaled Price - USPH</t>
  </si>
  <si>
    <t>Rescaled Price - BG</t>
  </si>
  <si>
    <t xml:space="preserve">Buy and Hold Returns </t>
  </si>
  <si>
    <t>Compounded Annual Returns</t>
  </si>
  <si>
    <t>Years USPH beats BG</t>
  </si>
  <si>
    <t>Month (end)</t>
  </si>
  <si>
    <t>Montly Return USPH</t>
  </si>
  <si>
    <t>Montly Return BG</t>
  </si>
  <si>
    <t>Rm-Rf</t>
  </si>
  <si>
    <t>Rf</t>
  </si>
  <si>
    <t>USPH Excess Return</t>
  </si>
  <si>
    <t>BG Excess Return</t>
  </si>
  <si>
    <t>Capital Asset Pricing Model for USPH</t>
  </si>
  <si>
    <t xml:space="preserve">Alpha </t>
  </si>
  <si>
    <t xml:space="preserve">Beta </t>
  </si>
  <si>
    <t>Adjusted R square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</si>
  <si>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</si>
  <si>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</si>
  <si>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</si>
  <si>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</si>
  <si>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</si>
  <si>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</si>
  <si>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</si>
  <si>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</si>
  <si>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</si>
  <si>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</si>
  <si>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</si>
  <si>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</si>
  <si>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</si>
  <si>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</si>
  <si>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</si>
  <si>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</si>
  <si>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</si>
  <si>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</si>
  <si>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</si>
  <si>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</si>
  <si>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</si>
  <si>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</si>
  <si>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</si>
  <si>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</si>
  <si>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</si>
  <si>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Capital Asset Pricing Model for BG</t>
  </si>
  <si>
    <t xml:space="preserve">USPH </t>
  </si>
  <si>
    <t xml:space="preserve">Descriptive Statistics of Monthly Returns of USPH and BG </t>
  </si>
  <si>
    <t>Bins</t>
  </si>
  <si>
    <t xml:space="preserve">Frequency </t>
  </si>
  <si>
    <t>Particulars</t>
  </si>
  <si>
    <t xml:space="preserve">Mean </t>
  </si>
  <si>
    <t xml:space="preserve">Median </t>
  </si>
  <si>
    <t xml:space="preserve">Standard Deviation </t>
  </si>
  <si>
    <t xml:space="preserve">Range </t>
  </si>
  <si>
    <t>'Yearly Returns Chart</t>
  </si>
  <si>
    <t>'Yearly Rescaled Price Chart '!A1</t>
  </si>
  <si>
    <t>Inputs</t>
  </si>
  <si>
    <t xml:space="preserve">Risk </t>
  </si>
  <si>
    <t xml:space="preserve">Return </t>
  </si>
  <si>
    <t>Mean Return</t>
  </si>
  <si>
    <t>Correlation</t>
  </si>
  <si>
    <t>Risk free rate (given)</t>
  </si>
  <si>
    <t>Weight USPH</t>
  </si>
  <si>
    <t>Weight BG</t>
  </si>
  <si>
    <t xml:space="preserve">Portfolio Return </t>
  </si>
  <si>
    <t>Portfolio Standard Deviation</t>
  </si>
  <si>
    <t>Optimal Weight USPH</t>
  </si>
  <si>
    <t>Optimal Weight BG</t>
  </si>
  <si>
    <t xml:space="preserve">Optimal Portfolio Return </t>
  </si>
  <si>
    <t>Optimal Standard Deviation</t>
  </si>
  <si>
    <t>Optimal Sharpe Ratio</t>
  </si>
  <si>
    <t>Bin</t>
  </si>
  <si>
    <t>Frequency</t>
  </si>
  <si>
    <t>More</t>
  </si>
  <si>
    <t>T-Test Analysis of Monthly Returns</t>
  </si>
  <si>
    <t>t-Test: Two-Sample Assuming Unequal Variances</t>
  </si>
  <si>
    <t>Variable 1</t>
  </si>
  <si>
    <t>Variable 2</t>
  </si>
  <si>
    <t>Hypothesized Mean Difference</t>
  </si>
  <si>
    <t>P(T&lt;=t) one-tail</t>
  </si>
  <si>
    <t>t Critical one-tail</t>
  </si>
  <si>
    <t>P(T&lt;=t) two-tail</t>
  </si>
  <si>
    <t>t Critical two-tail</t>
  </si>
  <si>
    <t>Bull Market Analysis (March 2009 – February 2020)</t>
  </si>
  <si>
    <t>Capital Asset Pricing Model for USPH (Bull Market)</t>
  </si>
  <si>
    <t>Bear Market Analysis (Jan 2022 – Dec 2022)</t>
  </si>
  <si>
    <t xml:space="preserve"> Bear Market Analysis (January 2022 – December 2022)</t>
  </si>
  <si>
    <t>Capital Asset Pricing Model for USPH (Bear Market)</t>
  </si>
  <si>
    <t>Capital Asset Pricing Model for BG (Bear Market)</t>
  </si>
  <si>
    <t>This file was created by CMPT_ME_BEME_RETS using the 202301 CRSP database.</t>
  </si>
  <si>
    <t>The 1-month TBill return is from Ibbotson and Associates Inc</t>
  </si>
  <si>
    <t>Month-Year</t>
  </si>
  <si>
    <t>07-1926</t>
  </si>
  <si>
    <t>08-1926</t>
  </si>
  <si>
    <t>09-1926</t>
  </si>
  <si>
    <t>10-1926</t>
  </si>
  <si>
    <t>FAMA- FRENCH Research Data Factors</t>
  </si>
  <si>
    <t>11-1926</t>
  </si>
  <si>
    <t>12-1926</t>
  </si>
  <si>
    <t>Dataset dowloaded from : http://mba.tuck.dartmouth.edu/pages/faculty/ken.french/data_library.html#Research</t>
  </si>
  <si>
    <t>01-1927</t>
  </si>
  <si>
    <t>02-1927</t>
  </si>
  <si>
    <t>03-1927</t>
  </si>
  <si>
    <t>04-1927</t>
  </si>
  <si>
    <t>05-1927</t>
  </si>
  <si>
    <t>06-1927</t>
  </si>
  <si>
    <t>07-1927</t>
  </si>
  <si>
    <t>08-1927</t>
  </si>
  <si>
    <t>Move down to the end for Annual Data on Rm - Rf</t>
  </si>
  <si>
    <t>09-1927</t>
  </si>
  <si>
    <t>10-1927</t>
  </si>
  <si>
    <t>11-1927</t>
  </si>
  <si>
    <t>12-1927</t>
  </si>
  <si>
    <t>01-1928</t>
  </si>
  <si>
    <t>02-1928</t>
  </si>
  <si>
    <t>03-1928</t>
  </si>
  <si>
    <t>04-1928</t>
  </si>
  <si>
    <t>05-1928</t>
  </si>
  <si>
    <t>06-1928</t>
  </si>
  <si>
    <t>07-1928</t>
  </si>
  <si>
    <t>08-1928</t>
  </si>
  <si>
    <t>09-1928</t>
  </si>
  <si>
    <t>10-1928</t>
  </si>
  <si>
    <t>11-1928</t>
  </si>
  <si>
    <t>12-1928</t>
  </si>
  <si>
    <t>01-1929</t>
  </si>
  <si>
    <t>02-1929</t>
  </si>
  <si>
    <t>03-1929</t>
  </si>
  <si>
    <t>04-1929</t>
  </si>
  <si>
    <t>05-1929</t>
  </si>
  <si>
    <t>06-1929</t>
  </si>
  <si>
    <t>07-1929</t>
  </si>
  <si>
    <t>08-1929</t>
  </si>
  <si>
    <t>09-1929</t>
  </si>
  <si>
    <t>10-1929</t>
  </si>
  <si>
    <t>11-1929</t>
  </si>
  <si>
    <t>12-1929</t>
  </si>
  <si>
    <t>01-1930</t>
  </si>
  <si>
    <t>02-1930</t>
  </si>
  <si>
    <t>03-1930</t>
  </si>
  <si>
    <t>04-1930</t>
  </si>
  <si>
    <t>05-1930</t>
  </si>
  <si>
    <t>06-1930</t>
  </si>
  <si>
    <t>07-1930</t>
  </si>
  <si>
    <t>08-1930</t>
  </si>
  <si>
    <t>09-1930</t>
  </si>
  <si>
    <t>10-1930</t>
  </si>
  <si>
    <t>11-1930</t>
  </si>
  <si>
    <t>12-1930</t>
  </si>
  <si>
    <t>01-1931</t>
  </si>
  <si>
    <t>02-1931</t>
  </si>
  <si>
    <t>03-1931</t>
  </si>
  <si>
    <t>04-1931</t>
  </si>
  <si>
    <t>05-1931</t>
  </si>
  <si>
    <t>06-1931</t>
  </si>
  <si>
    <t>07-1931</t>
  </si>
  <si>
    <t>08-1931</t>
  </si>
  <si>
    <t>09-1931</t>
  </si>
  <si>
    <t>10-1931</t>
  </si>
  <si>
    <t>11-1931</t>
  </si>
  <si>
    <t>12-1931</t>
  </si>
  <si>
    <t>01-1932</t>
  </si>
  <si>
    <t>02-1932</t>
  </si>
  <si>
    <t>03-1932</t>
  </si>
  <si>
    <t>04-1932</t>
  </si>
  <si>
    <t>05-1932</t>
  </si>
  <si>
    <t>06-1932</t>
  </si>
  <si>
    <t>07-1932</t>
  </si>
  <si>
    <t>08-1932</t>
  </si>
  <si>
    <t>09-1932</t>
  </si>
  <si>
    <t>10-1932</t>
  </si>
  <si>
    <t>11-1932</t>
  </si>
  <si>
    <t>12-1932</t>
  </si>
  <si>
    <t>01-1933</t>
  </si>
  <si>
    <t>02-1933</t>
  </si>
  <si>
    <t>03-1933</t>
  </si>
  <si>
    <t>04-1933</t>
  </si>
  <si>
    <t>05-1933</t>
  </si>
  <si>
    <t>06-1933</t>
  </si>
  <si>
    <t>07-1933</t>
  </si>
  <si>
    <t>08-1933</t>
  </si>
  <si>
    <t>09-1933</t>
  </si>
  <si>
    <t>10-1933</t>
  </si>
  <si>
    <t>11-1933</t>
  </si>
  <si>
    <t>12-1933</t>
  </si>
  <si>
    <t>01-1934</t>
  </si>
  <si>
    <t>02-1934</t>
  </si>
  <si>
    <t>03-1934</t>
  </si>
  <si>
    <t>04-1934</t>
  </si>
  <si>
    <t>05-1934</t>
  </si>
  <si>
    <t>06-1934</t>
  </si>
  <si>
    <t>07-1934</t>
  </si>
  <si>
    <t>08-1934</t>
  </si>
  <si>
    <t>09-1934</t>
  </si>
  <si>
    <t>10-1934</t>
  </si>
  <si>
    <t>11-1934</t>
  </si>
  <si>
    <t>12-1934</t>
  </si>
  <si>
    <t>01-1935</t>
  </si>
  <si>
    <t>02-1935</t>
  </si>
  <si>
    <t>03-1935</t>
  </si>
  <si>
    <t>04-1935</t>
  </si>
  <si>
    <t>05-1935</t>
  </si>
  <si>
    <t>06-1935</t>
  </si>
  <si>
    <t>07-1935</t>
  </si>
  <si>
    <t>08-1935</t>
  </si>
  <si>
    <t>09-1935</t>
  </si>
  <si>
    <t>10-1935</t>
  </si>
  <si>
    <t>11-1935</t>
  </si>
  <si>
    <t>12-1935</t>
  </si>
  <si>
    <t>01-1936</t>
  </si>
  <si>
    <t>02-1936</t>
  </si>
  <si>
    <t>03-1936</t>
  </si>
  <si>
    <t>04-1936</t>
  </si>
  <si>
    <t>05-1936</t>
  </si>
  <si>
    <t>06-1936</t>
  </si>
  <si>
    <t>07-1936</t>
  </si>
  <si>
    <t>08-1936</t>
  </si>
  <si>
    <t>09-1936</t>
  </si>
  <si>
    <t>10-1936</t>
  </si>
  <si>
    <t>11-1936</t>
  </si>
  <si>
    <t>12-1936</t>
  </si>
  <si>
    <t>01-1937</t>
  </si>
  <si>
    <t>02-1937</t>
  </si>
  <si>
    <t>03-1937</t>
  </si>
  <si>
    <t>04-1937</t>
  </si>
  <si>
    <t>05-1937</t>
  </si>
  <si>
    <t>06-1937</t>
  </si>
  <si>
    <t>07-1937</t>
  </si>
  <si>
    <t>08-1937</t>
  </si>
  <si>
    <t>09-1937</t>
  </si>
  <si>
    <t>10-1937</t>
  </si>
  <si>
    <t>11-1937</t>
  </si>
  <si>
    <t>12-1937</t>
  </si>
  <si>
    <t>01-1938</t>
  </si>
  <si>
    <t>02-1938</t>
  </si>
  <si>
    <t>03-1938</t>
  </si>
  <si>
    <t>04-1938</t>
  </si>
  <si>
    <t>05-1938</t>
  </si>
  <si>
    <t>06-1938</t>
  </si>
  <si>
    <t>07-1938</t>
  </si>
  <si>
    <t>08-1938</t>
  </si>
  <si>
    <t>09-1938</t>
  </si>
  <si>
    <t>10-1938</t>
  </si>
  <si>
    <t>11-1938</t>
  </si>
  <si>
    <t>12-1938</t>
  </si>
  <si>
    <t>01-1939</t>
  </si>
  <si>
    <t>02-1939</t>
  </si>
  <si>
    <t>03-1939</t>
  </si>
  <si>
    <t>04-1939</t>
  </si>
  <si>
    <t>05-1939</t>
  </si>
  <si>
    <t>06-1939</t>
  </si>
  <si>
    <t>07-1939</t>
  </si>
  <si>
    <t>08-1939</t>
  </si>
  <si>
    <t>09-1939</t>
  </si>
  <si>
    <t>10-1939</t>
  </si>
  <si>
    <t>11-1939</t>
  </si>
  <si>
    <t>12-1939</t>
  </si>
  <si>
    <t>01-1940</t>
  </si>
  <si>
    <t>02-1940</t>
  </si>
  <si>
    <t>03-1940</t>
  </si>
  <si>
    <t>04-1940</t>
  </si>
  <si>
    <t>05-1940</t>
  </si>
  <si>
    <t>06-1940</t>
  </si>
  <si>
    <t>07-1940</t>
  </si>
  <si>
    <t>08-1940</t>
  </si>
  <si>
    <t>09-1940</t>
  </si>
  <si>
    <t>10-1940</t>
  </si>
  <si>
    <t>11-1940</t>
  </si>
  <si>
    <t>12-1940</t>
  </si>
  <si>
    <t>01-1941</t>
  </si>
  <si>
    <t>02-1941</t>
  </si>
  <si>
    <t>03-1941</t>
  </si>
  <si>
    <t>04-1941</t>
  </si>
  <si>
    <t>05-1941</t>
  </si>
  <si>
    <t>06-1941</t>
  </si>
  <si>
    <t>07-1941</t>
  </si>
  <si>
    <t>08-1941</t>
  </si>
  <si>
    <t>09-1941</t>
  </si>
  <si>
    <t>10-1941</t>
  </si>
  <si>
    <t>11-1941</t>
  </si>
  <si>
    <t>12-1941</t>
  </si>
  <si>
    <t>01-1942</t>
  </si>
  <si>
    <t>02-1942</t>
  </si>
  <si>
    <t>03-1942</t>
  </si>
  <si>
    <t>04-1942</t>
  </si>
  <si>
    <t>05-1942</t>
  </si>
  <si>
    <t>06-1942</t>
  </si>
  <si>
    <t>07-1942</t>
  </si>
  <si>
    <t>08-1942</t>
  </si>
  <si>
    <t>09-1942</t>
  </si>
  <si>
    <t>10-1942</t>
  </si>
  <si>
    <t>11-1942</t>
  </si>
  <si>
    <t>12-1942</t>
  </si>
  <si>
    <t>01-1943</t>
  </si>
  <si>
    <t>02-1943</t>
  </si>
  <si>
    <t>03-1943</t>
  </si>
  <si>
    <t>04-1943</t>
  </si>
  <si>
    <t>05-1943</t>
  </si>
  <si>
    <t>06-1943</t>
  </si>
  <si>
    <t>07-1943</t>
  </si>
  <si>
    <t>08-1943</t>
  </si>
  <si>
    <t>09-1943</t>
  </si>
  <si>
    <t>10-1943</t>
  </si>
  <si>
    <t>11-1943</t>
  </si>
  <si>
    <t>12-1943</t>
  </si>
  <si>
    <t>01-1944</t>
  </si>
  <si>
    <t>02-1944</t>
  </si>
  <si>
    <t>03-1944</t>
  </si>
  <si>
    <t>04-1944</t>
  </si>
  <si>
    <t>05-1944</t>
  </si>
  <si>
    <t>06-1944</t>
  </si>
  <si>
    <t>07-1944</t>
  </si>
  <si>
    <t>08-1944</t>
  </si>
  <si>
    <t>09-1944</t>
  </si>
  <si>
    <t>10-1944</t>
  </si>
  <si>
    <t>11-1944</t>
  </si>
  <si>
    <t>12-1944</t>
  </si>
  <si>
    <t>01-1945</t>
  </si>
  <si>
    <t>02-1945</t>
  </si>
  <si>
    <t>03-1945</t>
  </si>
  <si>
    <t>04-1945</t>
  </si>
  <si>
    <t>05-1945</t>
  </si>
  <si>
    <t>06-1945</t>
  </si>
  <si>
    <t>07-1945</t>
  </si>
  <si>
    <t>08-1945</t>
  </si>
  <si>
    <t>09-1945</t>
  </si>
  <si>
    <t>10-1945</t>
  </si>
  <si>
    <t>11-1945</t>
  </si>
  <si>
    <t>12-1945</t>
  </si>
  <si>
    <t>01-1946</t>
  </si>
  <si>
    <t>02-1946</t>
  </si>
  <si>
    <t>03-1946</t>
  </si>
  <si>
    <t>04-1946</t>
  </si>
  <si>
    <t>05-1946</t>
  </si>
  <si>
    <t>06-1946</t>
  </si>
  <si>
    <t>07-1946</t>
  </si>
  <si>
    <t>08-1946</t>
  </si>
  <si>
    <t>09-1946</t>
  </si>
  <si>
    <t>10-1946</t>
  </si>
  <si>
    <t>11-1946</t>
  </si>
  <si>
    <t>12-1946</t>
  </si>
  <si>
    <t>01-1947</t>
  </si>
  <si>
    <t>02-1947</t>
  </si>
  <si>
    <t>03-1947</t>
  </si>
  <si>
    <t>04-1947</t>
  </si>
  <si>
    <t>05-1947</t>
  </si>
  <si>
    <t>06-1947</t>
  </si>
  <si>
    <t>07-1947</t>
  </si>
  <si>
    <t>08-1947</t>
  </si>
  <si>
    <t>09-1947</t>
  </si>
  <si>
    <t>10-1947</t>
  </si>
  <si>
    <t>11-1947</t>
  </si>
  <si>
    <t>12-1947</t>
  </si>
  <si>
    <t>01-1948</t>
  </si>
  <si>
    <t>02-1948</t>
  </si>
  <si>
    <t>03-1948</t>
  </si>
  <si>
    <t>04-1948</t>
  </si>
  <si>
    <t>05-1948</t>
  </si>
  <si>
    <t>06-1948</t>
  </si>
  <si>
    <t>07-1948</t>
  </si>
  <si>
    <t>08-1948</t>
  </si>
  <si>
    <t>09-1948</t>
  </si>
  <si>
    <t>10-1948</t>
  </si>
  <si>
    <t>11-1948</t>
  </si>
  <si>
    <t>12-1948</t>
  </si>
  <si>
    <t>01-1949</t>
  </si>
  <si>
    <t>02-1949</t>
  </si>
  <si>
    <t>03-1949</t>
  </si>
  <si>
    <t>04-1949</t>
  </si>
  <si>
    <t>05-1949</t>
  </si>
  <si>
    <t>06-1949</t>
  </si>
  <si>
    <t>07-1949</t>
  </si>
  <si>
    <t>08-1949</t>
  </si>
  <si>
    <t>09-1949</t>
  </si>
  <si>
    <t>10-1949</t>
  </si>
  <si>
    <t>11-1949</t>
  </si>
  <si>
    <t>12-1949</t>
  </si>
  <si>
    <t>01-1950</t>
  </si>
  <si>
    <t>02-1950</t>
  </si>
  <si>
    <t>03-1950</t>
  </si>
  <si>
    <t>04-1950</t>
  </si>
  <si>
    <t>05-1950</t>
  </si>
  <si>
    <t>06-1950</t>
  </si>
  <si>
    <t>07-1950</t>
  </si>
  <si>
    <t>08-1950</t>
  </si>
  <si>
    <t>09-1950</t>
  </si>
  <si>
    <t>10-1950</t>
  </si>
  <si>
    <t>11-1950</t>
  </si>
  <si>
    <t>12-1950</t>
  </si>
  <si>
    <t>01-1951</t>
  </si>
  <si>
    <t>02-1951</t>
  </si>
  <si>
    <t>03-1951</t>
  </si>
  <si>
    <t>04-1951</t>
  </si>
  <si>
    <t>05-1951</t>
  </si>
  <si>
    <t>06-1951</t>
  </si>
  <si>
    <t>07-1951</t>
  </si>
  <si>
    <t>08-1951</t>
  </si>
  <si>
    <t>09-1951</t>
  </si>
  <si>
    <t>10-1951</t>
  </si>
  <si>
    <t>11-1951</t>
  </si>
  <si>
    <t>12-1951</t>
  </si>
  <si>
    <t>01-1952</t>
  </si>
  <si>
    <t>02-1952</t>
  </si>
  <si>
    <t>03-1952</t>
  </si>
  <si>
    <t>04-1952</t>
  </si>
  <si>
    <t>05-1952</t>
  </si>
  <si>
    <t>06-1952</t>
  </si>
  <si>
    <t>07-1952</t>
  </si>
  <si>
    <t>08-1952</t>
  </si>
  <si>
    <t>09-1952</t>
  </si>
  <si>
    <t>10-1952</t>
  </si>
  <si>
    <t>11-1952</t>
  </si>
  <si>
    <t>12-1952</t>
  </si>
  <si>
    <t>01-1953</t>
  </si>
  <si>
    <t>02-1953</t>
  </si>
  <si>
    <t>03-1953</t>
  </si>
  <si>
    <t>04-1953</t>
  </si>
  <si>
    <t>05-1953</t>
  </si>
  <si>
    <t>06-1953</t>
  </si>
  <si>
    <t>07-1953</t>
  </si>
  <si>
    <t>08-1953</t>
  </si>
  <si>
    <t>09-1953</t>
  </si>
  <si>
    <t>10-1953</t>
  </si>
  <si>
    <t>11-1953</t>
  </si>
  <si>
    <t>12-1953</t>
  </si>
  <si>
    <t>01-1954</t>
  </si>
  <si>
    <t>02-1954</t>
  </si>
  <si>
    <t>03-1954</t>
  </si>
  <si>
    <t>04-1954</t>
  </si>
  <si>
    <t>05-1954</t>
  </si>
  <si>
    <t>06-1954</t>
  </si>
  <si>
    <t>07-1954</t>
  </si>
  <si>
    <t>08-1954</t>
  </si>
  <si>
    <t>09-1954</t>
  </si>
  <si>
    <t>10-1954</t>
  </si>
  <si>
    <t>11-1954</t>
  </si>
  <si>
    <t>12-1954</t>
  </si>
  <si>
    <t>01-1955</t>
  </si>
  <si>
    <t>02-1955</t>
  </si>
  <si>
    <t>03-1955</t>
  </si>
  <si>
    <t>04-1955</t>
  </si>
  <si>
    <t>05-1955</t>
  </si>
  <si>
    <t>06-1955</t>
  </si>
  <si>
    <t>07-1955</t>
  </si>
  <si>
    <t>08-1955</t>
  </si>
  <si>
    <t>09-1955</t>
  </si>
  <si>
    <t>10-1955</t>
  </si>
  <si>
    <t>11-1955</t>
  </si>
  <si>
    <t>12-1955</t>
  </si>
  <si>
    <t>01-1956</t>
  </si>
  <si>
    <t>02-1956</t>
  </si>
  <si>
    <t>03-1956</t>
  </si>
  <si>
    <t>04-1956</t>
  </si>
  <si>
    <t>05-1956</t>
  </si>
  <si>
    <t>06-1956</t>
  </si>
  <si>
    <t>07-1956</t>
  </si>
  <si>
    <t>08-1956</t>
  </si>
  <si>
    <t>09-1956</t>
  </si>
  <si>
    <t>10-1956</t>
  </si>
  <si>
    <t>11-1956</t>
  </si>
  <si>
    <t>12-1956</t>
  </si>
  <si>
    <t>01-1957</t>
  </si>
  <si>
    <t>02-1957</t>
  </si>
  <si>
    <t>03-1957</t>
  </si>
  <si>
    <t>04-1957</t>
  </si>
  <si>
    <t>05-1957</t>
  </si>
  <si>
    <t>06-1957</t>
  </si>
  <si>
    <t>07-1957</t>
  </si>
  <si>
    <t>08-1957</t>
  </si>
  <si>
    <t>09-1957</t>
  </si>
  <si>
    <t>10-1957</t>
  </si>
  <si>
    <t>11-1957</t>
  </si>
  <si>
    <t>12-1957</t>
  </si>
  <si>
    <t>01-1958</t>
  </si>
  <si>
    <t>02-1958</t>
  </si>
  <si>
    <t>03-1958</t>
  </si>
  <si>
    <t>04-1958</t>
  </si>
  <si>
    <t>05-1958</t>
  </si>
  <si>
    <t>06-1958</t>
  </si>
  <si>
    <t>07-1958</t>
  </si>
  <si>
    <t>08-1958</t>
  </si>
  <si>
    <t>09-1958</t>
  </si>
  <si>
    <t>10-1958</t>
  </si>
  <si>
    <t>11-1958</t>
  </si>
  <si>
    <t>12-1958</t>
  </si>
  <si>
    <t>01-1959</t>
  </si>
  <si>
    <t>02-1959</t>
  </si>
  <si>
    <t>03-1959</t>
  </si>
  <si>
    <t>04-1959</t>
  </si>
  <si>
    <t>05-1959</t>
  </si>
  <si>
    <t>06-1959</t>
  </si>
  <si>
    <t>07-1959</t>
  </si>
  <si>
    <t>08-1959</t>
  </si>
  <si>
    <t>09-1959</t>
  </si>
  <si>
    <t>10-1959</t>
  </si>
  <si>
    <t>11-1959</t>
  </si>
  <si>
    <t>12-1959</t>
  </si>
  <si>
    <t>01-1960</t>
  </si>
  <si>
    <t>02-1960</t>
  </si>
  <si>
    <t>03-1960</t>
  </si>
  <si>
    <t>04-1960</t>
  </si>
  <si>
    <t>05-1960</t>
  </si>
  <si>
    <t>06-1960</t>
  </si>
  <si>
    <t>07-1960</t>
  </si>
  <si>
    <t>08-1960</t>
  </si>
  <si>
    <t>09-1960</t>
  </si>
  <si>
    <t>10-1960</t>
  </si>
  <si>
    <t>11-1960</t>
  </si>
  <si>
    <t>12-1960</t>
  </si>
  <si>
    <t>01-1961</t>
  </si>
  <si>
    <t>02-1961</t>
  </si>
  <si>
    <t>03-1961</t>
  </si>
  <si>
    <t>04-1961</t>
  </si>
  <si>
    <t>05-1961</t>
  </si>
  <si>
    <t>06-1961</t>
  </si>
  <si>
    <t>07-1961</t>
  </si>
  <si>
    <t>08-1961</t>
  </si>
  <si>
    <t>09-1961</t>
  </si>
  <si>
    <t>10-1961</t>
  </si>
  <si>
    <t>11-1961</t>
  </si>
  <si>
    <t>12-1961</t>
  </si>
  <si>
    <t>01-1962</t>
  </si>
  <si>
    <t>02-1962</t>
  </si>
  <si>
    <t>03-1962</t>
  </si>
  <si>
    <t>04-1962</t>
  </si>
  <si>
    <t>05-1962</t>
  </si>
  <si>
    <t>06-1962</t>
  </si>
  <si>
    <t>07-1962</t>
  </si>
  <si>
    <t>08-1962</t>
  </si>
  <si>
    <t>09-1962</t>
  </si>
  <si>
    <t>10-1962</t>
  </si>
  <si>
    <t>11-1962</t>
  </si>
  <si>
    <t>12-1962</t>
  </si>
  <si>
    <t>01-1963</t>
  </si>
  <si>
    <t>02-1963</t>
  </si>
  <si>
    <t>03-1963</t>
  </si>
  <si>
    <t>04-1963</t>
  </si>
  <si>
    <t>05-1963</t>
  </si>
  <si>
    <t>06-1963</t>
  </si>
  <si>
    <t>07-1963</t>
  </si>
  <si>
    <t>08-1963</t>
  </si>
  <si>
    <t>09-1963</t>
  </si>
  <si>
    <t>10-1963</t>
  </si>
  <si>
    <t>11-1963</t>
  </si>
  <si>
    <t>12-1963</t>
  </si>
  <si>
    <t>01-1964</t>
  </si>
  <si>
    <t>02-1964</t>
  </si>
  <si>
    <t>03-1964</t>
  </si>
  <si>
    <t>04-1964</t>
  </si>
  <si>
    <t>05-1964</t>
  </si>
  <si>
    <t>06-1964</t>
  </si>
  <si>
    <t>07-1964</t>
  </si>
  <si>
    <t>08-1964</t>
  </si>
  <si>
    <t>09-1964</t>
  </si>
  <si>
    <t>10-1964</t>
  </si>
  <si>
    <t>11-1964</t>
  </si>
  <si>
    <t>12-1964</t>
  </si>
  <si>
    <t>01-1965</t>
  </si>
  <si>
    <t>02-1965</t>
  </si>
  <si>
    <t>03-1965</t>
  </si>
  <si>
    <t>04-1965</t>
  </si>
  <si>
    <t>05-1965</t>
  </si>
  <si>
    <t>06-1965</t>
  </si>
  <si>
    <t>07-1965</t>
  </si>
  <si>
    <t>08-1965</t>
  </si>
  <si>
    <t>09-1965</t>
  </si>
  <si>
    <t>10-1965</t>
  </si>
  <si>
    <t>11-1965</t>
  </si>
  <si>
    <t>12-1965</t>
  </si>
  <si>
    <t>01-1966</t>
  </si>
  <si>
    <t>02-1966</t>
  </si>
  <si>
    <t>03-1966</t>
  </si>
  <si>
    <t>04-1966</t>
  </si>
  <si>
    <t>05-1966</t>
  </si>
  <si>
    <t>06-1966</t>
  </si>
  <si>
    <t>07-1966</t>
  </si>
  <si>
    <t>08-1966</t>
  </si>
  <si>
    <t>09-1966</t>
  </si>
  <si>
    <t>10-1966</t>
  </si>
  <si>
    <t>11-1966</t>
  </si>
  <si>
    <t>12-1966</t>
  </si>
  <si>
    <t>01-1967</t>
  </si>
  <si>
    <t>02-1967</t>
  </si>
  <si>
    <t>03-1967</t>
  </si>
  <si>
    <t>04-1967</t>
  </si>
  <si>
    <t>05-1967</t>
  </si>
  <si>
    <t>06-1967</t>
  </si>
  <si>
    <t>07-1967</t>
  </si>
  <si>
    <t>08-1967</t>
  </si>
  <si>
    <t>09-1967</t>
  </si>
  <si>
    <t>10-1967</t>
  </si>
  <si>
    <t>11-1967</t>
  </si>
  <si>
    <t>12-1967</t>
  </si>
  <si>
    <t>01-1968</t>
  </si>
  <si>
    <t>02-1968</t>
  </si>
  <si>
    <t>03-1968</t>
  </si>
  <si>
    <t>04-1968</t>
  </si>
  <si>
    <t>05-1968</t>
  </si>
  <si>
    <t>06-1968</t>
  </si>
  <si>
    <t>07-1968</t>
  </si>
  <si>
    <t>08-1968</t>
  </si>
  <si>
    <t>09-1968</t>
  </si>
  <si>
    <t>10-1968</t>
  </si>
  <si>
    <t>11-1968</t>
  </si>
  <si>
    <t>12-1968</t>
  </si>
  <si>
    <t>01-1969</t>
  </si>
  <si>
    <t>02-1969</t>
  </si>
  <si>
    <t>03-1969</t>
  </si>
  <si>
    <t>04-1969</t>
  </si>
  <si>
    <t>05-1969</t>
  </si>
  <si>
    <t>06-1969</t>
  </si>
  <si>
    <t>07-1969</t>
  </si>
  <si>
    <t>08-1969</t>
  </si>
  <si>
    <t>09-1969</t>
  </si>
  <si>
    <t>10-1969</t>
  </si>
  <si>
    <t>11-1969</t>
  </si>
  <si>
    <t>12-1969</t>
  </si>
  <si>
    <t>01-1970</t>
  </si>
  <si>
    <t>02-1970</t>
  </si>
  <si>
    <t>03-1970</t>
  </si>
  <si>
    <t>04-1970</t>
  </si>
  <si>
    <t>05-1970</t>
  </si>
  <si>
    <t>06-1970</t>
  </si>
  <si>
    <t>07-1970</t>
  </si>
  <si>
    <t>08-1970</t>
  </si>
  <si>
    <t>09-1970</t>
  </si>
  <si>
    <t>10-1970</t>
  </si>
  <si>
    <t>11-1970</t>
  </si>
  <si>
    <t>12-1970</t>
  </si>
  <si>
    <t>01-1971</t>
  </si>
  <si>
    <t>02-1971</t>
  </si>
  <si>
    <t>03-1971</t>
  </si>
  <si>
    <t>04-1971</t>
  </si>
  <si>
    <t>05-1971</t>
  </si>
  <si>
    <t>06-1971</t>
  </si>
  <si>
    <t>07-1971</t>
  </si>
  <si>
    <t>08-1971</t>
  </si>
  <si>
    <t>09-1971</t>
  </si>
  <si>
    <t>10-1971</t>
  </si>
  <si>
    <t>11-1971</t>
  </si>
  <si>
    <t>12-1971</t>
  </si>
  <si>
    <t>01-1972</t>
  </si>
  <si>
    <t>02-1972</t>
  </si>
  <si>
    <t>03-1972</t>
  </si>
  <si>
    <t>04-1972</t>
  </si>
  <si>
    <t>05-1972</t>
  </si>
  <si>
    <t>06-1972</t>
  </si>
  <si>
    <t>07-1972</t>
  </si>
  <si>
    <t>08-1972</t>
  </si>
  <si>
    <t>09-1972</t>
  </si>
  <si>
    <t>10-1972</t>
  </si>
  <si>
    <t>11-1972</t>
  </si>
  <si>
    <t>12-1972</t>
  </si>
  <si>
    <t>01-1973</t>
  </si>
  <si>
    <t>02-1973</t>
  </si>
  <si>
    <t>03-1973</t>
  </si>
  <si>
    <t>04-1973</t>
  </si>
  <si>
    <t>05-1973</t>
  </si>
  <si>
    <t>06-1973</t>
  </si>
  <si>
    <t>07-1973</t>
  </si>
  <si>
    <t>08-1973</t>
  </si>
  <si>
    <t>09-1973</t>
  </si>
  <si>
    <t>10-1973</t>
  </si>
  <si>
    <t>11-1973</t>
  </si>
  <si>
    <t>12-1973</t>
  </si>
  <si>
    <t>01-1974</t>
  </si>
  <si>
    <t>02-1974</t>
  </si>
  <si>
    <t>03-1974</t>
  </si>
  <si>
    <t>04-1974</t>
  </si>
  <si>
    <t>05-1974</t>
  </si>
  <si>
    <t>06-1974</t>
  </si>
  <si>
    <t>07-1974</t>
  </si>
  <si>
    <t>08-1974</t>
  </si>
  <si>
    <t>09-1974</t>
  </si>
  <si>
    <t>10-1974</t>
  </si>
  <si>
    <t>11-1974</t>
  </si>
  <si>
    <t>12-1974</t>
  </si>
  <si>
    <t>01-1975</t>
  </si>
  <si>
    <t>02-1975</t>
  </si>
  <si>
    <t>03-1975</t>
  </si>
  <si>
    <t>04-1975</t>
  </si>
  <si>
    <t>05-1975</t>
  </si>
  <si>
    <t>06-1975</t>
  </si>
  <si>
    <t>07-1975</t>
  </si>
  <si>
    <t>08-1975</t>
  </si>
  <si>
    <t>09-1975</t>
  </si>
  <si>
    <t>10-1975</t>
  </si>
  <si>
    <t>11-1975</t>
  </si>
  <si>
    <t>12-1975</t>
  </si>
  <si>
    <t>01-1976</t>
  </si>
  <si>
    <t>02-1976</t>
  </si>
  <si>
    <t>03-1976</t>
  </si>
  <si>
    <t>04-1976</t>
  </si>
  <si>
    <t>05-1976</t>
  </si>
  <si>
    <t>06-1976</t>
  </si>
  <si>
    <t>07-1976</t>
  </si>
  <si>
    <t>08-1976</t>
  </si>
  <si>
    <t>09-1976</t>
  </si>
  <si>
    <t>10-1976</t>
  </si>
  <si>
    <t>11-1976</t>
  </si>
  <si>
    <t>12-1976</t>
  </si>
  <si>
    <t>01-1977</t>
  </si>
  <si>
    <t>02-1977</t>
  </si>
  <si>
    <t>03-1977</t>
  </si>
  <si>
    <t>04-1977</t>
  </si>
  <si>
    <t>05-1977</t>
  </si>
  <si>
    <t>06-1977</t>
  </si>
  <si>
    <t>07-1977</t>
  </si>
  <si>
    <t>08-1977</t>
  </si>
  <si>
    <t>09-1977</t>
  </si>
  <si>
    <t>10-1977</t>
  </si>
  <si>
    <t>11-1977</t>
  </si>
  <si>
    <t>12-1977</t>
  </si>
  <si>
    <t>01-1978</t>
  </si>
  <si>
    <t>02-1978</t>
  </si>
  <si>
    <t>03-1978</t>
  </si>
  <si>
    <t>04-1978</t>
  </si>
  <si>
    <t>05-1978</t>
  </si>
  <si>
    <t>06-1978</t>
  </si>
  <si>
    <t>07-1978</t>
  </si>
  <si>
    <t>08-1978</t>
  </si>
  <si>
    <t>09-1978</t>
  </si>
  <si>
    <t>10-1978</t>
  </si>
  <si>
    <t>11-1978</t>
  </si>
  <si>
    <t>12-1978</t>
  </si>
  <si>
    <t>01-1979</t>
  </si>
  <si>
    <t>02-1979</t>
  </si>
  <si>
    <t>03-1979</t>
  </si>
  <si>
    <t>04-1979</t>
  </si>
  <si>
    <t>05-1979</t>
  </si>
  <si>
    <t>06-1979</t>
  </si>
  <si>
    <t>07-1979</t>
  </si>
  <si>
    <t>08-1979</t>
  </si>
  <si>
    <t>09-1979</t>
  </si>
  <si>
    <t>10-1979</t>
  </si>
  <si>
    <t>11-1979</t>
  </si>
  <si>
    <t>12-1979</t>
  </si>
  <si>
    <t>01-1980</t>
  </si>
  <si>
    <t>02-1980</t>
  </si>
  <si>
    <t>03-1980</t>
  </si>
  <si>
    <t>04-1980</t>
  </si>
  <si>
    <t>05-1980</t>
  </si>
  <si>
    <t>06-1980</t>
  </si>
  <si>
    <t>07-1980</t>
  </si>
  <si>
    <t>08-1980</t>
  </si>
  <si>
    <t>09-1980</t>
  </si>
  <si>
    <t>10-1980</t>
  </si>
  <si>
    <t>11-1980</t>
  </si>
  <si>
    <t>12-1980</t>
  </si>
  <si>
    <t>01-1981</t>
  </si>
  <si>
    <t>02-1981</t>
  </si>
  <si>
    <t>03-1981</t>
  </si>
  <si>
    <t>04-1981</t>
  </si>
  <si>
    <t>05-1981</t>
  </si>
  <si>
    <t>06-1981</t>
  </si>
  <si>
    <t>07-1981</t>
  </si>
  <si>
    <t>08-1981</t>
  </si>
  <si>
    <t>09-1981</t>
  </si>
  <si>
    <t>10-1981</t>
  </si>
  <si>
    <t>11-1981</t>
  </si>
  <si>
    <t>12-1981</t>
  </si>
  <si>
    <t>01-1982</t>
  </si>
  <si>
    <t>02-1982</t>
  </si>
  <si>
    <t>03-1982</t>
  </si>
  <si>
    <t>04-1982</t>
  </si>
  <si>
    <t>05-1982</t>
  </si>
  <si>
    <t>06-1982</t>
  </si>
  <si>
    <t>07-1982</t>
  </si>
  <si>
    <t>08-1982</t>
  </si>
  <si>
    <t>09-1982</t>
  </si>
  <si>
    <t>10-1982</t>
  </si>
  <si>
    <t>11-1982</t>
  </si>
  <si>
    <t>12-1982</t>
  </si>
  <si>
    <t>01-1983</t>
  </si>
  <si>
    <t>02-1983</t>
  </si>
  <si>
    <t>03-1983</t>
  </si>
  <si>
    <t>04-1983</t>
  </si>
  <si>
    <t>05-1983</t>
  </si>
  <si>
    <t>06-1983</t>
  </si>
  <si>
    <t>07-1983</t>
  </si>
  <si>
    <t>08-1983</t>
  </si>
  <si>
    <t>09-1983</t>
  </si>
  <si>
    <t>10-1983</t>
  </si>
  <si>
    <t>11-1983</t>
  </si>
  <si>
    <t>12-1983</t>
  </si>
  <si>
    <t>01-1984</t>
  </si>
  <si>
    <t>02-1984</t>
  </si>
  <si>
    <t>03-1984</t>
  </si>
  <si>
    <t>04-1984</t>
  </si>
  <si>
    <t>05-1984</t>
  </si>
  <si>
    <t>06-1984</t>
  </si>
  <si>
    <t>07-1984</t>
  </si>
  <si>
    <t>08-1984</t>
  </si>
  <si>
    <t>09-1984</t>
  </si>
  <si>
    <t>10-1984</t>
  </si>
  <si>
    <t>11-1984</t>
  </si>
  <si>
    <t>12-1984</t>
  </si>
  <si>
    <t>01-1985</t>
  </si>
  <si>
    <t>02-1985</t>
  </si>
  <si>
    <t>03-1985</t>
  </si>
  <si>
    <t>04-1985</t>
  </si>
  <si>
    <t>05-1985</t>
  </si>
  <si>
    <t>06-1985</t>
  </si>
  <si>
    <t>07-1985</t>
  </si>
  <si>
    <t>08-1985</t>
  </si>
  <si>
    <t>09-1985</t>
  </si>
  <si>
    <t>10-1985</t>
  </si>
  <si>
    <t>11-1985</t>
  </si>
  <si>
    <t>12-1985</t>
  </si>
  <si>
    <t>01-1986</t>
  </si>
  <si>
    <t>02-1986</t>
  </si>
  <si>
    <t>03-1986</t>
  </si>
  <si>
    <t>04-1986</t>
  </si>
  <si>
    <t>05-1986</t>
  </si>
  <si>
    <t>06-1986</t>
  </si>
  <si>
    <t>07-1986</t>
  </si>
  <si>
    <t>08-1986</t>
  </si>
  <si>
    <t>09-1986</t>
  </si>
  <si>
    <t>10-1986</t>
  </si>
  <si>
    <t>11-1986</t>
  </si>
  <si>
    <t>12-1986</t>
  </si>
  <si>
    <t>01-1987</t>
  </si>
  <si>
    <t>02-1987</t>
  </si>
  <si>
    <t>03-1987</t>
  </si>
  <si>
    <t>04-1987</t>
  </si>
  <si>
    <t>05-1987</t>
  </si>
  <si>
    <t>06-1987</t>
  </si>
  <si>
    <t>07-1987</t>
  </si>
  <si>
    <t>08-1987</t>
  </si>
  <si>
    <t>09-1987</t>
  </si>
  <si>
    <t>10-1987</t>
  </si>
  <si>
    <t>11-1987</t>
  </si>
  <si>
    <t>12-1987</t>
  </si>
  <si>
    <t>01-1988</t>
  </si>
  <si>
    <t>02-1988</t>
  </si>
  <si>
    <t>03-1988</t>
  </si>
  <si>
    <t>04-1988</t>
  </si>
  <si>
    <t>05-1988</t>
  </si>
  <si>
    <t>06-1988</t>
  </si>
  <si>
    <t>07-1988</t>
  </si>
  <si>
    <t>08-1988</t>
  </si>
  <si>
    <t>09-1988</t>
  </si>
  <si>
    <t>10-1988</t>
  </si>
  <si>
    <t>11-1988</t>
  </si>
  <si>
    <t>12-1988</t>
  </si>
  <si>
    <t>01-1989</t>
  </si>
  <si>
    <t>02-1989</t>
  </si>
  <si>
    <t>03-1989</t>
  </si>
  <si>
    <t>04-1989</t>
  </si>
  <si>
    <t>05-1989</t>
  </si>
  <si>
    <t>06-1989</t>
  </si>
  <si>
    <t>07-1989</t>
  </si>
  <si>
    <t>08-1989</t>
  </si>
  <si>
    <t>09-1989</t>
  </si>
  <si>
    <t>10-1989</t>
  </si>
  <si>
    <t>11-1989</t>
  </si>
  <si>
    <t>12-1989</t>
  </si>
  <si>
    <t>01-1990</t>
  </si>
  <si>
    <t>02-1990</t>
  </si>
  <si>
    <t>03-1990</t>
  </si>
  <si>
    <t>04-1990</t>
  </si>
  <si>
    <t>05-1990</t>
  </si>
  <si>
    <t>06-1990</t>
  </si>
  <si>
    <t>07-1990</t>
  </si>
  <si>
    <t>08-1990</t>
  </si>
  <si>
    <t>09-1990</t>
  </si>
  <si>
    <t>10-1990</t>
  </si>
  <si>
    <t>11-1990</t>
  </si>
  <si>
    <t>12-1990</t>
  </si>
  <si>
    <t>01-1991</t>
  </si>
  <si>
    <t>02-1991</t>
  </si>
  <si>
    <t>03-1991</t>
  </si>
  <si>
    <t>04-1991</t>
  </si>
  <si>
    <t>05-1991</t>
  </si>
  <si>
    <t>06-1991</t>
  </si>
  <si>
    <t>07-1991</t>
  </si>
  <si>
    <t>08-1991</t>
  </si>
  <si>
    <t>09-1991</t>
  </si>
  <si>
    <t>10-1991</t>
  </si>
  <si>
    <t>11-1991</t>
  </si>
  <si>
    <t>12-1991</t>
  </si>
  <si>
    <t>01-1992</t>
  </si>
  <si>
    <t>02-1992</t>
  </si>
  <si>
    <t>03-1992</t>
  </si>
  <si>
    <t>04-1992</t>
  </si>
  <si>
    <t>05-1992</t>
  </si>
  <si>
    <t>06-1992</t>
  </si>
  <si>
    <t>07-1992</t>
  </si>
  <si>
    <t>08-1992</t>
  </si>
  <si>
    <t>09-1992</t>
  </si>
  <si>
    <t>10-1992</t>
  </si>
  <si>
    <t>11-1992</t>
  </si>
  <si>
    <t>12-1992</t>
  </si>
  <si>
    <t>01-1993</t>
  </si>
  <si>
    <t>02-1993</t>
  </si>
  <si>
    <t>03-1993</t>
  </si>
  <si>
    <t>04-1993</t>
  </si>
  <si>
    <t>05-1993</t>
  </si>
  <si>
    <t>06-1993</t>
  </si>
  <si>
    <t>07-1993</t>
  </si>
  <si>
    <t>08-1993</t>
  </si>
  <si>
    <t>09-1993</t>
  </si>
  <si>
    <t>10-1993</t>
  </si>
  <si>
    <t>11-1993</t>
  </si>
  <si>
    <t>12-1993</t>
  </si>
  <si>
    <t>01-1994</t>
  </si>
  <si>
    <t>02-1994</t>
  </si>
  <si>
    <t>03-1994</t>
  </si>
  <si>
    <t>04-1994</t>
  </si>
  <si>
    <t>05-1994</t>
  </si>
  <si>
    <t>06-1994</t>
  </si>
  <si>
    <t>07-1994</t>
  </si>
  <si>
    <t>08-1994</t>
  </si>
  <si>
    <t>09-1994</t>
  </si>
  <si>
    <t>10-1994</t>
  </si>
  <si>
    <t>11-1994</t>
  </si>
  <si>
    <t>12-1994</t>
  </si>
  <si>
    <t>01-1995</t>
  </si>
  <si>
    <t>02-1995</t>
  </si>
  <si>
    <t>03-1995</t>
  </si>
  <si>
    <t>04-1995</t>
  </si>
  <si>
    <t>05-1995</t>
  </si>
  <si>
    <t>06-1995</t>
  </si>
  <si>
    <t>07-1995</t>
  </si>
  <si>
    <t>08-1995</t>
  </si>
  <si>
    <t>09-1995</t>
  </si>
  <si>
    <t>10-1995</t>
  </si>
  <si>
    <t>11-1995</t>
  </si>
  <si>
    <t>12-1995</t>
  </si>
  <si>
    <t>01-1996</t>
  </si>
  <si>
    <t>02-1996</t>
  </si>
  <si>
    <t>03-1996</t>
  </si>
  <si>
    <t>04-1996</t>
  </si>
  <si>
    <t>05-1996</t>
  </si>
  <si>
    <t>06-1996</t>
  </si>
  <si>
    <t>07-1996</t>
  </si>
  <si>
    <t>08-1996</t>
  </si>
  <si>
    <t>09-1996</t>
  </si>
  <si>
    <t>10-1996</t>
  </si>
  <si>
    <t>11-1996</t>
  </si>
  <si>
    <t>12-1996</t>
  </si>
  <si>
    <t>01-1997</t>
  </si>
  <si>
    <t>02-1997</t>
  </si>
  <si>
    <t>03-1997</t>
  </si>
  <si>
    <t>04-1997</t>
  </si>
  <si>
    <t>05-1997</t>
  </si>
  <si>
    <t>06-1997</t>
  </si>
  <si>
    <t>07-1997</t>
  </si>
  <si>
    <t>08-1997</t>
  </si>
  <si>
    <t>09-1997</t>
  </si>
  <si>
    <t>10-1997</t>
  </si>
  <si>
    <t>11-1997</t>
  </si>
  <si>
    <t>12-1997</t>
  </si>
  <si>
    <t>01-1998</t>
  </si>
  <si>
    <t>02-1998</t>
  </si>
  <si>
    <t>03-1998</t>
  </si>
  <si>
    <t>04-1998</t>
  </si>
  <si>
    <t>05-1998</t>
  </si>
  <si>
    <t>06-1998</t>
  </si>
  <si>
    <t>07-1998</t>
  </si>
  <si>
    <t>08-1998</t>
  </si>
  <si>
    <t>09-1998</t>
  </si>
  <si>
    <t>10-1998</t>
  </si>
  <si>
    <t>11-1998</t>
  </si>
  <si>
    <t>12-1998</t>
  </si>
  <si>
    <t>01-1999</t>
  </si>
  <si>
    <t>02-1999</t>
  </si>
  <si>
    <t>03-1999</t>
  </si>
  <si>
    <t>04-1999</t>
  </si>
  <si>
    <t>05-1999</t>
  </si>
  <si>
    <t>06-1999</t>
  </si>
  <si>
    <t>07-1999</t>
  </si>
  <si>
    <t>08-1999</t>
  </si>
  <si>
    <t>09-1999</t>
  </si>
  <si>
    <t>10-1999</t>
  </si>
  <si>
    <t>11-1999</t>
  </si>
  <si>
    <t>12-1999</t>
  </si>
  <si>
    <t>01-2000</t>
  </si>
  <si>
    <t>02-2000</t>
  </si>
  <si>
    <t>03-2000</t>
  </si>
  <si>
    <t>04-2000</t>
  </si>
  <si>
    <t>05-2000</t>
  </si>
  <si>
    <t>06-2000</t>
  </si>
  <si>
    <t>07-2000</t>
  </si>
  <si>
    <t>08-2000</t>
  </si>
  <si>
    <t>09-2000</t>
  </si>
  <si>
    <t>10-2000</t>
  </si>
  <si>
    <t>11-2000</t>
  </si>
  <si>
    <t>12-2000</t>
  </si>
  <si>
    <t>01-2001</t>
  </si>
  <si>
    <t>02-2001</t>
  </si>
  <si>
    <t>03-2001</t>
  </si>
  <si>
    <t>04-2001</t>
  </si>
  <si>
    <t>05-2001</t>
  </si>
  <si>
    <t>06-2001</t>
  </si>
  <si>
    <t>07-2001</t>
  </si>
  <si>
    <t>08-2001</t>
  </si>
  <si>
    <t>09-2001</t>
  </si>
  <si>
    <t>10-2001</t>
  </si>
  <si>
    <t>11-2001</t>
  </si>
  <si>
    <t>12-2001</t>
  </si>
  <si>
    <t>01-2002</t>
  </si>
  <si>
    <t>02-2002</t>
  </si>
  <si>
    <t>03-2002</t>
  </si>
  <si>
    <t>04-2002</t>
  </si>
  <si>
    <t>05-2002</t>
  </si>
  <si>
    <t>06-2002</t>
  </si>
  <si>
    <t>07-2002</t>
  </si>
  <si>
    <t>08-2002</t>
  </si>
  <si>
    <t>09-2002</t>
  </si>
  <si>
    <t>10-2002</t>
  </si>
  <si>
    <t>11-2002</t>
  </si>
  <si>
    <t>12-2002</t>
  </si>
  <si>
    <t>01-2003</t>
  </si>
  <si>
    <t>02-2003</t>
  </si>
  <si>
    <t>03-2003</t>
  </si>
  <si>
    <t>04-2003</t>
  </si>
  <si>
    <t>05-2003</t>
  </si>
  <si>
    <t>06-2003</t>
  </si>
  <si>
    <t>07-2003</t>
  </si>
  <si>
    <t>08-2003</t>
  </si>
  <si>
    <t>09-2003</t>
  </si>
  <si>
    <t>10-2003</t>
  </si>
  <si>
    <t>11-2003</t>
  </si>
  <si>
    <t>12-2003</t>
  </si>
  <si>
    <t>01-2004</t>
  </si>
  <si>
    <t>02-2004</t>
  </si>
  <si>
    <t>03-2004</t>
  </si>
  <si>
    <t>04-2004</t>
  </si>
  <si>
    <t>05-2004</t>
  </si>
  <si>
    <t>06-2004</t>
  </si>
  <si>
    <t>07-2004</t>
  </si>
  <si>
    <t>08-2004</t>
  </si>
  <si>
    <t>09-2004</t>
  </si>
  <si>
    <t>10-2004</t>
  </si>
  <si>
    <t>11-2004</t>
  </si>
  <si>
    <t>12-2004</t>
  </si>
  <si>
    <t>01-2005</t>
  </si>
  <si>
    <t>02-2005</t>
  </si>
  <si>
    <t>03-2005</t>
  </si>
  <si>
    <t>04-2005</t>
  </si>
  <si>
    <t>05-2005</t>
  </si>
  <si>
    <t>06-2005</t>
  </si>
  <si>
    <t>07-2005</t>
  </si>
  <si>
    <t>08-2005</t>
  </si>
  <si>
    <t>09-2005</t>
  </si>
  <si>
    <t>10-2005</t>
  </si>
  <si>
    <t>11-2005</t>
  </si>
  <si>
    <t>12-2005</t>
  </si>
  <si>
    <t>01-2006</t>
  </si>
  <si>
    <t>02-2006</t>
  </si>
  <si>
    <t>03-2006</t>
  </si>
  <si>
    <t>04-2006</t>
  </si>
  <si>
    <t>05-2006</t>
  </si>
  <si>
    <t>06-2006</t>
  </si>
  <si>
    <t>07-2006</t>
  </si>
  <si>
    <t>08-2006</t>
  </si>
  <si>
    <t>09-2006</t>
  </si>
  <si>
    <t>10-2006</t>
  </si>
  <si>
    <t>11-2006</t>
  </si>
  <si>
    <t>12-2006</t>
  </si>
  <si>
    <t>01-2007</t>
  </si>
  <si>
    <t>02-2007</t>
  </si>
  <si>
    <t>03-2007</t>
  </si>
  <si>
    <t>04-2007</t>
  </si>
  <si>
    <t>05-2007</t>
  </si>
  <si>
    <t>06-2007</t>
  </si>
  <si>
    <t>07-2007</t>
  </si>
  <si>
    <t>08-2007</t>
  </si>
  <si>
    <t>09-2007</t>
  </si>
  <si>
    <t>10-2007</t>
  </si>
  <si>
    <t>11-2007</t>
  </si>
  <si>
    <t>12-2007</t>
  </si>
  <si>
    <t>01-2008</t>
  </si>
  <si>
    <t>02-2008</t>
  </si>
  <si>
    <t>03-2008</t>
  </si>
  <si>
    <t>04-2008</t>
  </si>
  <si>
    <t>05-2008</t>
  </si>
  <si>
    <t>06-2008</t>
  </si>
  <si>
    <t>07-2008</t>
  </si>
  <si>
    <t>08-2008</t>
  </si>
  <si>
    <t>09-2008</t>
  </si>
  <si>
    <t>10-2008</t>
  </si>
  <si>
    <t>11-2008</t>
  </si>
  <si>
    <t>12-2008</t>
  </si>
  <si>
    <t>01-2009</t>
  </si>
  <si>
    <t>02-2009</t>
  </si>
  <si>
    <t>03-2009</t>
  </si>
  <si>
    <t>04-2009</t>
  </si>
  <si>
    <t>05-2009</t>
  </si>
  <si>
    <t>06-2009</t>
  </si>
  <si>
    <t>07-2009</t>
  </si>
  <si>
    <t>08-2009</t>
  </si>
  <si>
    <t>09-2009</t>
  </si>
  <si>
    <t>10-2009</t>
  </si>
  <si>
    <t>11-2009</t>
  </si>
  <si>
    <t>12-2009</t>
  </si>
  <si>
    <t>01-2010</t>
  </si>
  <si>
    <t>02-2010</t>
  </si>
  <si>
    <t>03-2010</t>
  </si>
  <si>
    <t>04-2010</t>
  </si>
  <si>
    <t>05-2010</t>
  </si>
  <si>
    <t>06-2010</t>
  </si>
  <si>
    <t>07-2010</t>
  </si>
  <si>
    <t>08-2010</t>
  </si>
  <si>
    <t>09-2010</t>
  </si>
  <si>
    <t>10-2010</t>
  </si>
  <si>
    <t>11-2010</t>
  </si>
  <si>
    <t>12-2010</t>
  </si>
  <si>
    <t>01-2011</t>
  </si>
  <si>
    <t>02-2011</t>
  </si>
  <si>
    <t>03-2011</t>
  </si>
  <si>
    <t>04-2011</t>
  </si>
  <si>
    <t>05-2011</t>
  </si>
  <si>
    <t>06-2011</t>
  </si>
  <si>
    <t>07-2011</t>
  </si>
  <si>
    <t>08-2011</t>
  </si>
  <si>
    <t>09-2011</t>
  </si>
  <si>
    <t>10-2011</t>
  </si>
  <si>
    <t>11-2011</t>
  </si>
  <si>
    <t>12-2011</t>
  </si>
  <si>
    <t>01-2012</t>
  </si>
  <si>
    <t>02-2012</t>
  </si>
  <si>
    <t>03-2012</t>
  </si>
  <si>
    <t>04-2012</t>
  </si>
  <si>
    <t>05-2012</t>
  </si>
  <si>
    <t>06-2012</t>
  </si>
  <si>
    <t>07-2012</t>
  </si>
  <si>
    <t>08-2012</t>
  </si>
  <si>
    <t>09-2012</t>
  </si>
  <si>
    <t>10-2012</t>
  </si>
  <si>
    <t>11-2012</t>
  </si>
  <si>
    <t>12-2012</t>
  </si>
  <si>
    <t>01-2013</t>
  </si>
  <si>
    <t>02-2013</t>
  </si>
  <si>
    <t>03-2013</t>
  </si>
  <si>
    <t>04-2013</t>
  </si>
  <si>
    <t>05-2013</t>
  </si>
  <si>
    <t>06-2013</t>
  </si>
  <si>
    <t>07-2013</t>
  </si>
  <si>
    <t>08-2013</t>
  </si>
  <si>
    <t>09-2013</t>
  </si>
  <si>
    <t>10-2013</t>
  </si>
  <si>
    <t>11-2013</t>
  </si>
  <si>
    <t>12-2013</t>
  </si>
  <si>
    <t>01-2014</t>
  </si>
  <si>
    <t>02-2014</t>
  </si>
  <si>
    <t>03-2014</t>
  </si>
  <si>
    <t>04-2014</t>
  </si>
  <si>
    <t>05-2014</t>
  </si>
  <si>
    <t>06-2014</t>
  </si>
  <si>
    <t>07-2014</t>
  </si>
  <si>
    <t>08-2014</t>
  </si>
  <si>
    <t>09-2014</t>
  </si>
  <si>
    <t>10-2014</t>
  </si>
  <si>
    <t>11-2014</t>
  </si>
  <si>
    <t>12-2014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</si>
  <si>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</si>
  <si>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</si>
  <si>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</si>
  <si>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</si>
  <si>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</si>
  <si>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</si>
  <si>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</si>
  <si>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</si>
  <si>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</si>
  <si>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</si>
  <si>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</si>
  <si>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</si>
  <si>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</si>
  <si>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</si>
  <si>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</si>
  <si>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</si>
  <si>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</si>
  <si>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</si>
  <si>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</si>
  <si>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</si>
  <si>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</si>
  <si>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</si>
  <si>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</si>
  <si>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</si>
  <si>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</si>
  <si>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</si>
  <si>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</si>
  <si>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</si>
  <si>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</si>
  <si>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</si>
  <si>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</si>
  <si>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</si>
  <si>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</si>
  <si>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</si>
  <si>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</si>
  <si>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</si>
  <si>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</si>
  <si>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</si>
  <si>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</si>
  <si>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</si>
  <si>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</si>
  <si>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</si>
  <si>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</si>
  <si>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</si>
  <si>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</si>
  <si>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</si>
  <si>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</si>
  <si>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</si>
  <si>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</si>
  <si>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</si>
  <si>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</si>
  <si>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</si>
  <si>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</si>
  <si>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</si>
  <si>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</si>
  <si>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</si>
  <si>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</si>
  <si>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</si>
  <si>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</si>
  <si>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</si>
  <si>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</si>
  <si>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</si>
  <si>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</si>
  <si>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</si>
  <si>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</si>
  <si>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</si>
  <si>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</si>
  <si>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</si>
  <si>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</si>
  <si>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</si>
  <si>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</si>
  <si>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</si>
  <si>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</si>
  <si>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</si>
  <si>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</si>
  <si>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</si>
  <si>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</si>
  <si>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</si>
  <si>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</si>
  <si>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</si>
  <si>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</si>
  <si>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</si>
  <si>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</si>
  <si>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</si>
  <si>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</si>
  <si>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</si>
  <si>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</si>
  <si>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</si>
  <si>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</si>
  <si>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</si>
  <si>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</si>
  <si>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</si>
  <si>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</si>
  <si>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</si>
  <si>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</si>
  <si>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</si>
  <si>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</si>
  <si>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</si>
  <si>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</si>
  <si>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</si>
  <si>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</si>
  <si>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</si>
  <si>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</si>
  <si>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</si>
  <si>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</si>
  <si>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</si>
  <si>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</si>
  <si>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</si>
  <si>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</si>
  <si>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</si>
  <si>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</si>
  <si>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</si>
  <si>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</si>
  <si>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</si>
  <si>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</si>
  <si>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</si>
  <si>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</si>
  <si>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</si>
  <si>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</si>
  <si>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</si>
  <si>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</si>
  <si>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</si>
  <si>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</si>
  <si>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</si>
  <si>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</si>
  <si>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</si>
  <si>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</si>
  <si>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</si>
  <si>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</si>
  <si>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</si>
  <si>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</si>
  <si>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</si>
  <si>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 xml:space="preserve"> Annual Factors: January-December </t>
  </si>
  <si>
    <t>Year</t>
  </si>
  <si>
    <t>Copyright 2025 Kenneth R. French</t>
  </si>
  <si>
    <t>Student ID</t>
  </si>
  <si>
    <t>XXXX</t>
  </si>
  <si>
    <t>XXXX Name</t>
  </si>
  <si>
    <t>YYYY</t>
  </si>
  <si>
    <t>YYYY Name</t>
  </si>
  <si>
    <t>ROBERT HALF INTERNATIONAL INC</t>
  </si>
  <si>
    <t>M E R TELEMANAGEMENT SOLTNS LTD</t>
  </si>
  <si>
    <t xml:space="preserve">ONLY USE YOUR ALLOCATED COMPANIES (TICKERS) FOR YOUR ANALYSIS. </t>
  </si>
  <si>
    <t>EXELON CORP</t>
  </si>
  <si>
    <t>TOWER SEMICONDUCTOR LTD</t>
  </si>
  <si>
    <t>NATIONAL HEALTH INVESTORS INC</t>
  </si>
  <si>
    <t>RESOURCES CONNECTION INC</t>
  </si>
  <si>
    <t>X C E L ENERGY INC</t>
  </si>
  <si>
    <t>INTERNATIONAL ASSETS HLDG CORP</t>
  </si>
  <si>
    <t>HUNT J B TRANSPORT SERVICES INC</t>
  </si>
  <si>
    <t>HEMISPHERX BIOPHARMA INC</t>
  </si>
  <si>
    <t>ROGERS COMMUNICATIONS INC</t>
  </si>
  <si>
    <t>UNITED MOBILE HOMES INC</t>
  </si>
  <si>
    <t>BANCO LATINOAMERICANO DE EXP SA</t>
  </si>
  <si>
    <t>WEIGHT WATCHERS INTL INC NEW</t>
  </si>
  <si>
    <t>RENAME THE FIRST COMPANY (XXXX) TO THE 
FIRST TICKER AND THE SECOND (YYYY) TO THE SECOND TICKER IN YOUR SUMMARY REPORT</t>
  </si>
  <si>
    <t>TAYLOR DEVICES INC</t>
  </si>
  <si>
    <t>1 800 FLOWERS COM INC</t>
  </si>
  <si>
    <t>TRINITY BIOTECH PLC</t>
  </si>
  <si>
    <t>PRUDENTIAL FINANCIAL INC</t>
  </si>
  <si>
    <t>NIKE INC</t>
  </si>
  <si>
    <t>TAIWAN SEMICONDUCTOR MFG CO LTD</t>
  </si>
  <si>
    <t>CREDIT ACCEPTANCE CORP</t>
  </si>
  <si>
    <t>CROSS COUNTRY INC</t>
  </si>
  <si>
    <t>UNIVERSAL DISPLAY CORP</t>
  </si>
  <si>
    <t>ISHARES TRUST</t>
  </si>
  <si>
    <t>WORLD FUEL SERVICES CORP</t>
  </si>
  <si>
    <t>EAGLE BANCORP INC</t>
  </si>
  <si>
    <t>BANK NEW YORK INC</t>
  </si>
  <si>
    <t>CIENA CORP</t>
  </si>
  <si>
    <t>CORPORATE OFFICE PROPERTIES TR</t>
  </si>
  <si>
    <t>A B B LTD</t>
  </si>
  <si>
    <t>HANCOCK JOHN INCOME SECS TR</t>
  </si>
  <si>
    <t>CAMDEN NATIONAL CORP</t>
  </si>
  <si>
    <t>UNIVERSAL HEALTH RLTY INCM TR</t>
  </si>
  <si>
    <t>P A S W INC</t>
  </si>
  <si>
    <t>KOSS CORP</t>
  </si>
  <si>
    <t>N C R CORP NEW</t>
  </si>
  <si>
    <t>BECTON DICKINSON &amp; CO</t>
  </si>
  <si>
    <t>ARTESIAN RESOURCES CORP</t>
  </si>
  <si>
    <t>ENNIS BUSINESS FORMS INC</t>
  </si>
  <si>
    <t>FORRESTER RESEARCH INC</t>
  </si>
  <si>
    <t>REGENERON PHARMACEUTICALS INC</t>
  </si>
  <si>
    <t>BRUKER DALTONICS INC</t>
  </si>
  <si>
    <t>HINGHAM INSTITUTION FOR SVGS MA</t>
  </si>
  <si>
    <t>UTAH MEDICAL PRODUCTS INC</t>
  </si>
  <si>
    <t>UNISYS CORP</t>
  </si>
  <si>
    <t>FOSSIL INC</t>
  </si>
  <si>
    <t>DIAGEO PLC</t>
  </si>
  <si>
    <t>KONINKLIJKE PHILIPS ELEC N V</t>
  </si>
  <si>
    <t>SHERWIN WILLIAMS CO</t>
  </si>
  <si>
    <t>ISHARES INC</t>
  </si>
  <si>
    <t>FIRST CASH FINANCIAL SVCS INC</t>
  </si>
  <si>
    <t>COACH INC</t>
  </si>
  <si>
    <t>COLUMBIA BANKING SYSTEM INC</t>
  </si>
  <si>
    <t>ONCOLYTICS BIOTECH INC</t>
  </si>
  <si>
    <t>DONALDSON INC</t>
  </si>
  <si>
    <t>DEBT STRATEGIES FUND INC NEW</t>
  </si>
  <si>
    <t>STANDARD MOTOR PRODUCTS INC</t>
  </si>
  <si>
    <t>SANDY SPRING BANCORP INC</t>
  </si>
  <si>
    <t>LORUS THERAPEUTICS INC</t>
  </si>
  <si>
    <t>LATTICE SEMICONDUCTOR CORP</t>
  </si>
  <si>
    <t>COMMUNITY HEALTH SYS INC NEW</t>
  </si>
  <si>
    <t>FONAR CORP</t>
  </si>
  <si>
    <t>C N A FINANCIAL CORP</t>
  </si>
  <si>
    <t>STEEL DYNAMICS INC</t>
  </si>
  <si>
    <t>FLANIGANS ENTERPRISES INC</t>
  </si>
  <si>
    <t>AMETEK INC NEW</t>
  </si>
  <si>
    <t>ROYAL GOLD INC</t>
  </si>
  <si>
    <t>RESEARCH IN MOTION LTD</t>
  </si>
  <si>
    <t>AMERICAN ELECTRIC POWER CO INC</t>
  </si>
  <si>
    <t>BANK MONTREAL QUE</t>
  </si>
  <si>
    <t>CULP INC</t>
  </si>
  <si>
    <t>G S I LUMONICS INC</t>
  </si>
  <si>
    <t>ISIS PHARMACEUTICALS INC</t>
  </si>
  <si>
    <t>EB2B COMMERCE INC</t>
  </si>
  <si>
    <t>MUNIYIELD QUALITY FUND II INC</t>
  </si>
  <si>
    <t>NOMURA HOLDINGS INC</t>
  </si>
  <si>
    <t>GREAT SOUTHERN BANCORP INC</t>
  </si>
  <si>
    <t>FLEXSTEEL INDUSTRIES INC</t>
  </si>
  <si>
    <t>VICOR CORP</t>
  </si>
  <si>
    <t>NETEASE COM INC</t>
  </si>
  <si>
    <t>KELLY SERVICES INC</t>
  </si>
  <si>
    <t>CANADIAN NATIONAL RAILWAY CO</t>
  </si>
  <si>
    <t>BIO RAD LABORATORIES INC</t>
  </si>
  <si>
    <t>RITCHIE BROS AUCTIONEERS INC</t>
  </si>
  <si>
    <t>JAPAN OTC EQUITY FUND INC</t>
  </si>
  <si>
    <t>INSMED INC</t>
  </si>
  <si>
    <t>PFIZER INC</t>
  </si>
  <si>
    <t>PHILIPPINE LONG DISTANCE TELE CO</t>
  </si>
  <si>
    <t>NEWMONT MINING CORP</t>
  </si>
  <si>
    <t>DARLING INTERNATIONAL INC</t>
  </si>
  <si>
    <t>NETWORK1 SECURITY SOLUTIONS</t>
  </si>
  <si>
    <t>OHIO VALLEY BANC CORP</t>
  </si>
  <si>
    <t>ROPER INDUSTRIES INC NEW</t>
  </si>
  <si>
    <t>SHORE BANCSHARES INC</t>
  </si>
  <si>
    <t>M B SOFTWARE CORP</t>
  </si>
  <si>
    <t>HOWTEK INC</t>
  </si>
  <si>
    <t>INTELLIGENT SYSTEMS CORP NEW</t>
  </si>
  <si>
    <t>COSTCO WHOLESALE CORP NEW</t>
  </si>
  <si>
    <t>CATO CORP NEW</t>
  </si>
  <si>
    <t>NUVEEN MISSOURI PREM INC MUN FD</t>
  </si>
  <si>
    <t>STEMCELLS INC</t>
  </si>
  <si>
    <t>PIMCO NEW YORK MUNICIPAL INC FD</t>
  </si>
  <si>
    <t>WESTERN RESOURCES INC</t>
  </si>
  <si>
    <t>TRANSACTION SYS ARCHITECTS INC</t>
  </si>
  <si>
    <t>BADGER METER INC</t>
  </si>
  <si>
    <t>I N G GROEP N V</t>
  </si>
  <si>
    <t>INTERPUBLIC GROUP COS INC</t>
  </si>
  <si>
    <t>POLO RALPH LAUREN CORP</t>
  </si>
  <si>
    <t>OLD NATIONAL BANCORP</t>
  </si>
  <si>
    <t>BOYD GAMING CORP</t>
  </si>
  <si>
    <t>PROGRESSIVE CORP OH</t>
  </si>
  <si>
    <t>REPUBLIC SERVICES INC</t>
  </si>
  <si>
    <t>PHOTRONICS INC</t>
  </si>
  <si>
    <t>TITAN INTERNATIONAL INC ILL</t>
  </si>
  <si>
    <t>H &amp; Q LIFE SCIENCES INVESTORS</t>
  </si>
  <si>
    <t>TRANSALTA CORP</t>
  </si>
  <si>
    <t>FOOT LOCKER INC</t>
  </si>
  <si>
    <t>C M G I INC</t>
  </si>
  <si>
    <t>MIDWEST GRAIN PRODUCTS INC</t>
  </si>
  <si>
    <t>CENTURY CASINOS INC</t>
  </si>
  <si>
    <t>HANCOCK HOLDING CO</t>
  </si>
  <si>
    <t>INNOVATIVE SOLUTIONS &amp; SUPRT INC</t>
  </si>
  <si>
    <t>POTLATCH CORP</t>
  </si>
  <si>
    <t>KNIGHTSBRIDGE TANKERS LTD</t>
  </si>
  <si>
    <t>EQUIFAX INC</t>
  </si>
  <si>
    <t>INTEST CORP</t>
  </si>
  <si>
    <t>GRIFFON CORP</t>
  </si>
  <si>
    <t>UNITED AUTO GROUP INC</t>
  </si>
  <si>
    <t>C I G N A CORP</t>
  </si>
  <si>
    <t>DRIVERSSHIELD INC</t>
  </si>
  <si>
    <t>FIFTH THIRD BANCORP</t>
  </si>
  <si>
    <t>IRIDEX CORP</t>
  </si>
  <si>
    <t>INTERNATIONAL PAPER CO</t>
  </si>
  <si>
    <t>COVENANT TRANSPORT INC</t>
  </si>
  <si>
    <t>MUNICIPAL HIGH INCOME FD INC</t>
  </si>
  <si>
    <t>CHROMALINE CORP</t>
  </si>
  <si>
    <t>UNITED BANKSHARES INC</t>
  </si>
  <si>
    <t>BARRETT BUSINESS SERVICES INC</t>
  </si>
  <si>
    <t>H R P T PROPERTIES TRUST</t>
  </si>
  <si>
    <t>AUDIOCODES LTD</t>
  </si>
  <si>
    <t>NATIONAL HEALTHCARE CORP</t>
  </si>
  <si>
    <t>GREENE COUNTY BANCORP INC</t>
  </si>
  <si>
    <t>INGERSOLL RAND CO LTD</t>
  </si>
  <si>
    <t>ITRON INC</t>
  </si>
  <si>
    <t>DYNEX CAPITAL INC</t>
  </si>
  <si>
    <t>NATIONAL BANKSHARES INC</t>
  </si>
  <si>
    <t>P P L CORP</t>
  </si>
  <si>
    <t>TRANSPORTADORA DE GAS DEL SUR SA</t>
  </si>
  <si>
    <t>CULLEN FROST BANKERS INC</t>
  </si>
  <si>
    <t>AUBURN NATIONAL BANCORP</t>
  </si>
  <si>
    <t>KELLOGG CO</t>
  </si>
  <si>
    <t>PROGRAMMERS PARADISE INC</t>
  </si>
  <si>
    <t>PARKER HANNIFIN CORP</t>
  </si>
  <si>
    <t>ENTREMED INC</t>
  </si>
  <si>
    <t>OIL DRI CORP OF AMERICA</t>
  </si>
  <si>
    <t>METTLER TOLEDO INTERNATIONAL INC</t>
  </si>
  <si>
    <t>ALICO INC</t>
  </si>
  <si>
    <t>PIZZA INN INC NEW</t>
  </si>
  <si>
    <t>ST MARY LAND &amp; EXPLORATION CO</t>
  </si>
  <si>
    <t>PEOPLES BANCORP NC INC NEW</t>
  </si>
  <si>
    <t>PHILLIPS VAN HEUSEN CORP</t>
  </si>
  <si>
    <t>INCYTE GENOMICS INC</t>
  </si>
  <si>
    <t>COMPANIA CERVECERIAS UNIDAS S A</t>
  </si>
  <si>
    <t>PIMCO CORP INCOME FUND</t>
  </si>
  <si>
    <t>PERINI CORP</t>
  </si>
  <si>
    <t>EURONET WORLDWIDE INC</t>
  </si>
  <si>
    <t>MUNIHOLDINGS NJ INSRD FUND INC</t>
  </si>
  <si>
    <t>T S R INC</t>
  </si>
  <si>
    <t>DEVON ENERGY CORP NEW</t>
  </si>
  <si>
    <t>ISTAR FINANCIAL INC</t>
  </si>
  <si>
    <t>CHARLES RIVER LABS INTL INC</t>
  </si>
  <si>
    <t>ARROW ELECTRONICS INC</t>
  </si>
  <si>
    <t>BALLARD POWER SYSTEMS INC</t>
  </si>
  <si>
    <t>MASSMUTUAL PARTICIPATION INVS</t>
  </si>
  <si>
    <t>BILLSERV INC</t>
  </si>
  <si>
    <t>CENTURYTEL INC</t>
  </si>
  <si>
    <t>BANCORPSOUTH INC</t>
  </si>
  <si>
    <t>TAIWAN FUND INC</t>
  </si>
  <si>
    <t>JUNIPER NETWORKS INC</t>
  </si>
  <si>
    <t>DYNAMIC MATERIALS CORP</t>
  </si>
  <si>
    <t>WILEY JOHN &amp; SONS INC</t>
  </si>
  <si>
    <t>ERICSSON L M TELEPHONE CO</t>
  </si>
  <si>
    <t>OPEN TEXT CORP</t>
  </si>
  <si>
    <t>SOURCE CAPITAL INC</t>
  </si>
  <si>
    <t>MANHATTAN ASSOCIATES INC</t>
  </si>
  <si>
    <t>AON CORP</t>
  </si>
  <si>
    <t>DREYFUS HIGH YIELD STRATEGIES FD</t>
  </si>
  <si>
    <t>WESTERN DIGITAL CORP</t>
  </si>
  <si>
    <t>AMERICAN AXLE &amp; MFG HLGDS INC</t>
  </si>
  <si>
    <t>CARNIVAL CORP</t>
  </si>
  <si>
    <t>IMMERSION CORP</t>
  </si>
  <si>
    <t>PARK OHIO HOLDINGS CORP</t>
  </si>
  <si>
    <t>COMPX INTERNATIONAL INC</t>
  </si>
  <si>
    <t>LACLEDE GROUP INC</t>
  </si>
  <si>
    <t>PATTERSON U T I ENERGY INC</t>
  </si>
  <si>
    <t>HARLEY DAVIDSON INC</t>
  </si>
  <si>
    <t>NUVEEN CALIFORNIA DIV ADV MUN FU</t>
  </si>
  <si>
    <t>CENTRAL SECURITIES CORP</t>
  </si>
  <si>
    <t>NORTHWEST PIPE CO</t>
  </si>
  <si>
    <t>TYSON FOODS INC</t>
  </si>
  <si>
    <t>SERVOTRONICS INC</t>
  </si>
  <si>
    <t>EURO TECH HOLDINGS CO LTD</t>
  </si>
  <si>
    <t>QUALCOMM INC</t>
  </si>
  <si>
    <t>INDEPENDENT BANK CORP MICH</t>
  </si>
  <si>
    <t>C S X CORP</t>
  </si>
  <si>
    <t>SALOMON BROTHERS HIGH INC FD II</t>
  </si>
  <si>
    <t>AUTOZONE INC</t>
  </si>
  <si>
    <t>PETROLEO BRASILEIRO SA PETROBRAS</t>
  </si>
  <si>
    <t>SKYLINE CORP</t>
  </si>
  <si>
    <t>REALITY INTERACTIVE INC</t>
  </si>
  <si>
    <t>UNIVERSAL INSURANCE HOLDINGS INC</t>
  </si>
  <si>
    <t>ROSS STORES INC</t>
  </si>
  <si>
    <t>INTEGRATED SURGICAL SYSTEMS INC</t>
  </si>
  <si>
    <t>NEW YORK COMMUNITY BANCORP INC</t>
  </si>
  <si>
    <t>BROWN &amp; BROWN INC</t>
  </si>
  <si>
    <t>INDUSTRIAL DATA SYSTEMS CORP</t>
  </si>
  <si>
    <t>FEDERAL SIGNAL CORP</t>
  </si>
  <si>
    <t>UNITED NATURAL FOODS INC</t>
  </si>
  <si>
    <t>GRAHAM CORP</t>
  </si>
  <si>
    <t>W P CAREY &amp; CO LLC</t>
  </si>
  <si>
    <t>SCUDDER STRATEGIC MUNI INCOME TR</t>
  </si>
  <si>
    <t>EXELIXIS INC</t>
  </si>
  <si>
    <t>P N C FINANCIAL SERVICES GRP INC</t>
  </si>
  <si>
    <t>AEROCENTURY CORP</t>
  </si>
  <si>
    <t>ACCELR8 TECHNOLOGY CORP NEW</t>
  </si>
  <si>
    <t>AMERICAN SUPERCONDUCTOR CORP</t>
  </si>
  <si>
    <t>OIL STATES INTERNATIONAL INC</t>
  </si>
  <si>
    <t>COMERICA INC</t>
  </si>
  <si>
    <t>HARMONIC INC</t>
  </si>
  <si>
    <t>CAPITAL SOUTHWEST CORP</t>
  </si>
  <si>
    <t>WILLAMETTE VALLEY VINYDS INC</t>
  </si>
  <si>
    <t>CELLULAR TECHNICAL SVCS CO INC</t>
  </si>
  <si>
    <t>WIPRO LTD</t>
  </si>
  <si>
    <t>FRANKLIN TELECOMMUNICATIONS CORP</t>
  </si>
  <si>
    <t>INTASYS CORP</t>
  </si>
  <si>
    <t>MERIT MEDICAL SYSTEMS INC</t>
  </si>
  <si>
    <t>MCGRAW HILL COS INC</t>
  </si>
  <si>
    <t>BIOCRYST PHARMACEUTICALS INC</t>
  </si>
  <si>
    <t>S &amp; T BANCORP INC</t>
  </si>
  <si>
    <t>GETTY REALTY CORP NEW</t>
  </si>
  <si>
    <t>ORTHODONTIX INC</t>
  </si>
  <si>
    <t>G III APPAREL GROUP INC</t>
  </si>
  <si>
    <t>NEW GERMANY FUND INC</t>
  </si>
  <si>
    <t>BRUSH ENGINEERED MATERIALS INC</t>
  </si>
  <si>
    <t>LAKELAND FINANCIAL CORP</t>
  </si>
  <si>
    <t>TREDEGAR CORP</t>
  </si>
  <si>
    <t>BIOMERICA INC</t>
  </si>
  <si>
    <t>MUNIHOLDINGS NEW YORK IN FD INC</t>
  </si>
  <si>
    <t>MEXICO FUND INC</t>
  </si>
  <si>
    <t>FEDERATED INVESTORS INC PA</t>
  </si>
  <si>
    <t>EXXON MOBIL CORP</t>
  </si>
  <si>
    <t>TEMPLETON EMERG MKTS INC FD INC</t>
  </si>
  <si>
    <t>1ST SOURCE CORP</t>
  </si>
  <si>
    <t>SYNOVUS FINANCIAL CORP</t>
  </si>
  <si>
    <t>GREENBRIER COMPANIES INC</t>
  </si>
  <si>
    <t>NUVEEN MUNCIPAL INCOME FUND INC</t>
  </si>
  <si>
    <t>PACKAGING CORP AMERICA</t>
  </si>
  <si>
    <t>NUVEEN CALIFORNIA MUN VALUE FD</t>
  </si>
  <si>
    <t>TELEDYNE TECHNOLOGIES</t>
  </si>
  <si>
    <t>SYMS CORP</t>
  </si>
  <si>
    <t>SELECT SECTOR SPDR TRUST</t>
  </si>
  <si>
    <t>SNAP ON INC</t>
  </si>
  <si>
    <t>VERISIGN INC</t>
  </si>
  <si>
    <t>BUCKLE INC</t>
  </si>
  <si>
    <t>ZIMMER HOLDINGS INC</t>
  </si>
  <si>
    <t>S J W CORP</t>
  </si>
  <si>
    <t>JONES LANG LASALLE INC</t>
  </si>
  <si>
    <t>TEXTRON INC</t>
  </si>
  <si>
    <t>CANTERBURY PARK HOLDING CORP</t>
  </si>
  <si>
    <t>ALLETE INC</t>
  </si>
  <si>
    <t>GABELLI CONVERTIBLE SEC FD INC</t>
  </si>
  <si>
    <t>GRAY COMMUNICATIONS SYSTEMS INC</t>
  </si>
  <si>
    <t>F T I CONSULTING INC</t>
  </si>
  <si>
    <t>ACME UNITED CORP</t>
  </si>
  <si>
    <t>MERCURY COMPUTER SYSTEMS</t>
  </si>
  <si>
    <t>GENUINE PARTS CO</t>
  </si>
  <si>
    <t>DURBAN ROODEPOORT DEEP LTD</t>
  </si>
  <si>
    <t>AMERICAN FINANCIAL GROUP INC NEW</t>
  </si>
  <si>
    <t>STEELCASE INC</t>
  </si>
  <si>
    <t>M F R I INC</t>
  </si>
  <si>
    <t>ALEXANDER &amp; BALDWIN INC</t>
  </si>
  <si>
    <t>EQUITY RESIDENTIAL PROPERTIES TR</t>
  </si>
  <si>
    <t>OLIN CORP</t>
  </si>
  <si>
    <t>V S E CORP</t>
  </si>
  <si>
    <t>C S P INC</t>
  </si>
  <si>
    <t>MACK CALI REALTY CORP</t>
  </si>
  <si>
    <t>ORIENTAL FINANCIAL GROUP INC</t>
  </si>
  <si>
    <t>INDUSTRIE NATUZZI S P A</t>
  </si>
  <si>
    <t>DUKE ENERGY CORP</t>
  </si>
  <si>
    <t>PEDIATRIX MEDICAL GROUP</t>
  </si>
  <si>
    <t>SPHERIX INC</t>
  </si>
  <si>
    <t>AVALONBAY COMMUNITIES INC</t>
  </si>
  <si>
    <t>POTASH CORP SASKATCHEWAN INC</t>
  </si>
  <si>
    <t>BERKSHIRE HILLS BANCORP INC</t>
  </si>
  <si>
    <t>CABOT OIL &amp; GAS CORP</t>
  </si>
  <si>
    <t>PRUDENTIAL PLC</t>
  </si>
  <si>
    <t>ADOBE SYSTEMS INC</t>
  </si>
  <si>
    <t>LIVEPERSON INC</t>
  </si>
  <si>
    <t>CLEARONE COMMUNICATIONS INC</t>
  </si>
  <si>
    <t>COLGATE PALMOLIVE CO</t>
  </si>
  <si>
    <t>A B C BANCORP</t>
  </si>
  <si>
    <t>WALGREEN CO</t>
  </si>
  <si>
    <t>IMAX CORP</t>
  </si>
  <si>
    <t>STRYKER CORP</t>
  </si>
  <si>
    <t>SALEM COMMUNICATIONS CORP</t>
  </si>
  <si>
    <t>COMMUNITY TRUST BANCORP INC</t>
  </si>
  <si>
    <t>COHEN &amp; STEERS TOTAL RT RL FD IN</t>
  </si>
  <si>
    <t>VAN KAMPEN BOND FUND</t>
  </si>
  <si>
    <t>ALEXANDRIA REAL EST EQUITIES INC</t>
  </si>
  <si>
    <t>DIGI INTERNATIONAL INC</t>
  </si>
  <si>
    <t>AETERNA LABORTORIES INC</t>
  </si>
  <si>
    <t>AMERICAN EXPRESS CO</t>
  </si>
  <si>
    <t>ENTERTAINMENT PROPERTIES TRUST</t>
  </si>
  <si>
    <t>TYCO INTERNATIONAL LTD NEW</t>
  </si>
  <si>
    <t>U S PHYSICAL THERAPY INC</t>
  </si>
  <si>
    <t>BUNGE LTD</t>
  </si>
  <si>
    <t>CITIZENS INC</t>
  </si>
  <si>
    <t>INSIGHT ENTERPRISES INC</t>
  </si>
  <si>
    <t>CARDINAL HEALTH INC</t>
  </si>
  <si>
    <t>CARVER BANCORP INC</t>
  </si>
  <si>
    <t>TRANSMATION INC</t>
  </si>
  <si>
    <t>ENERPLUS RESOURCES FUND</t>
  </si>
  <si>
    <t>P P G INDUSTRIES INC</t>
  </si>
  <si>
    <t>MCKESSON H B O C INC</t>
  </si>
  <si>
    <t>STEPAN CO</t>
  </si>
  <si>
    <t>GENCOR INDUSTRIES INC</t>
  </si>
  <si>
    <t>PATHFINDER BANCORP INC</t>
  </si>
  <si>
    <t>NUVEEN MUNICIPAL VALUE FUND</t>
  </si>
  <si>
    <t>PLUG POWER INC</t>
  </si>
  <si>
    <t>VIAD CORP</t>
  </si>
  <si>
    <t>FIRST INDUSTRIAL REALTY TR INC</t>
  </si>
  <si>
    <t>MOTOROLA INC</t>
  </si>
  <si>
    <t>NORTHWEST BANCORP INC PA</t>
  </si>
  <si>
    <t>PERMIAN BASIN RTY TR</t>
  </si>
  <si>
    <t>GUARANTY BANCSHARES INC</t>
  </si>
  <si>
    <t>PINNACLE WEST CAPITAL CORP</t>
  </si>
  <si>
    <t>SMITH MICRO SOFTWARE INC</t>
  </si>
  <si>
    <t>HALLMARK FINANCIAL SERVICES INC</t>
  </si>
  <si>
    <t>AMERICAN STATES WATER CO</t>
  </si>
  <si>
    <t>SIERRA BANCORP</t>
  </si>
  <si>
    <t>M F S CHARTER INCOME TRUST</t>
  </si>
  <si>
    <t>AUDIOVOX CORP</t>
  </si>
  <si>
    <t>ALLIANCE RESOURCE PARTNERS</t>
  </si>
  <si>
    <t>DUCOMMUN INC DE</t>
  </si>
  <si>
    <t>CELESTICA INC</t>
  </si>
  <si>
    <t>SCHOLASTIC CORP</t>
  </si>
  <si>
    <t>UNITED SECURITY BANKSHARES</t>
  </si>
  <si>
    <t>TOTAL FINA ELF S A</t>
  </si>
  <si>
    <t>FLUOR CORP NEW</t>
  </si>
  <si>
    <t>QUAKER CHEMICAL CORP</t>
  </si>
  <si>
    <t>HERITAGE COMMERCE CORP</t>
  </si>
  <si>
    <t>HEALTH CARE REIT INC</t>
  </si>
  <si>
    <t>MURPHY OIL CORP</t>
  </si>
  <si>
    <t>CREDICORP LTD</t>
  </si>
  <si>
    <t>MODINE MANUFACTURING CO</t>
  </si>
  <si>
    <t>S L GREEN REALTY CORP</t>
  </si>
  <si>
    <t>ONEOK INC NEW</t>
  </si>
  <si>
    <t>MIDCAP SPDR TRUST</t>
  </si>
  <si>
    <t>PROCTER &amp; GAMBLE CO</t>
  </si>
  <si>
    <t>MACERICH CO</t>
  </si>
  <si>
    <t>PUBLIC SERVICE ENTERPRISE GP INC</t>
  </si>
  <si>
    <t>FIRSTSERVICE CORP</t>
  </si>
  <si>
    <t>IDACORP INC</t>
  </si>
  <si>
    <t>KOREA ELECTRIC POWER CO</t>
  </si>
  <si>
    <t>MAYS J W INC</t>
  </si>
  <si>
    <t>AMCON DISTRIBUTING CO</t>
  </si>
  <si>
    <t>GENERAL AMERICAN INVESTORS INC</t>
  </si>
  <si>
    <t>AMERICAN EAGLE OUTFITTERS INC NE</t>
  </si>
  <si>
    <t>DENTSPLY INTERNATIONAL INC NEW</t>
  </si>
  <si>
    <t>CAMDEN PROPERTY TRUST</t>
  </si>
  <si>
    <t>GRACO INC</t>
  </si>
  <si>
    <t>TUPPERWARE CORP</t>
  </si>
  <si>
    <t>POWELL INDUSTRIES INC</t>
  </si>
  <si>
    <t>VAN KAMPEN SENIOR INCOME TR</t>
  </si>
  <si>
    <t>M F S INTERMEDIATE INCOME TRUST</t>
  </si>
  <si>
    <t>BANK OF MARIN</t>
  </si>
  <si>
    <t>C P I AEROSTRUCTURES INC</t>
  </si>
  <si>
    <t>MUELLER INDUSTRIES INC</t>
  </si>
  <si>
    <t>PAIN THERAPEUTICS INC</t>
  </si>
  <si>
    <t>ABERDEEN ASIA PACIFIC INCOME FD</t>
  </si>
  <si>
    <t>COMPUCREDIT CORP</t>
  </si>
  <si>
    <t>POPULAR INC</t>
  </si>
  <si>
    <t>INDIA FUND INC</t>
  </si>
  <si>
    <t>DIVERSIFAX INC</t>
  </si>
  <si>
    <t>OSHKOSH TRUCK CORP</t>
  </si>
  <si>
    <t>CENTRAL GARDEN &amp; PET CO</t>
  </si>
  <si>
    <t>DEUTSCHE BANK A G</t>
  </si>
  <si>
    <t>MERCURY GENERAL CORP NEW</t>
  </si>
  <si>
    <t>COMFORT SYSTEMS USA INC</t>
  </si>
  <si>
    <t>DIODES INC</t>
  </si>
  <si>
    <t>WILLIS LEASE FINANCE CORP</t>
  </si>
  <si>
    <t>D T E ENERGY CO</t>
  </si>
  <si>
    <t>BORGWARNER INC</t>
  </si>
  <si>
    <t>UNITED STATES LIME MINERALS INC</t>
  </si>
  <si>
    <t>SASOL LTD</t>
  </si>
  <si>
    <t>TREX INC</t>
  </si>
  <si>
    <t>NACCO INDUSTRIES INC</t>
  </si>
  <si>
    <t>ALLMERICA FINANCIAL CORP</t>
  </si>
  <si>
    <t>UNUMPROVIDENT CORP</t>
  </si>
  <si>
    <t>OPENWAVE SYSTEMS INC</t>
  </si>
  <si>
    <t>R P M INC OH</t>
  </si>
  <si>
    <t>LIONS GATE ENTERTAINMENT CORP</t>
  </si>
  <si>
    <t>S P X CORP</t>
  </si>
  <si>
    <t>EDAP T M S S A</t>
  </si>
  <si>
    <t>COLONIAL HIGH INCOME MUN TR</t>
  </si>
  <si>
    <t>METLIFE INC</t>
  </si>
  <si>
    <t>CHEESECAKE FACTORY INC</t>
  </si>
  <si>
    <t>NUVEEN NEW YORK MUN VALUE FUND</t>
  </si>
  <si>
    <t>UNITED PARCEL SERVICE INC</t>
  </si>
  <si>
    <t>W P P GROUP PLC</t>
  </si>
  <si>
    <t>SOCIEDAD QUIMICA &amp; MINERA CHL SA</t>
  </si>
  <si>
    <t>AMERICAN REALTY INVESTORS INC</t>
  </si>
  <si>
    <t>CERUS CORP</t>
  </si>
  <si>
    <t>EDISON INTERNATIONAL</t>
  </si>
  <si>
    <t>VALUE LINE INC</t>
  </si>
  <si>
    <t>INTERMEDIATE MUNI FUND INC</t>
  </si>
  <si>
    <t>CERTEGY INC</t>
  </si>
  <si>
    <t>PARK ELECTROCHEMICAL CORP</t>
  </si>
  <si>
    <t>GANNETT CO INC</t>
  </si>
  <si>
    <t>VIASAT INC</t>
  </si>
  <si>
    <t>NEW JERSEY RES</t>
  </si>
  <si>
    <t>U S E C INC</t>
  </si>
  <si>
    <t>FIRST CITIZENS BANCSHARES INC NC</t>
  </si>
  <si>
    <t>ETHAN ALLEN INTERIORS INC</t>
  </si>
  <si>
    <t>PARAMETRIC TECHNOLOGY CORP</t>
  </si>
  <si>
    <t>SONO TEK CORP</t>
  </si>
  <si>
    <t>GERMAN AMERICAN BANCORP</t>
  </si>
  <si>
    <t>M D C HOLDINGS INC</t>
  </si>
  <si>
    <t>SELECT COMFORT CORP</t>
  </si>
  <si>
    <t>SYSCO CORP</t>
  </si>
  <si>
    <t>MUNIHOLDINGS FUND INC</t>
  </si>
  <si>
    <t>GLAXOSMITHKLINE PLC</t>
  </si>
  <si>
    <t>SENIOR HOUSING PROPERTIES TRUST</t>
  </si>
  <si>
    <t>HUNTINGTON BANCSHARES INC</t>
  </si>
  <si>
    <t>OCEANFIRST FINANCIAL CORP</t>
  </si>
  <si>
    <t>SONY CORP</t>
  </si>
  <si>
    <t>EMBOTELLADORA ANDINA S A</t>
  </si>
  <si>
    <t>ASTRONICS CORP</t>
  </si>
  <si>
    <t>VALMONT INDUSTRIES INC</t>
  </si>
  <si>
    <t>CROWN CRAFTS INC</t>
  </si>
  <si>
    <t>AUTODESK INC</t>
  </si>
  <si>
    <t>KEWAUNEE SCIENTIFIC CORP</t>
  </si>
  <si>
    <t>COMMUNITY WEST BANCSHARES</t>
  </si>
  <si>
    <t>CHURCH &amp; DWIGHT INC</t>
  </si>
  <si>
    <t>TELECOM ARGENTINA STET FR TEL SA</t>
  </si>
  <si>
    <t>HARSCO CORP</t>
  </si>
  <si>
    <t>SYSTEMAX INC</t>
  </si>
  <si>
    <t>THERMOGENESIS CORP</t>
  </si>
  <si>
    <t>PAPA JOHNS INTL INC</t>
  </si>
  <si>
    <t>KEY TRONICS CORP</t>
  </si>
  <si>
    <t>EPLUS INC</t>
  </si>
  <si>
    <t>TRIARC COMPANIES INC</t>
  </si>
  <si>
    <t>HIGHWOODS PROPERTIES INC</t>
  </si>
  <si>
    <t>THE TICKER PAIRS BELOW ARE SPARE AND ARE ONLY TO BE USED FOLLOWING AGREEMENT WITH THE MODULE LEADER</t>
  </si>
  <si>
    <t>SPARE1</t>
  </si>
  <si>
    <t>NATIONAL PRESTO INDS INC</t>
  </si>
  <si>
    <t>COLUMBUS MCKINNON CORP NY</t>
  </si>
  <si>
    <t>SPARE2</t>
  </si>
  <si>
    <t>SOUTHWESTERN ENERGY CO</t>
  </si>
  <si>
    <t>AMDOCS LTD</t>
  </si>
  <si>
    <t>SPARE3</t>
  </si>
  <si>
    <t>LIMITED INC</t>
  </si>
  <si>
    <t>CREDIT SUISSE HIGH YIELD BOND FD</t>
  </si>
  <si>
    <t>SPARE4</t>
  </si>
  <si>
    <t>CORNICHE GROUP INC</t>
  </si>
  <si>
    <t>C S G SYSTEMS INTERNATIONAL INC</t>
  </si>
  <si>
    <t>SPARE5</t>
  </si>
  <si>
    <t>PEOPLES HOLDING CO</t>
  </si>
  <si>
    <t>SPARE6</t>
  </si>
  <si>
    <t>TIDEWATER INC</t>
  </si>
  <si>
    <t>EMCORE CORP</t>
  </si>
  <si>
    <t>SPARE7</t>
  </si>
  <si>
    <t>A Z Z INC</t>
  </si>
  <si>
    <t>ALBEMARLE CORP</t>
  </si>
  <si>
    <t>SPARE8</t>
  </si>
  <si>
    <t>AMERICAN INCOME FUND INC</t>
  </si>
  <si>
    <t>SILICON LABORATORIES INC</t>
  </si>
  <si>
    <t>SPARE9</t>
  </si>
  <si>
    <t>MEXICO EQUITY &amp; INCOME FUND</t>
  </si>
  <si>
    <t>SPARE10</t>
  </si>
  <si>
    <t>CRANE CO</t>
  </si>
  <si>
    <t>WACKENHUT CORRECTIONS CORP</t>
  </si>
  <si>
    <t>SPARE11</t>
  </si>
  <si>
    <t>INNSUITES HOSPITALITY TRUST</t>
  </si>
  <si>
    <t>TRICON GLOBAL RESTAURANTS INC</t>
  </si>
  <si>
    <t>SPARE12</t>
  </si>
  <si>
    <t>SUNLINK HEALTH SYSTEMS INC</t>
  </si>
  <si>
    <t>NETSCOUT SYSTEMS INC</t>
  </si>
  <si>
    <t>SPARE13</t>
  </si>
  <si>
    <t>N A B I</t>
  </si>
  <si>
    <t>INVESTORS REAL ESTATE TRUST</t>
  </si>
  <si>
    <t>SPARE14</t>
  </si>
  <si>
    <t>SOUTHWEST GAS CORP</t>
  </si>
  <si>
    <t>PC CONNECTION INC</t>
  </si>
  <si>
    <t>SPARE15</t>
  </si>
  <si>
    <t>C T S CORP</t>
  </si>
  <si>
    <t>NUR MACROPRINTERS LTD</t>
  </si>
  <si>
    <t>SPARE16</t>
  </si>
  <si>
    <t>LEE ENTERPRISES INC</t>
  </si>
  <si>
    <t>CRESUD S A C I F Y A</t>
  </si>
  <si>
    <t>SPARE17</t>
  </si>
  <si>
    <t>L S B INDUSTRIES INC</t>
  </si>
  <si>
    <t>CAPITAL CITY BANK GROUP</t>
  </si>
  <si>
    <t>SPARE18</t>
  </si>
  <si>
    <t>NATURAL ALTERNATIVES INTL INC</t>
  </si>
  <si>
    <t>MONARCH CASINO &amp; RESORT INC</t>
  </si>
  <si>
    <t>SPARE19</t>
  </si>
  <si>
    <t>M F S GOVERNMENT MARKETS INC TR</t>
  </si>
  <si>
    <t>GAIAM INC</t>
  </si>
  <si>
    <t>Capital Asset Pricing Model for BG(Bull Market)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</si>
</sst>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000"/>
    <numFmt numFmtId="167" formatCode="[$-F400]h:mm:ss\ AM/PM"/>
    <numFmt numFmtId="168" formatCode="0.00000"/>
    <numFmt numFmtId="169" formatCode="0.0"/>
  </numFmts>
  <fonts count="48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0"/>
      <color rgb="FF0D0D0D"/>
      <name val="Calibri"/>
      <family val="2"/>
    </font>
    <font>
      <u/>
      <sz val="11"/>
      <color theme="10"/>
      <name val="Calibri"/>
      <family val="2"/>
    </font>
    <font>
      <b/>
      <u/>
      <sz val="10"/>
      <color theme="1"/>
      <name val="Calibri"/>
      <family val="2"/>
    </font>
    <font>
      <b/>
      <i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6" fillId="0" borderId="0" applyNumberFormat="0" applyFill="0" applyBorder="0" applyAlignment="0" applyProtection="0"/>
  </cellStyleXfs>
  <cellXfs count="178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8" fillId="0" borderId="8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9" fontId="9" fillId="0" borderId="0" xfId="0" applyNumberFormat="1" applyFont="1" applyAlignment="1">
      <alignment horizontal="left"/>
    </xf>
    <xf numFmtId="10" fontId="10" fillId="0" borderId="0" xfId="0" applyNumberFormat="1" applyFont="1" applyAlignment="1">
      <alignment horizontal="left"/>
    </xf>
    <xf numFmtId="0" fontId="5" fillId="0" borderId="4" xfId="0" applyFont="1" applyBorder="1" applyAlignment="1">
      <alignment horizontal="left" vertical="center"/>
    </xf>
    <xf numFmtId="164" fontId="1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left"/>
    </xf>
    <xf numFmtId="17" fontId="13" fillId="0" borderId="0" xfId="0" applyNumberFormat="1" applyFont="1" applyAlignment="1">
      <alignment horizontal="left"/>
    </xf>
    <xf numFmtId="17" fontId="14" fillId="0" borderId="8" xfId="0" applyNumberFormat="1" applyFont="1" applyBorder="1" applyAlignment="1">
      <alignment horizontal="left"/>
    </xf>
    <xf numFmtId="165" fontId="15" fillId="0" borderId="0" xfId="0" applyNumberFormat="1" applyFont="1" applyAlignment="1">
      <alignment horizontal="left"/>
    </xf>
    <xf numFmtId="166" fontId="16" fillId="0" borderId="0" xfId="0" applyNumberFormat="1" applyFont="1" applyAlignment="1">
      <alignment horizontal="left"/>
    </xf>
    <xf numFmtId="165" fontId="17" fillId="0" borderId="8" xfId="0" applyNumberFormat="1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7" fontId="4" fillId="0" borderId="1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20" fillId="0" borderId="0" xfId="0" applyFont="1" applyAlignment="1">
      <alignment wrapText="1"/>
    </xf>
    <xf numFmtId="1" fontId="21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22" fillId="0" borderId="0" xfId="0" applyFont="1" applyAlignment="1">
      <alignment horizontal="center"/>
    </xf>
    <xf numFmtId="2" fontId="22" fillId="0" borderId="0" xfId="0" applyNumberFormat="1" applyFont="1"/>
    <xf numFmtId="0" fontId="22" fillId="0" borderId="0" xfId="0" applyFont="1"/>
    <xf numFmtId="1" fontId="22" fillId="0" borderId="0" xfId="0" applyNumberFormat="1" applyFont="1"/>
    <xf numFmtId="9" fontId="22" fillId="0" borderId="0" xfId="0" applyNumberFormat="1" applyFont="1"/>
    <xf numFmtId="0" fontId="4" fillId="0" borderId="0" xfId="0" applyFont="1" applyAlignment="1">
      <alignment horizontal="center"/>
    </xf>
    <xf numFmtId="2" fontId="4" fillId="0" borderId="0" xfId="0" applyNumberFormat="1" applyFont="1"/>
    <xf numFmtId="1" fontId="4" fillId="0" borderId="0" xfId="0" applyNumberFormat="1" applyFont="1"/>
    <xf numFmtId="0" fontId="23" fillId="0" borderId="13" xfId="0" applyFont="1" applyBorder="1" applyAlignment="1">
      <alignment horizontal="center" wrapText="1"/>
    </xf>
    <xf numFmtId="9" fontId="24" fillId="0" borderId="13" xfId="0" applyNumberFormat="1" applyFont="1" applyBorder="1"/>
    <xf numFmtId="10" fontId="24" fillId="0" borderId="13" xfId="0" applyNumberFormat="1" applyFont="1" applyBorder="1"/>
    <xf numFmtId="0" fontId="24" fillId="0" borderId="13" xfId="0" applyFont="1" applyBorder="1"/>
    <xf numFmtId="0" fontId="22" fillId="0" borderId="13" xfId="0" applyFont="1" applyBorder="1"/>
    <xf numFmtId="0" fontId="25" fillId="0" borderId="0" xfId="0" applyFont="1" applyAlignment="1">
      <alignment horizontal="center"/>
    </xf>
    <xf numFmtId="2" fontId="26" fillId="0" borderId="0" xfId="0" applyNumberFormat="1" applyFont="1" applyAlignment="1">
      <alignment horizontal="center"/>
    </xf>
    <xf numFmtId="9" fontId="27" fillId="0" borderId="0" xfId="0" applyNumberFormat="1" applyFont="1" applyAlignment="1">
      <alignment horizontal="center" wrapText="1"/>
    </xf>
    <xf numFmtId="164" fontId="28" fillId="0" borderId="0" xfId="0" applyNumberFormat="1" applyFont="1" applyAlignment="1">
      <alignment horizontal="center"/>
    </xf>
    <xf numFmtId="0" fontId="29" fillId="0" borderId="0" xfId="0" applyFont="1" applyAlignment="1">
      <alignment wrapText="1"/>
    </xf>
    <xf numFmtId="17" fontId="4" fillId="0" borderId="0" xfId="0" applyNumberFormat="1" applyFont="1" applyAlignment="1">
      <alignment horizontal="center"/>
    </xf>
    <xf numFmtId="9" fontId="4" fillId="0" borderId="0" xfId="0" applyNumberFormat="1" applyFont="1"/>
    <xf numFmtId="10" fontId="4" fillId="0" borderId="0" xfId="0" applyNumberFormat="1" applyFont="1"/>
    <xf numFmtId="0" fontId="31" fillId="0" borderId="13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left"/>
    </xf>
    <xf numFmtId="2" fontId="22" fillId="0" borderId="13" xfId="0" applyNumberFormat="1" applyFont="1" applyBorder="1"/>
    <xf numFmtId="0" fontId="34" fillId="0" borderId="0" xfId="0" applyFont="1"/>
    <xf numFmtId="0" fontId="4" fillId="0" borderId="13" xfId="0" applyFont="1" applyBorder="1" applyAlignment="1">
      <alignment wrapText="1"/>
    </xf>
    <xf numFmtId="0" fontId="4" fillId="0" borderId="13" xfId="0" applyFont="1" applyBorder="1"/>
    <xf numFmtId="0" fontId="35" fillId="0" borderId="0" xfId="0" applyFont="1"/>
    <xf numFmtId="0" fontId="36" fillId="0" borderId="3" xfId="0" applyFont="1" applyBorder="1" applyAlignment="1">
      <alignment horizontal="center"/>
    </xf>
    <xf numFmtId="0" fontId="4" fillId="0" borderId="8" xfId="0" applyFont="1" applyBorder="1"/>
    <xf numFmtId="166" fontId="4" fillId="0" borderId="13" xfId="0" applyNumberFormat="1" applyFont="1" applyBorder="1"/>
    <xf numFmtId="164" fontId="22" fillId="0" borderId="0" xfId="0" applyNumberFormat="1" applyFont="1"/>
    <xf numFmtId="10" fontId="22" fillId="0" borderId="0" xfId="0" applyNumberFormat="1" applyFont="1"/>
    <xf numFmtId="10" fontId="24" fillId="0" borderId="0" xfId="0" applyNumberFormat="1" applyFont="1" applyAlignment="1">
      <alignment horizontal="center"/>
    </xf>
    <xf numFmtId="10" fontId="24" fillId="0" borderId="0" xfId="0" applyNumberFormat="1" applyFont="1"/>
    <xf numFmtId="0" fontId="38" fillId="0" borderId="13" xfId="0" applyFont="1" applyBorder="1" applyAlignment="1">
      <alignment horizontal="center" wrapText="1"/>
    </xf>
    <xf numFmtId="2" fontId="39" fillId="0" borderId="13" xfId="0" applyNumberFormat="1" applyFont="1" applyBorder="1"/>
    <xf numFmtId="0" fontId="40" fillId="0" borderId="0" xfId="0" applyFont="1" applyAlignment="1">
      <alignment horizontal="left" vertical="center"/>
    </xf>
    <xf numFmtId="0" fontId="22" fillId="0" borderId="13" xfId="0" applyFont="1" applyBorder="1" applyAlignment="1">
      <alignment horizontal="left"/>
    </xf>
    <xf numFmtId="10" fontId="22" fillId="0" borderId="13" xfId="0" applyNumberFormat="1" applyFont="1" applyBorder="1"/>
    <xf numFmtId="164" fontId="22" fillId="0" borderId="13" xfId="0" applyNumberFormat="1" applyFont="1" applyBorder="1"/>
    <xf numFmtId="0" fontId="22" fillId="0" borderId="13" xfId="0" applyFont="1" applyBorder="1" applyAlignment="1">
      <alignment vertical="center" wrapText="1"/>
    </xf>
    <xf numFmtId="17" fontId="22" fillId="0" borderId="13" xfId="0" applyNumberFormat="1" applyFont="1" applyBorder="1"/>
    <xf numFmtId="168" fontId="22" fillId="0" borderId="13" xfId="0" applyNumberFormat="1" applyFont="1" applyBorder="1"/>
    <xf numFmtId="169" fontId="22" fillId="0" borderId="0" xfId="0" applyNumberFormat="1" applyFont="1"/>
    <xf numFmtId="0" fontId="41" fillId="0" borderId="0" xfId="0" applyFont="1"/>
    <xf numFmtId="0" fontId="5" fillId="0" borderId="13" xfId="0" applyFont="1" applyBorder="1"/>
    <xf numFmtId="0" fontId="5" fillId="0" borderId="17" xfId="0" applyFont="1" applyBorder="1"/>
    <xf numFmtId="9" fontId="5" fillId="0" borderId="13" xfId="0" applyNumberFormat="1" applyFont="1" applyBorder="1"/>
    <xf numFmtId="10" fontId="5" fillId="0" borderId="13" xfId="0" applyNumberFormat="1" applyFont="1" applyBorder="1"/>
    <xf numFmtId="2" fontId="5" fillId="0" borderId="13" xfId="0" applyNumberFormat="1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4" fillId="0" borderId="25" xfId="0" applyFont="1" applyBorder="1"/>
    <xf numFmtId="0" fontId="4" fillId="0" borderId="26" xfId="0" applyFont="1" applyBorder="1"/>
    <xf numFmtId="0" fontId="36" fillId="0" borderId="27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9" fontId="42" fillId="0" borderId="0" xfId="0" applyNumberFormat="1" applyFont="1" applyAlignment="1">
      <alignment horizontal="center" wrapText="1"/>
    </xf>
    <xf numFmtId="17" fontId="22" fillId="0" borderId="0" xfId="0" applyNumberFormat="1" applyFont="1" applyAlignment="1">
      <alignment horizontal="center"/>
    </xf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1" fillId="0" borderId="0" xfId="0" applyFont="1"/>
    <xf numFmtId="0" fontId="1" fillId="0" borderId="32" xfId="0" applyFont="1" applyBorder="1"/>
    <xf numFmtId="0" fontId="1" fillId="0" borderId="33" xfId="0" applyFont="1" applyBorder="1"/>
    <xf numFmtId="0" fontId="1" fillId="0" borderId="35" xfId="0" applyFont="1" applyBorder="1"/>
    <xf numFmtId="0" fontId="4" fillId="0" borderId="17" xfId="0" applyFont="1" applyBorder="1"/>
    <xf numFmtId="0" fontId="4" fillId="0" borderId="36" xfId="0" applyFont="1" applyBorder="1"/>
    <xf numFmtId="0" fontId="36" fillId="0" borderId="14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0" borderId="0" xfId="0" applyFont="1"/>
    <xf numFmtId="10" fontId="44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center"/>
    </xf>
    <xf numFmtId="0" fontId="45" fillId="0" borderId="0" xfId="0" applyFont="1" applyAlignment="1">
      <alignment horizontal="left"/>
    </xf>
    <xf numFmtId="0" fontId="4" fillId="5" borderId="1" xfId="0" applyFont="1" applyFill="1" applyBorder="1"/>
    <xf numFmtId="0" fontId="5" fillId="5" borderId="1" xfId="0" applyFont="1" applyFill="1" applyBorder="1" applyAlignment="1">
      <alignment vertical="center" wrapText="1"/>
    </xf>
    <xf numFmtId="0" fontId="4" fillId="0" borderId="30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6" fillId="0" borderId="8" xfId="0" applyFont="1" applyBorder="1"/>
    <xf numFmtId="0" fontId="5" fillId="0" borderId="2" xfId="0" applyFont="1" applyBorder="1" applyAlignment="1">
      <alignment horizontal="left" vertical="center"/>
    </xf>
    <xf numFmtId="0" fontId="6" fillId="0" borderId="3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10" fontId="24" fillId="0" borderId="0" xfId="0" applyNumberFormat="1" applyFont="1" applyAlignment="1">
      <alignment horizontal="center"/>
    </xf>
    <xf numFmtId="17" fontId="37" fillId="0" borderId="14" xfId="0" applyNumberFormat="1" applyFont="1" applyBorder="1" applyAlignment="1">
      <alignment horizontal="center" wrapText="1"/>
    </xf>
    <xf numFmtId="0" fontId="6" fillId="0" borderId="15" xfId="0" applyFont="1" applyBorder="1"/>
    <xf numFmtId="0" fontId="6" fillId="0" borderId="16" xfId="0" applyFont="1" applyBorder="1"/>
    <xf numFmtId="0" fontId="30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6" fillId="0" borderId="23" xfId="0" applyFont="1" applyBorder="1"/>
    <xf numFmtId="0" fontId="6" fillId="0" borderId="24" xfId="0" applyFont="1" applyBorder="1"/>
    <xf numFmtId="0" fontId="1" fillId="0" borderId="30" xfId="0" applyFont="1" applyBorder="1" applyAlignment="1">
      <alignment horizontal="center"/>
    </xf>
    <xf numFmtId="0" fontId="6" fillId="0" borderId="30" xfId="0" applyFont="1" applyBorder="1"/>
    <xf numFmtId="0" fontId="1" fillId="0" borderId="0" xfId="0" applyFont="1" applyAlignment="1">
      <alignment horizontal="center"/>
    </xf>
    <xf numFmtId="0" fontId="43" fillId="0" borderId="14" xfId="0" applyFont="1" applyBorder="1" applyAlignment="1">
      <alignment horizontal="center"/>
    </xf>
    <xf numFmtId="0" fontId="5" fillId="4" borderId="32" xfId="0" applyFont="1" applyFill="1" applyBorder="1" applyAlignment="1">
      <alignment horizontal="center" vertical="center"/>
    </xf>
    <xf numFmtId="0" fontId="6" fillId="0" borderId="33" xfId="0" applyFont="1" applyBorder="1"/>
    <xf numFmtId="0" fontId="6" fillId="0" borderId="34" xfId="0" applyFont="1" applyBorder="1"/>
    <xf numFmtId="0" fontId="6" fillId="0" borderId="29" xfId="0" applyFont="1" applyBorder="1"/>
    <xf numFmtId="0" fontId="6" fillId="0" borderId="31" xfId="0" applyFont="1" applyBorder="1"/>
    <xf numFmtId="0" fontId="5" fillId="0" borderId="32" xfId="0" applyFont="1" applyBorder="1" applyAlignment="1">
      <alignment horizontal="center" vertical="center" wrapText="1"/>
    </xf>
    <xf numFmtId="0" fontId="6" fillId="0" borderId="25" xfId="0" applyFont="1" applyBorder="1"/>
    <xf numFmtId="0" fontId="6" fillId="0" borderId="26" xfId="0" applyFont="1" applyBorder="1"/>
    <xf numFmtId="0" fontId="5" fillId="0" borderId="37" xfId="0" applyFont="1" applyBorder="1" applyAlignment="1">
      <alignment horizontal="center" vertical="center" wrapText="1"/>
    </xf>
    <xf numFmtId="0" fontId="6" fillId="0" borderId="38" xfId="0" applyFont="1" applyBorder="1"/>
    <xf numFmtId="0" fontId="6" fillId="0" borderId="39" xfId="0" applyFont="1" applyBorder="1"/>
    <xf numFmtId="0" fontId="6" fillId="0" borderId="7" xfId="0" applyFont="1" applyBorder="1"/>
    <xf numFmtId="0" fontId="6" fillId="0" borderId="9" xfId="0" applyFont="1" applyBorder="1"/>
    <xf numFmtId="0" fontId="5" fillId="4" borderId="3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36" xfId="0" applyFont="1" applyBorder="1"/>
    <xf numFmtId="0" fontId="5" fillId="0" borderId="35" xfId="0" applyFont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/>
    </xf>
    <xf numFmtId="0" fontId="6" fillId="0" borderId="41" xfId="0" applyFont="1" applyBorder="1"/>
    <xf numFmtId="2" fontId="46" fillId="0" borderId="0" xfId="1" applyNumberFormat="1" applyAlignment="1">
      <alignment horizontal="left"/>
    </xf>
    <xf numFmtId="2" fontId="46" fillId="0" borderId="0" xfId="1" quotePrefix="1" applyNumberFormat="1" applyAlignment="1">
      <alignment horizontal="left"/>
    </xf>
    <xf numFmtId="2" fontId="46" fillId="0" borderId="6" xfId="1" quotePrefix="1" applyNumberFormat="1" applyBorder="1" applyAlignment="1">
      <alignment horizontal="center" vertical="center"/>
    </xf>
    <xf numFmtId="2" fontId="46" fillId="0" borderId="8" xfId="1" applyNumberFormat="1" applyBorder="1" applyAlignment="1">
      <alignment horizontal="left"/>
    </xf>
    <xf numFmtId="2" fontId="46" fillId="0" borderId="9" xfId="1" applyNumberFormat="1" applyBorder="1" applyAlignment="1">
      <alignment horizontal="center" vertical="center"/>
    </xf>
    <xf numFmtId="0" fontId="0" fillId="0" borderId="1" xfId="0" applyFill="1" applyBorder="1" applyAlignment="1"/>
    <xf numFmtId="0" fontId="0" fillId="0" borderId="42" xfId="0" applyFill="1" applyBorder="1" applyAlignment="1"/>
    <xf numFmtId="0" fontId="47" fillId="0" borderId="43" xfId="0" applyFont="1" applyFill="1" applyBorder="1" applyAlignment="1">
      <alignment horizontal="center"/>
    </xf>
    <xf numFmtId="0" fontId="47" fillId="0" borderId="43" xfId="0" applyFont="1" applyFill="1" applyBorder="1" applyAlignment="1">
      <alignment horizontal="centerContinuous"/>
    </xf>
    <xf numFmtId="0" fontId="25" fillId="0" borderId="1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C00000"/>
      </font>
      <fill>
        <patternFill patternType="none"/>
      </fill>
    </dxf>
    <dxf>
      <font>
        <color rgb="FF00206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2.xml"/><Relationship Id="rId12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9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400" b="0" i="0">
                <a:solidFill>
                  <a:srgbClr val="757575"/>
                </a:solidFill>
                <a:latin typeface="+mn-lt"/>
              </a:defRPr>
            </a:pPr>
            <a:r>
              <a:rPr lang="en-IN" sz="1800" b="1" i="0">
                <a:solidFill>
                  <a:sysClr val="windowText" lastClr="000000"/>
                </a:solidFill>
                <a:latin typeface="+mn-lt"/>
              </a:rPr>
              <a:t>Annual Returns Comparison: USPH vs BG (2005–2025) </a:t>
            </a:r>
            <a:r>
              <a:rPr lang="en-IN" sz="2400" b="0" i="0">
                <a:solidFill>
                  <a:srgbClr val="757575"/>
                </a:solidFill>
                <a:latin typeface="+mn-lt"/>
              </a:rPr>
              <a:t>
</a:t>
            </a:r>
          </a:p>
        </c:rich>
      </c:tx>
      <c:layout>
        <c:manualLayout>
          <c:xMode val="edge"/>
          <c:yMode val="edge"/>
          <c:x val="0.17208532399189921"/>
          <c:y val="3.7562254259501958E-2"/>
        </c:manualLayout>
      </c:layout>
      <c:overlay val="0"/>
    </c:title>
    <c:autoTitleDeleted val="0"/>
    <c:plotArea>
      <c:layout>
        <c:manualLayout>
          <c:xMode val="edge"/>
          <c:yMode val="edge"/>
          <c:x val="0.15101181102362204"/>
          <c:y val="0.24372534722222222"/>
          <c:w val="0.80575415573053366"/>
          <c:h val="0.47423506944444443"/>
        </c:manualLayout>
      </c:layout>
      <c:lineChart>
        <c:grouping val="standard"/>
        <c:varyColors val="1"/>
        <c:ser>
          <c:idx val="0"/>
          <c:order val="0"/>
          <c:tx>
            <c:v>USPH Annual Return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'Data-Yearly'!$A$2:$A$22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'Data-Yearly'!$D$2:$D$22</c:f>
              <c:numCache>
                <c:formatCode>0%</c:formatCode>
                <c:ptCount val="21"/>
                <c:pt idx="1">
                  <c:v>-0.33676229261455359</c:v>
                </c:pt>
                <c:pt idx="2">
                  <c:v>0.17306121514768003</c:v>
                </c:pt>
                <c:pt idx="3">
                  <c:v>-7.2372997225849889E-2</c:v>
                </c:pt>
                <c:pt idx="4">
                  <c:v>0.27006754704232949</c:v>
                </c:pt>
                <c:pt idx="5">
                  <c:v>0.17070285514200001</c:v>
                </c:pt>
                <c:pt idx="6">
                  <c:v>-7.0635414633732907E-3</c:v>
                </c:pt>
                <c:pt idx="7">
                  <c:v>0.39939026872293293</c:v>
                </c:pt>
                <c:pt idx="8">
                  <c:v>0.28031943171262741</c:v>
                </c:pt>
                <c:pt idx="9">
                  <c:v>0.19001704713206924</c:v>
                </c:pt>
                <c:pt idx="10">
                  <c:v>0.27931366721693074</c:v>
                </c:pt>
                <c:pt idx="11">
                  <c:v>0.30774956313615309</c:v>
                </c:pt>
                <c:pt idx="12">
                  <c:v>2.8490029728556632E-2</c:v>
                </c:pt>
                <c:pt idx="13">
                  <c:v>0.41759006648563224</c:v>
                </c:pt>
                <c:pt idx="14">
                  <c:v>0.11724475016024716</c:v>
                </c:pt>
                <c:pt idx="15">
                  <c:v>5.1595991295217747E-2</c:v>
                </c:pt>
                <c:pt idx="16">
                  <c:v>-0.20540538002696207</c:v>
                </c:pt>
                <c:pt idx="17">
                  <c:v>-0.1519623632517908</c:v>
                </c:pt>
                <c:pt idx="18">
                  <c:v>0.14945083046756324</c:v>
                </c:pt>
                <c:pt idx="19">
                  <c:v>-4.7562812263322041E-2</c:v>
                </c:pt>
                <c:pt idx="20">
                  <c:v>-0.11971596050259603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8-4231-BB45-7F2D27EAB43B}"/>
            </c:ext>
          </c:extLst>
        </c:ser>
        <c:ser>
          <c:idx val="1"/>
          <c:order val="1"/>
          <c:tx>
            <c:v>BG Annual Return</c:v>
          </c:tx>
          <c:spPr>
            <a:ln w="28575" cmpd="sng">
              <a:solidFill>
                <a:schemeClr val="accent6"/>
              </a:solidFill>
            </a:ln>
          </c:spPr>
          <c:marker>
            <c:symbol val="circle"/>
            <c:size val="5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1-2AE8-4231-BB45-7F2D27EAB43B}"/>
              </c:ext>
            </c:extLst>
          </c:dPt>
          <c:cat>
            <c:numRef>
              <c:f>'Data-Yearly'!$A$2:$A$22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'Data-Yearly'!$E$2:$E$22</c:f>
              <c:numCache>
                <c:formatCode>0%</c:formatCode>
                <c:ptCount val="21"/>
                <c:pt idx="1">
                  <c:v>0.28086912832450084</c:v>
                </c:pt>
                <c:pt idx="2">
                  <c:v>0.60543373648507703</c:v>
                </c:pt>
                <c:pt idx="3">
                  <c:v>-0.55527876617862848</c:v>
                </c:pt>
                <c:pt idx="4">
                  <c:v>0.23295347240976194</c:v>
                </c:pt>
                <c:pt idx="5">
                  <c:v>2.6476496373676994E-2</c:v>
                </c:pt>
                <c:pt idx="6">
                  <c:v>-0.12698407061056238</c:v>
                </c:pt>
                <c:pt idx="7">
                  <c:v>0.27080422153600647</c:v>
                </c:pt>
                <c:pt idx="8">
                  <c:v>0.12959138605805598</c:v>
                </c:pt>
                <c:pt idx="9">
                  <c:v>0.10717334047429539</c:v>
                </c:pt>
                <c:pt idx="10">
                  <c:v>-0.24892755440779424</c:v>
                </c:pt>
                <c:pt idx="11">
                  <c:v>5.7996472689940459E-2</c:v>
                </c:pt>
                <c:pt idx="12">
                  <c:v>-7.1428518622683068E-2</c:v>
                </c:pt>
                <c:pt idx="13">
                  <c:v>-0.20333933858110109</c:v>
                </c:pt>
                <c:pt idx="14">
                  <c:v>7.6908696032365054E-2</c:v>
                </c:pt>
                <c:pt idx="15">
                  <c:v>0.13953088966894467</c:v>
                </c:pt>
                <c:pt idx="16">
                  <c:v>0.4236047271066401</c:v>
                </c:pt>
                <c:pt idx="17">
                  <c:v>6.8658911641053644E-2</c:v>
                </c:pt>
                <c:pt idx="18">
                  <c:v>1.1827206022641423E-2</c:v>
                </c:pt>
                <c:pt idx="19">
                  <c:v>-0.22971763757359409</c:v>
                </c:pt>
                <c:pt idx="20">
                  <c:v>0.14557612376337525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E8-4231-BB45-7F2D27EAB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037985"/>
        <c:axId val="584852499"/>
      </c:lineChart>
      <c:catAx>
        <c:axId val="228037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9600591137627159"/>
              <c:y val="0.83926048234796335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270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4852499"/>
        <c:crosses val="autoZero"/>
        <c:auto val="1"/>
        <c:lblAlgn val="ctr"/>
        <c:lblOffset val="100"/>
        <c:noMultiLvlLbl val="1"/>
      </c:catAx>
      <c:valAx>
        <c:axId val="584852499"/>
        <c:scaling>
          <c:orientation val="minMax"/>
          <c:max val="0.6000000000000000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400" b="1" i="0">
                    <a:solidFill>
                      <a:srgbClr val="000000"/>
                    </a:solidFill>
                    <a:latin typeface="+mn-lt"/>
                  </a:rPr>
                  <a:t>Annual Returns 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6674131944444444"/>
            </c:manualLayout>
          </c:layout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803798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757575"/>
                </a:solidFill>
                <a:latin typeface="+mn-lt"/>
              </a:defRPr>
            </a:pPr>
            <a:r>
              <a:rPr lang="en-IN" sz="1800" b="1" i="0">
                <a:solidFill>
                  <a:sysClr val="windowText" lastClr="000000"/>
                </a:solidFill>
                <a:latin typeface="+mn-lt"/>
              </a:rPr>
              <a:t>Rescaled Stock Price Performance: USPH vs BG (2005–2025)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Rescaled Price - USPH</c:v>
          </c:tx>
          <c:spPr>
            <a:ln w="28575" cmpd="sng">
              <a:solidFill>
                <a:srgbClr val="002060">
                  <a:alpha val="100000"/>
                </a:srgbClr>
              </a:solidFill>
            </a:ln>
          </c:spPr>
          <c:marker>
            <c:symbol val="circle"/>
            <c:size val="4"/>
            <c:spPr>
              <a:solidFill>
                <a:srgbClr val="002060">
                  <a:alpha val="100000"/>
                </a:srgbClr>
              </a:solidFill>
              <a:ln cmpd="sng">
                <a:solidFill>
                  <a:srgbClr val="002060">
                    <a:alpha val="100000"/>
                  </a:srgbClr>
                </a:solidFill>
              </a:ln>
            </c:spPr>
          </c:marker>
          <c:cat>
            <c:numRef>
              <c:f>'Data-Yearly'!$A$2:$A$22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'Data-Yearly'!$F$2:$F$22</c:f>
              <c:numCache>
                <c:formatCode>0</c:formatCode>
                <c:ptCount val="21"/>
                <c:pt idx="0">
                  <c:v>100</c:v>
                </c:pt>
                <c:pt idx="1">
                  <c:v>66.323770738544638</c:v>
                </c:pt>
                <c:pt idx="2">
                  <c:v>77.801843095733318</c:v>
                </c:pt>
                <c:pt idx="3">
                  <c:v>72.171090521199801</c:v>
                </c:pt>
                <c:pt idx="4">
                  <c:v>91.662159905630148</c:v>
                </c:pt>
                <c:pt idx="5">
                  <c:v>107.30915231000378</c:v>
                </c:pt>
                <c:pt idx="6">
                  <c:v>106.55116966326261</c:v>
                </c:pt>
                <c:pt idx="7">
                  <c:v>149.1066699478159</c:v>
                </c:pt>
                <c:pt idx="8">
                  <c:v>190.90416693214996</c:v>
                </c:pt>
                <c:pt idx="9">
                  <c:v>227.1792130178047</c:v>
                </c:pt>
                <c:pt idx="10">
                  <c:v>290.63347212126405</c:v>
                </c:pt>
                <c:pt idx="11">
                  <c:v>380.07579619932636</c:v>
                </c:pt>
                <c:pt idx="12">
                  <c:v>390.90416693214996</c:v>
                </c:pt>
                <c:pt idx="13">
                  <c:v>554.14186399085725</c:v>
                </c:pt>
                <c:pt idx="14">
                  <c:v>619.11208838779896</c:v>
                </c:pt>
                <c:pt idx="15">
                  <c:v>651.0557903110199</c:v>
                </c:pt>
                <c:pt idx="16">
                  <c:v>517.32542828343071</c:v>
                </c:pt>
                <c:pt idx="17">
                  <c:v>438.71143363123571</c:v>
                </c:pt>
                <c:pt idx="18">
                  <c:v>504.27722172303919</c:v>
                </c:pt>
                <c:pt idx="19">
                  <c:v>480.29237889755666</c:v>
                </c:pt>
                <c:pt idx="20">
                  <c:v>422.79371543575888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B-4182-9888-6A0FB563A1CF}"/>
            </c:ext>
          </c:extLst>
        </c:ser>
        <c:ser>
          <c:idx val="1"/>
          <c:order val="1"/>
          <c:tx>
            <c:v>Rescaled Price - BG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4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numRef>
              <c:f>'Data-Yearly'!$A$2:$A$22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'Data-Yearly'!$G$2:$G$22</c:f>
              <c:numCache>
                <c:formatCode>0</c:formatCode>
                <c:ptCount val="21"/>
                <c:pt idx="0">
                  <c:v>100</c:v>
                </c:pt>
                <c:pt idx="1">
                  <c:v>128.08691283245008</c:v>
                </c:pt>
                <c:pt idx="2">
                  <c:v>205.63505106343874</c:v>
                </c:pt>
                <c:pt idx="3">
                  <c:v>91.450273625853214</c:v>
                </c:pt>
                <c:pt idx="4">
                  <c:v>112.7539324198186</c:v>
                </c:pt>
                <c:pt idx="5">
                  <c:v>115.73926150264973</c:v>
                </c:pt>
                <c:pt idx="6">
                  <c:v>101.04221894758292</c:v>
                </c:pt>
                <c:pt idx="7">
                  <c:v>128.40487839195384</c:v>
                </c:pt>
                <c:pt idx="8">
                  <c:v>145.04504455938329</c:v>
                </c:pt>
                <c:pt idx="9">
                  <c:v>160.5900065040554</c:v>
                </c:pt>
                <c:pt idx="10">
                  <c:v>120.61472892266913</c:v>
                </c:pt>
                <c:pt idx="11">
                  <c:v>127.60995775463728</c:v>
                </c:pt>
                <c:pt idx="12">
                  <c:v>118.49496751072037</c:v>
                </c:pt>
                <c:pt idx="13">
                  <c:v>94.400279191901433</c:v>
                </c:pt>
                <c:pt idx="14">
                  <c:v>101.66048156964177</c:v>
                </c:pt>
                <c:pt idx="15">
                  <c:v>115.84525900722724</c:v>
                </c:pt>
                <c:pt idx="16">
                  <c:v>164.91785833558177</c:v>
                </c:pt>
                <c:pt idx="17">
                  <c:v>176.24093899907626</c:v>
                </c:pt>
                <c:pt idx="18">
                  <c:v>178.32537689424214</c:v>
                </c:pt>
                <c:pt idx="19">
                  <c:v>137.36089259467605</c:v>
                </c:pt>
                <c:pt idx="20">
                  <c:v>157.35735889528632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B-4182-9888-6A0FB563A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691013"/>
        <c:axId val="1608073385"/>
      </c:lineChart>
      <c:catAx>
        <c:axId val="981691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8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4255059918895817"/>
              <c:y val="0.8965137549059681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270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8073385"/>
        <c:crosses val="autoZero"/>
        <c:auto val="1"/>
        <c:lblAlgn val="ctr"/>
        <c:lblOffset val="100"/>
        <c:noMultiLvlLbl val="1"/>
      </c:catAx>
      <c:valAx>
        <c:axId val="1608073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800" b="1" i="0">
                    <a:solidFill>
                      <a:srgbClr val="000000"/>
                    </a:solidFill>
                    <a:latin typeface="+mn-lt"/>
                  </a:rPr>
                  <a:t>Rescaled Values
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1691013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400" b="1" i="0">
                <a:solidFill>
                  <a:srgbClr val="757575"/>
                </a:solidFill>
                <a:latin typeface="+mn-lt"/>
              </a:defRPr>
            </a:pPr>
            <a:r>
              <a:rPr sz="2400" b="1" i="0">
                <a:solidFill>
                  <a:srgbClr val="757575"/>
                </a:solidFill>
                <a:latin typeface="+mn-lt"/>
              </a:rPr>
              <a:t>Yearly Returns Chart 2005-2025
</a:t>
            </a:r>
          </a:p>
        </c:rich>
      </c:tx>
      <c:layout>
        <c:manualLayout>
          <c:xMode val="edge"/>
          <c:yMode val="edge"/>
          <c:x val="0.22929738581694722"/>
          <c:y val="9.4862381209461194E-2"/>
        </c:manualLayout>
      </c:layout>
      <c:overlay val="0"/>
    </c:title>
    <c:autoTitleDeleted val="0"/>
    <c:plotArea>
      <c:layout>
        <c:manualLayout>
          <c:xMode val="edge"/>
          <c:yMode val="edge"/>
          <c:x val="0.15101181102362204"/>
          <c:y val="0.24372534722222222"/>
          <c:w val="0.80575415573053366"/>
          <c:h val="0.47423506944444443"/>
        </c:manualLayout>
      </c:layout>
      <c:lineChart>
        <c:grouping val="standard"/>
        <c:varyColors val="1"/>
        <c:ser>
          <c:idx val="0"/>
          <c:order val="0"/>
          <c:tx>
            <c:v>Simple Return - USPH 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'Data-Yearly'!$A$2:$A$22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'Data-Yearly'!$D$2:$D$22</c:f>
              <c:numCache>
                <c:formatCode>0%</c:formatCode>
                <c:ptCount val="21"/>
                <c:pt idx="1">
                  <c:v>-0.33676229261455359</c:v>
                </c:pt>
                <c:pt idx="2">
                  <c:v>0.17306121514768003</c:v>
                </c:pt>
                <c:pt idx="3">
                  <c:v>-7.2372997225849889E-2</c:v>
                </c:pt>
                <c:pt idx="4">
                  <c:v>0.27006754704232949</c:v>
                </c:pt>
                <c:pt idx="5">
                  <c:v>0.17070285514200001</c:v>
                </c:pt>
                <c:pt idx="6">
                  <c:v>-7.0635414633732907E-3</c:v>
                </c:pt>
                <c:pt idx="7">
                  <c:v>0.39939026872293293</c:v>
                </c:pt>
                <c:pt idx="8">
                  <c:v>0.28031943171262741</c:v>
                </c:pt>
                <c:pt idx="9">
                  <c:v>0.19001704713206924</c:v>
                </c:pt>
                <c:pt idx="10">
                  <c:v>0.27931366721693074</c:v>
                </c:pt>
                <c:pt idx="11">
                  <c:v>0.30774956313615309</c:v>
                </c:pt>
                <c:pt idx="12">
                  <c:v>2.8490029728556632E-2</c:v>
                </c:pt>
                <c:pt idx="13">
                  <c:v>0.41759006648563224</c:v>
                </c:pt>
                <c:pt idx="14">
                  <c:v>0.11724475016024716</c:v>
                </c:pt>
                <c:pt idx="15">
                  <c:v>5.1595991295217747E-2</c:v>
                </c:pt>
                <c:pt idx="16">
                  <c:v>-0.20540538002696207</c:v>
                </c:pt>
                <c:pt idx="17">
                  <c:v>-0.1519623632517908</c:v>
                </c:pt>
                <c:pt idx="18">
                  <c:v>0.14945083046756324</c:v>
                </c:pt>
                <c:pt idx="19">
                  <c:v>-4.7562812263322041E-2</c:v>
                </c:pt>
                <c:pt idx="20">
                  <c:v>-0.11971596050259603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8-4C8F-80C1-DDDA6563C8CD}"/>
            </c:ext>
          </c:extLst>
        </c:ser>
        <c:ser>
          <c:idx val="1"/>
          <c:order val="1"/>
          <c:tx>
            <c:v>Simple Return - BG 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'Data-Yearly'!$A$2:$A$22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'Data-Yearly'!$E$2:$E$22</c:f>
              <c:numCache>
                <c:formatCode>0%</c:formatCode>
                <c:ptCount val="21"/>
                <c:pt idx="1">
                  <c:v>0.28086912832450084</c:v>
                </c:pt>
                <c:pt idx="2">
                  <c:v>0.60543373648507703</c:v>
                </c:pt>
                <c:pt idx="3">
                  <c:v>-0.55527876617862848</c:v>
                </c:pt>
                <c:pt idx="4">
                  <c:v>0.23295347240976194</c:v>
                </c:pt>
                <c:pt idx="5">
                  <c:v>2.6476496373676994E-2</c:v>
                </c:pt>
                <c:pt idx="6">
                  <c:v>-0.12698407061056238</c:v>
                </c:pt>
                <c:pt idx="7">
                  <c:v>0.27080422153600647</c:v>
                </c:pt>
                <c:pt idx="8">
                  <c:v>0.12959138605805598</c:v>
                </c:pt>
                <c:pt idx="9">
                  <c:v>0.10717334047429539</c:v>
                </c:pt>
                <c:pt idx="10">
                  <c:v>-0.24892755440779424</c:v>
                </c:pt>
                <c:pt idx="11">
                  <c:v>5.7996472689940459E-2</c:v>
                </c:pt>
                <c:pt idx="12">
                  <c:v>-7.1428518622683068E-2</c:v>
                </c:pt>
                <c:pt idx="13">
                  <c:v>-0.20333933858110109</c:v>
                </c:pt>
                <c:pt idx="14">
                  <c:v>7.6908696032365054E-2</c:v>
                </c:pt>
                <c:pt idx="15">
                  <c:v>0.13953088966894467</c:v>
                </c:pt>
                <c:pt idx="16">
                  <c:v>0.4236047271066401</c:v>
                </c:pt>
                <c:pt idx="17">
                  <c:v>6.8658911641053644E-2</c:v>
                </c:pt>
                <c:pt idx="18">
                  <c:v>1.1827206022641423E-2</c:v>
                </c:pt>
                <c:pt idx="19">
                  <c:v>-0.22971763757359409</c:v>
                </c:pt>
                <c:pt idx="20">
                  <c:v>0.14557612376337525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E8-4C8F-80C1-DDDA6563C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2070564"/>
        <c:axId val="1694319649"/>
      </c:lineChart>
      <c:catAx>
        <c:axId val="1392070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1" i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43027545499262176"/>
              <c:y val="0.827386224342141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270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4319649"/>
        <c:crosses val="autoZero"/>
        <c:auto val="1"/>
        <c:lblAlgn val="ctr"/>
        <c:lblOffset val="100"/>
        <c:noMultiLvlLbl val="1"/>
      </c:catAx>
      <c:valAx>
        <c:axId val="16943196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1" i="0">
                    <a:solidFill>
                      <a:srgbClr val="000000"/>
                    </a:solidFill>
                    <a:latin typeface="+mn-lt"/>
                  </a:rPr>
                  <a:t>Returns 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6674131944444444"/>
            </c:manualLayout>
          </c:layout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20705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800080104172332"/>
          <c:y val="0.12309335593036091"/>
        </c:manualLayout>
      </c:layout>
      <c:overlay val="0"/>
      <c:txPr>
        <a:bodyPr/>
        <a:lstStyle/>
        <a:p>
          <a:pPr lvl="0">
            <a:defRPr sz="8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800" b="1" i="0">
                <a:solidFill>
                  <a:srgbClr val="757575"/>
                </a:solidFill>
                <a:latin typeface="+mn-lt"/>
              </a:defRPr>
            </a:pPr>
            <a:r>
              <a:rPr sz="2800" b="1" i="0">
                <a:solidFill>
                  <a:srgbClr val="757575"/>
                </a:solidFill>
                <a:latin typeface="+mn-lt"/>
              </a:rPr>
              <a:t>Yearly Rescaled Price Chart 2005-2025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Rescaled Price - USPH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f>'Data-Yearly'!$A$2:$A$22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'Data-Yearly'!$F$2:$F$22</c:f>
              <c:numCache>
                <c:formatCode>0</c:formatCode>
                <c:ptCount val="21"/>
                <c:pt idx="0">
                  <c:v>100</c:v>
                </c:pt>
                <c:pt idx="1">
                  <c:v>66.323770738544638</c:v>
                </c:pt>
                <c:pt idx="2">
                  <c:v>77.801843095733318</c:v>
                </c:pt>
                <c:pt idx="3">
                  <c:v>72.171090521199801</c:v>
                </c:pt>
                <c:pt idx="4">
                  <c:v>91.662159905630148</c:v>
                </c:pt>
                <c:pt idx="5">
                  <c:v>107.30915231000378</c:v>
                </c:pt>
                <c:pt idx="6">
                  <c:v>106.55116966326261</c:v>
                </c:pt>
                <c:pt idx="7">
                  <c:v>149.1066699478159</c:v>
                </c:pt>
                <c:pt idx="8">
                  <c:v>190.90416693214996</c:v>
                </c:pt>
                <c:pt idx="9">
                  <c:v>227.1792130178047</c:v>
                </c:pt>
                <c:pt idx="10">
                  <c:v>290.63347212126405</c:v>
                </c:pt>
                <c:pt idx="11">
                  <c:v>380.07579619932636</c:v>
                </c:pt>
                <c:pt idx="12">
                  <c:v>390.90416693214996</c:v>
                </c:pt>
                <c:pt idx="13">
                  <c:v>554.14186399085725</c:v>
                </c:pt>
                <c:pt idx="14">
                  <c:v>619.11208838779896</c:v>
                </c:pt>
                <c:pt idx="15">
                  <c:v>651.0557903110199</c:v>
                </c:pt>
                <c:pt idx="16">
                  <c:v>517.32542828343071</c:v>
                </c:pt>
                <c:pt idx="17">
                  <c:v>438.71143363123571</c:v>
                </c:pt>
                <c:pt idx="18">
                  <c:v>504.27722172303919</c:v>
                </c:pt>
                <c:pt idx="19">
                  <c:v>480.29237889755666</c:v>
                </c:pt>
                <c:pt idx="20">
                  <c:v>422.79371543575888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A-4C81-9CBC-330AF2B138DE}"/>
            </c:ext>
          </c:extLst>
        </c:ser>
        <c:ser>
          <c:idx val="1"/>
          <c:order val="1"/>
          <c:tx>
            <c:v>Rescaled Price - BG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'Data-Yearly'!$A$2:$A$22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'Data-Yearly'!$G$2:$G$22</c:f>
              <c:numCache>
                <c:formatCode>0</c:formatCode>
                <c:ptCount val="21"/>
                <c:pt idx="0">
                  <c:v>100</c:v>
                </c:pt>
                <c:pt idx="1">
                  <c:v>128.08691283245008</c:v>
                </c:pt>
                <c:pt idx="2">
                  <c:v>205.63505106343874</c:v>
                </c:pt>
                <c:pt idx="3">
                  <c:v>91.450273625853214</c:v>
                </c:pt>
                <c:pt idx="4">
                  <c:v>112.7539324198186</c:v>
                </c:pt>
                <c:pt idx="5">
                  <c:v>115.73926150264973</c:v>
                </c:pt>
                <c:pt idx="6">
                  <c:v>101.04221894758292</c:v>
                </c:pt>
                <c:pt idx="7">
                  <c:v>128.40487839195384</c:v>
                </c:pt>
                <c:pt idx="8">
                  <c:v>145.04504455938329</c:v>
                </c:pt>
                <c:pt idx="9">
                  <c:v>160.5900065040554</c:v>
                </c:pt>
                <c:pt idx="10">
                  <c:v>120.61472892266913</c:v>
                </c:pt>
                <c:pt idx="11">
                  <c:v>127.60995775463728</c:v>
                </c:pt>
                <c:pt idx="12">
                  <c:v>118.49496751072037</c:v>
                </c:pt>
                <c:pt idx="13">
                  <c:v>94.400279191901433</c:v>
                </c:pt>
                <c:pt idx="14">
                  <c:v>101.66048156964177</c:v>
                </c:pt>
                <c:pt idx="15">
                  <c:v>115.84525900722724</c:v>
                </c:pt>
                <c:pt idx="16">
                  <c:v>164.91785833558177</c:v>
                </c:pt>
                <c:pt idx="17">
                  <c:v>176.24093899907626</c:v>
                </c:pt>
                <c:pt idx="18">
                  <c:v>178.32537689424214</c:v>
                </c:pt>
                <c:pt idx="19">
                  <c:v>137.36089259467605</c:v>
                </c:pt>
                <c:pt idx="20">
                  <c:v>157.35735889528632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1A-4C81-9CBC-330AF2B13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960077"/>
        <c:axId val="454650931"/>
      </c:lineChart>
      <c:catAx>
        <c:axId val="989960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1" i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270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4650931"/>
        <c:crosses val="autoZero"/>
        <c:auto val="1"/>
        <c:lblAlgn val="ctr"/>
        <c:lblOffset val="100"/>
        <c:noMultiLvlLbl val="1"/>
      </c:catAx>
      <c:valAx>
        <c:axId val="454650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800" b="1" i="0">
                    <a:solidFill>
                      <a:srgbClr val="000000"/>
                    </a:solidFill>
                    <a:latin typeface="+mn-lt"/>
                  </a:rPr>
                  <a:t>Rescaled Values
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99600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sz="1800" b="1" i="0">
                <a:solidFill>
                  <a:sysClr val="windowText" lastClr="000000"/>
                </a:solidFill>
                <a:latin typeface="+mn-lt"/>
              </a:defRPr>
            </a:pPr>
            <a:r>
              <a:rPr lang="en-IN" sz="1800" b="1" i="0">
                <a:solidFill>
                  <a:sysClr val="windowText" lastClr="000000"/>
                </a:solidFill>
                <a:latin typeface="+mn-lt"/>
              </a:rPr>
              <a:t>Market Frontier and Capital Market Line
</a:t>
            </a:r>
          </a:p>
        </c:rich>
      </c:tx>
      <c:layout>
        <c:manualLayout>
          <c:xMode val="edge"/>
          <c:yMode val="edge"/>
          <c:x val="0.27647742648657342"/>
          <c:y val="5.2578046912202983E-2"/>
        </c:manualLayout>
      </c:layout>
      <c:overlay val="0"/>
    </c:title>
    <c:autoTitleDeleted val="0"/>
    <c:plotArea>
      <c:layout>
        <c:manualLayout>
          <c:xMode val="edge"/>
          <c:yMode val="edge"/>
          <c:x val="0.14459981604319674"/>
          <c:y val="0.1559877619863006"/>
          <c:w val="0.61326880212178092"/>
          <c:h val="0.70013215213693902"/>
        </c:manualLayout>
      </c:layout>
      <c:scatterChart>
        <c:scatterStyle val="smoothMarker"/>
        <c:varyColors val="0"/>
        <c:ser>
          <c:idx val="0"/>
          <c:order val="0"/>
          <c:tx>
            <c:v>Efficient Frontier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1869-44C7-A276-2794A34B5E2E}"/>
              </c:ext>
            </c:extLst>
          </c:dPt>
          <c:xVal>
            <c:numRef>
              <c:f>'Market Frontier'!$D$8:$D$28</c:f>
              <c:numCache>
                <c:formatCode>0%</c:formatCode>
                <c:ptCount val="21"/>
                <c:pt idx="0">
                  <c:v>0.25718329992354605</c:v>
                </c:pt>
                <c:pt idx="1">
                  <c:v>0.24404011492288766</c:v>
                </c:pt>
                <c:pt idx="2">
                  <c:v>0.23138437103407986</c:v>
                </c:pt>
                <c:pt idx="3">
                  <c:v>0.21930047460355881</c:v>
                </c:pt>
                <c:pt idx="4">
                  <c:v>0.20788816873286584</c:v>
                </c:pt>
                <c:pt idx="5">
                  <c:v>0.19726404835172515</c:v>
                </c:pt>
                <c:pt idx="6">
                  <c:v>0.18756209739808288</c:v>
                </c:pt>
                <c:pt idx="7">
                  <c:v>0.17893238254679628</c:v>
                </c:pt>
                <c:pt idx="8">
                  <c:v>0.1715368071366232</c:v>
                </c:pt>
                <c:pt idx="9">
                  <c:v>0.16554086026304804</c:v>
                </c:pt>
                <c:pt idx="10">
                  <c:v>0.16110089436710728</c:v>
                </c:pt>
                <c:pt idx="11">
                  <c:v>0.15834784952875941</c:v>
                </c:pt>
                <c:pt idx="12">
                  <c:v>0.15737028394882033</c:v>
                </c:pt>
                <c:pt idx="13">
                  <c:v>0.15820111448763866</c:v>
                </c:pt>
                <c:pt idx="14">
                  <c:v>0.16081231456383707</c:v>
                </c:pt>
                <c:pt idx="15">
                  <c:v>0.1651194414382357</c:v>
                </c:pt>
                <c:pt idx="16">
                  <c:v>0.17099438850915641</c:v>
                </c:pt>
                <c:pt idx="17">
                  <c:v>0.17828222961813839</c:v>
                </c:pt>
                <c:pt idx="18">
                  <c:v>0.18681768500026394</c:v>
                </c:pt>
                <c:pt idx="19">
                  <c:v>0.19643819128507059</c:v>
                </c:pt>
                <c:pt idx="20">
                  <c:v>0.20699251217638534</c:v>
                </c:pt>
              </c:numCache>
            </c:numRef>
          </c:xVal>
          <c:yVal>
            <c:numRef>
              <c:f>'Market Frontier'!$C$8:$C$28</c:f>
              <c:numCache>
                <c:formatCode>0.00%</c:formatCode>
                <c:ptCount val="21"/>
                <c:pt idx="0">
                  <c:v>5.7086446130598587E-2</c:v>
                </c:pt>
                <c:pt idx="1">
                  <c:v>5.8967493614172382E-2</c:v>
                </c:pt>
                <c:pt idx="2">
                  <c:v>6.0848541097746192E-2</c:v>
                </c:pt>
                <c:pt idx="3">
                  <c:v>6.2729588581319995E-2</c:v>
                </c:pt>
                <c:pt idx="4">
                  <c:v>6.4610636064893798E-2</c:v>
                </c:pt>
                <c:pt idx="5">
                  <c:v>6.6491683548467587E-2</c:v>
                </c:pt>
                <c:pt idx="6">
                  <c:v>6.8372731032041389E-2</c:v>
                </c:pt>
                <c:pt idx="7">
                  <c:v>7.0253778515615206E-2</c:v>
                </c:pt>
                <c:pt idx="8">
                  <c:v>7.2134825999188995E-2</c:v>
                </c:pt>
                <c:pt idx="9">
                  <c:v>7.4015873482762798E-2</c:v>
                </c:pt>
                <c:pt idx="10">
                  <c:v>7.5896920966336601E-2</c:v>
                </c:pt>
                <c:pt idx="11">
                  <c:v>7.777796844991039E-2</c:v>
                </c:pt>
                <c:pt idx="12">
                  <c:v>7.9659015933484206E-2</c:v>
                </c:pt>
                <c:pt idx="13">
                  <c:v>8.1540063417058009E-2</c:v>
                </c:pt>
                <c:pt idx="14">
                  <c:v>8.3421110900631812E-2</c:v>
                </c:pt>
                <c:pt idx="15">
                  <c:v>8.5302158384205615E-2</c:v>
                </c:pt>
                <c:pt idx="16">
                  <c:v>8.7183205867779404E-2</c:v>
                </c:pt>
                <c:pt idx="17">
                  <c:v>8.9064253351353206E-2</c:v>
                </c:pt>
                <c:pt idx="18">
                  <c:v>9.0945300834927023E-2</c:v>
                </c:pt>
                <c:pt idx="19">
                  <c:v>9.2826348318500826E-2</c:v>
                </c:pt>
                <c:pt idx="20">
                  <c:v>9.4707395802074643E-2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69-44C7-A276-2794A34B5E2E}"/>
            </c:ext>
          </c:extLst>
        </c:ser>
        <c:ser>
          <c:idx val="1"/>
          <c:order val="1"/>
          <c:tx>
            <c:v>Capital Market Line </c:v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12"/>
            <c:spPr>
              <a:solidFill>
                <a:schemeClr val="accent4"/>
              </a:solidFill>
              <a:ln>
                <a:solidFill>
                  <a:srgbClr val="002060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4B65-45DA-8AF6-929E45DC3AA2}"/>
              </c:ext>
            </c:extLst>
          </c:dPt>
          <c:xVal>
            <c:numRef>
              <c:f>'Market Frontier'!$D$2:$D$3</c:f>
              <c:numCache>
                <c:formatCode>0.00%</c:formatCode>
                <c:ptCount val="2"/>
                <c:pt idx="0" formatCode="General">
                  <c:v>0</c:v>
                </c:pt>
                <c:pt idx="1">
                  <c:v>0.17198976772574862</c:v>
                </c:pt>
              </c:numCache>
            </c:numRef>
          </c:xVal>
          <c:yVal>
            <c:numRef>
              <c:f>'Market Frontier'!$E$2:$E$3</c:f>
              <c:numCache>
                <c:formatCode>0.00%</c:formatCode>
                <c:ptCount val="2"/>
                <c:pt idx="0" formatCode="0%">
                  <c:v>0.04</c:v>
                </c:pt>
                <c:pt idx="1">
                  <c:v>8.746212921960933E-2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65-45DA-8AF6-929E45DC3AA2}"/>
            </c:ext>
          </c:extLst>
        </c:ser>
        <c:ser>
          <c:idx val="2"/>
          <c:order val="2"/>
          <c:tx>
            <c:v>Optimal Portfolio Point</c:v>
          </c:tx>
          <c:marker>
            <c:symbol val="none"/>
          </c:marker>
          <c:dLbls>
            <c:dLbl>
              <c:idx val="0"/>
              <c:layout>
                <c:manualLayout>
                  <c:x val="0.19993074463300212"/>
                  <c:y val="-4.26014642906479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Optimal</a:t>
                    </a:r>
                    <a:r>
                      <a:rPr lang="en-US" baseline="0"/>
                      <a:t> Portfolio Point</a:t>
                    </a:r>
                  </a:p>
                  <a:p>
                    <a:endParaRPr lang="en-US"/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B65-45DA-8AF6-929E45DC3AA2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65000"/>
                    <a:lumOff val="35000"/>
                  </a:srgbClr>
                </a:solidFill>
              </a:ln>
              <a:effectLst/>
            </c:sp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'Market Frontier'!$B$34</c:f>
              <c:numCache>
                <c:formatCode>0.00%</c:formatCode>
                <c:ptCount val="1"/>
                <c:pt idx="0">
                  <c:v>0.17198976772574862</c:v>
                </c:pt>
              </c:numCache>
            </c:numRef>
          </c:xVal>
          <c:yVal>
            <c:numRef>
              <c:f>'Market Frontier'!$B$33</c:f>
              <c:numCache>
                <c:formatCode>0.00%</c:formatCode>
                <c:ptCount val="1"/>
                <c:pt idx="0">
                  <c:v>8.746212921960933E-2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65-45DA-8AF6-929E45DC3AA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871847005"/>
        <c:axId val="34700668"/>
      </c:scatterChart>
      <c:valAx>
        <c:axId val="1871847005"/>
        <c:scaling>
          <c:orientation val="minMax"/>
          <c:max val="0.2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800" b="1" i="0">
                    <a:solidFill>
                      <a:srgbClr val="000000"/>
                    </a:solidFill>
                    <a:latin typeface="+mn-lt"/>
                  </a:rPr>
                  <a:t>Portfolio Risk (%)</a:t>
                </a:r>
              </a:p>
            </c:rich>
          </c:tx>
          <c:layout>
            <c:manualLayout>
              <c:xMode val="edge"/>
              <c:yMode val="edge"/>
              <c:x val="0.37129365037943851"/>
              <c:y val="0.88138295344660877"/>
            </c:manualLayout>
          </c:layout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00668"/>
        <c:crosses val="autoZero"/>
        <c:crossBetween val="midCat"/>
      </c:valAx>
      <c:valAx>
        <c:axId val="34700668"/>
        <c:scaling>
          <c:orientation val="minMax"/>
          <c:min val="4.0000000000000008E-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800" b="1" i="0">
                    <a:solidFill>
                      <a:srgbClr val="000000"/>
                    </a:solidFill>
                    <a:latin typeface="+mn-lt"/>
                  </a:rPr>
                  <a:t>Portfolio Return (%)</a:t>
                </a:r>
              </a:p>
            </c:rich>
          </c:tx>
          <c:layout>
            <c:manualLayout>
              <c:xMode val="edge"/>
              <c:yMode val="edge"/>
              <c:x val="4.983542321127931E-2"/>
              <c:y val="0.24305567067274486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1847005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Frequency Distribution of Monthly Excess Returns for USPH (2005-2025)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Frequency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'Frequency Distributions Charts'!$A$3:$A$34</c:f>
              <c:strCache>
                <c:ptCount val="32"/>
                <c:pt idx="0">
                  <c:v>-36.55%</c:v>
                </c:pt>
                <c:pt idx="1">
                  <c:v>-34.20%</c:v>
                </c:pt>
                <c:pt idx="2">
                  <c:v>-31.85%</c:v>
                </c:pt>
                <c:pt idx="3">
                  <c:v>-29.50%</c:v>
                </c:pt>
                <c:pt idx="4">
                  <c:v>-27.15%</c:v>
                </c:pt>
                <c:pt idx="5">
                  <c:v>-24.81%</c:v>
                </c:pt>
                <c:pt idx="6">
                  <c:v>-22.46%</c:v>
                </c:pt>
                <c:pt idx="7">
                  <c:v>-20.11%</c:v>
                </c:pt>
                <c:pt idx="8">
                  <c:v>-17.76%</c:v>
                </c:pt>
                <c:pt idx="9">
                  <c:v>-15.41%</c:v>
                </c:pt>
                <c:pt idx="10">
                  <c:v>-13.07%</c:v>
                </c:pt>
                <c:pt idx="11">
                  <c:v>-10.72%</c:v>
                </c:pt>
                <c:pt idx="12">
                  <c:v>-8.37%</c:v>
                </c:pt>
                <c:pt idx="13">
                  <c:v>-6.02%</c:v>
                </c:pt>
                <c:pt idx="14">
                  <c:v>-3.67%</c:v>
                </c:pt>
                <c:pt idx="15">
                  <c:v>-1.32%</c:v>
                </c:pt>
                <c:pt idx="16">
                  <c:v>1.02%</c:v>
                </c:pt>
                <c:pt idx="17">
                  <c:v>3.37%</c:v>
                </c:pt>
                <c:pt idx="18">
                  <c:v>5.72%</c:v>
                </c:pt>
                <c:pt idx="19">
                  <c:v>8.07%</c:v>
                </c:pt>
                <c:pt idx="20">
                  <c:v>10.42%</c:v>
                </c:pt>
                <c:pt idx="21">
                  <c:v>12.76%</c:v>
                </c:pt>
                <c:pt idx="22">
                  <c:v>15.11%</c:v>
                </c:pt>
                <c:pt idx="23">
                  <c:v>17.46%</c:v>
                </c:pt>
                <c:pt idx="24">
                  <c:v>19.81%</c:v>
                </c:pt>
                <c:pt idx="25">
                  <c:v>22.16%</c:v>
                </c:pt>
                <c:pt idx="26">
                  <c:v>24.50%</c:v>
                </c:pt>
                <c:pt idx="27">
                  <c:v>26.85%</c:v>
                </c:pt>
                <c:pt idx="28">
                  <c:v>29.20%</c:v>
                </c:pt>
                <c:pt idx="29">
                  <c:v>31.55%</c:v>
                </c:pt>
                <c:pt idx="30">
                  <c:v>33.90%</c:v>
                </c:pt>
                <c:pt idx="31">
                  <c:v>More</c:v>
                </c:pt>
              </c:strCache>
            </c:strRef>
          </c:cat>
          <c:val>
            <c:numRef>
              <c:f>'Frequency Distributions Charts'!$B$3:$B$34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5</c:v>
                </c:pt>
                <c:pt idx="11">
                  <c:v>9</c:v>
                </c:pt>
                <c:pt idx="12">
                  <c:v>14</c:v>
                </c:pt>
                <c:pt idx="13">
                  <c:v>12</c:v>
                </c:pt>
                <c:pt idx="14">
                  <c:v>24</c:v>
                </c:pt>
                <c:pt idx="15">
                  <c:v>20</c:v>
                </c:pt>
                <c:pt idx="16">
                  <c:v>32</c:v>
                </c:pt>
                <c:pt idx="17">
                  <c:v>27</c:v>
                </c:pt>
                <c:pt idx="18">
                  <c:v>30</c:v>
                </c:pt>
                <c:pt idx="19">
                  <c:v>15</c:v>
                </c:pt>
                <c:pt idx="20">
                  <c:v>24</c:v>
                </c:pt>
                <c:pt idx="21">
                  <c:v>10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EC-4B9E-9E01-68DED32F7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82630933"/>
        <c:axId val="1914475270"/>
      </c:barChart>
      <c:catAx>
        <c:axId val="1682630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+mn-lt"/>
                  </a:rPr>
                  <a:t>Monthly Excess Return Bin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4475270"/>
        <c:crosses val="autoZero"/>
        <c:auto val="1"/>
        <c:lblAlgn val="ctr"/>
        <c:lblOffset val="100"/>
        <c:noMultiLvlLbl val="1"/>
      </c:catAx>
      <c:valAx>
        <c:axId val="191447527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263093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Frequency Distribution of Monthly Excess Returns for BG (2005-2025)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Frequency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'Frequency Distributions Charts'!$D$3:$D$34</c:f>
              <c:strCache>
                <c:ptCount val="32"/>
                <c:pt idx="0">
                  <c:v>-39.30%</c:v>
                </c:pt>
                <c:pt idx="1">
                  <c:v>-36.93%</c:v>
                </c:pt>
                <c:pt idx="2">
                  <c:v>-34.56%</c:v>
                </c:pt>
                <c:pt idx="3">
                  <c:v>-32.19%</c:v>
                </c:pt>
                <c:pt idx="4">
                  <c:v>-29.82%</c:v>
                </c:pt>
                <c:pt idx="5">
                  <c:v>-27.45%</c:v>
                </c:pt>
                <c:pt idx="6">
                  <c:v>-25.08%</c:v>
                </c:pt>
                <c:pt idx="7">
                  <c:v>-22.71%</c:v>
                </c:pt>
                <c:pt idx="8">
                  <c:v>-20.34%</c:v>
                </c:pt>
                <c:pt idx="9">
                  <c:v>-17.97%</c:v>
                </c:pt>
                <c:pt idx="10">
                  <c:v>-15.60%</c:v>
                </c:pt>
                <c:pt idx="11">
                  <c:v>-13.23%</c:v>
                </c:pt>
                <c:pt idx="12">
                  <c:v>-10.86%</c:v>
                </c:pt>
                <c:pt idx="13">
                  <c:v>-8.49%</c:v>
                </c:pt>
                <c:pt idx="14">
                  <c:v>-6.12%</c:v>
                </c:pt>
                <c:pt idx="15">
                  <c:v>-3.75%</c:v>
                </c:pt>
                <c:pt idx="16">
                  <c:v>-1.38%</c:v>
                </c:pt>
                <c:pt idx="17">
                  <c:v>0.99%</c:v>
                </c:pt>
                <c:pt idx="18">
                  <c:v>3.36%</c:v>
                </c:pt>
                <c:pt idx="19">
                  <c:v>5.73%</c:v>
                </c:pt>
                <c:pt idx="20">
                  <c:v>8.10%</c:v>
                </c:pt>
                <c:pt idx="21">
                  <c:v>10.47%</c:v>
                </c:pt>
                <c:pt idx="22">
                  <c:v>12.84%</c:v>
                </c:pt>
                <c:pt idx="23">
                  <c:v>15.21%</c:v>
                </c:pt>
                <c:pt idx="24">
                  <c:v>17.58%</c:v>
                </c:pt>
                <c:pt idx="25">
                  <c:v>19.95%</c:v>
                </c:pt>
                <c:pt idx="26">
                  <c:v>22.32%</c:v>
                </c:pt>
                <c:pt idx="27">
                  <c:v>24.69%</c:v>
                </c:pt>
                <c:pt idx="28">
                  <c:v>27.06%</c:v>
                </c:pt>
                <c:pt idx="29">
                  <c:v>29.43%</c:v>
                </c:pt>
                <c:pt idx="30">
                  <c:v>31.79%</c:v>
                </c:pt>
                <c:pt idx="31">
                  <c:v>More</c:v>
                </c:pt>
              </c:strCache>
            </c:strRef>
          </c:cat>
          <c:val>
            <c:numRef>
              <c:f>'Frequency Distributions Charts'!$E$3:$E$34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15</c:v>
                </c:pt>
                <c:pt idx="14">
                  <c:v>17</c:v>
                </c:pt>
                <c:pt idx="15">
                  <c:v>22</c:v>
                </c:pt>
                <c:pt idx="16">
                  <c:v>27</c:v>
                </c:pt>
                <c:pt idx="17">
                  <c:v>33</c:v>
                </c:pt>
                <c:pt idx="18">
                  <c:v>32</c:v>
                </c:pt>
                <c:pt idx="19">
                  <c:v>27</c:v>
                </c:pt>
                <c:pt idx="20">
                  <c:v>28</c:v>
                </c:pt>
                <c:pt idx="21">
                  <c:v>15</c:v>
                </c:pt>
                <c:pt idx="22">
                  <c:v>4</c:v>
                </c:pt>
                <c:pt idx="23">
                  <c:v>3</c:v>
                </c:pt>
                <c:pt idx="24">
                  <c:v>5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EFF-46E2-B616-FF7DFDCED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41505529"/>
        <c:axId val="1535089418"/>
      </c:barChart>
      <c:catAx>
        <c:axId val="1941505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Monthly Excess Return 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5089418"/>
        <c:crosses val="autoZero"/>
        <c:auto val="1"/>
        <c:lblAlgn val="ctr"/>
        <c:lblOffset val="100"/>
        <c:noMultiLvlLbl val="1"/>
      </c:catAx>
      <c:valAx>
        <c:axId val="15350894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150552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6191250" cy="3724275"/>
    <xdr:graphicFrame macro="">
      <xdr:nvGraphicFramePr>
        <xdr:cNvPr id="178261768" name="Chart 1">
          <a:extLst>
            <a:ext uri="{FF2B5EF4-FFF2-40B4-BE49-F238E27FC236}">
              <a16:creationId xmlns:a16="http://schemas.microsoft.com/office/drawing/2014/main" id="{00000000-0008-0000-0300-0000080FA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514350</xdr:colOff>
      <xdr:row>20</xdr:row>
      <xdr:rowOff>114300</xdr:rowOff>
    </xdr:from>
    <xdr:ext cx="5200650" cy="352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750438" y="3608550"/>
          <a:ext cx="5191125" cy="3429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1: Annual Returns Comparison: USPH vs BG (2005–2025)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248400" cy="3362325"/>
    <xdr:graphicFrame macro="">
      <xdr:nvGraphicFramePr>
        <xdr:cNvPr id="957883539" name="Chart 2">
          <a:extLst>
            <a:ext uri="{FF2B5EF4-FFF2-40B4-BE49-F238E27FC236}">
              <a16:creationId xmlns:a16="http://schemas.microsoft.com/office/drawing/2014/main" id="{00000000-0008-0000-0400-000093241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18</xdr:row>
      <xdr:rowOff>133350</xdr:rowOff>
    </xdr:from>
    <xdr:ext cx="5734050" cy="3619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483738" y="3599025"/>
          <a:ext cx="5724525" cy="3619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2: Rescaled Stock Price Performance of USPH and BG (2005–2025)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916172831" name="Chart 3">
          <a:extLst>
            <a:ext uri="{FF2B5EF4-FFF2-40B4-BE49-F238E27FC236}">
              <a16:creationId xmlns:a16="http://schemas.microsoft.com/office/drawing/2014/main" id="{00000000-0008-0000-0500-00001FB09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392100364" name="Chart 4">
          <a:extLst>
            <a:ext uri="{FF2B5EF4-FFF2-40B4-BE49-F238E27FC236}">
              <a16:creationId xmlns:a16="http://schemas.microsoft.com/office/drawing/2014/main" id="{00000000-0008-0000-0600-00000CFA5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552449</xdr:colOff>
      <xdr:row>5</xdr:row>
      <xdr:rowOff>28575</xdr:rowOff>
    </xdr:from>
    <xdr:ext cx="7257103" cy="4524375"/>
    <xdr:graphicFrame macro="">
      <xdr:nvGraphicFramePr>
        <xdr:cNvPr id="1799399743" name="Chart 5">
          <a:extLst>
            <a:ext uri="{FF2B5EF4-FFF2-40B4-BE49-F238E27FC236}">
              <a16:creationId xmlns:a16="http://schemas.microsoft.com/office/drawing/2014/main" id="{00000000-0008-0000-0700-00003FA94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685800</xdr:colOff>
      <xdr:row>30</xdr:row>
      <xdr:rowOff>142875</xdr:rowOff>
    </xdr:from>
    <xdr:ext cx="7085842" cy="4095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7016845" y="5545114"/>
          <a:ext cx="7085842" cy="4095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3: Market Frontier and Capital Market Line</a:t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9525</xdr:rowOff>
    </xdr:from>
    <xdr:ext cx="5953125" cy="2943225"/>
    <xdr:graphicFrame macro="">
      <xdr:nvGraphicFramePr>
        <xdr:cNvPr id="1433941951" name="Chart 6">
          <a:extLst>
            <a:ext uri="{FF2B5EF4-FFF2-40B4-BE49-F238E27FC236}">
              <a16:creationId xmlns:a16="http://schemas.microsoft.com/office/drawing/2014/main" id="{00000000-0008-0000-0800-0000BF377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22</xdr:row>
      <xdr:rowOff>133350</xdr:rowOff>
    </xdr:from>
    <xdr:ext cx="6010275" cy="2857500"/>
    <xdr:graphicFrame macro="">
      <xdr:nvGraphicFramePr>
        <xdr:cNvPr id="1756510111" name="Chart 7">
          <a:extLst>
            <a:ext uri="{FF2B5EF4-FFF2-40B4-BE49-F238E27FC236}">
              <a16:creationId xmlns:a16="http://schemas.microsoft.com/office/drawing/2014/main" id="{00000000-0008-0000-0800-00009F37B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38100</xdr:colOff>
      <xdr:row>18</xdr:row>
      <xdr:rowOff>104775</xdr:rowOff>
    </xdr:from>
    <xdr:ext cx="5915025" cy="3714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2393250" y="3599025"/>
          <a:ext cx="5905500" cy="3619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4: Frequency Distribution of Monthly Excess Returns for USPH (2005–2025)</a:t>
          </a:r>
          <a:endParaRPr sz="1400"/>
        </a:p>
      </xdr:txBody>
    </xdr:sp>
    <xdr:clientData fLocksWithSheet="0"/>
  </xdr:oneCellAnchor>
  <xdr:oneCellAnchor>
    <xdr:from>
      <xdr:col>7</xdr:col>
      <xdr:colOff>28575</xdr:colOff>
      <xdr:row>39</xdr:row>
      <xdr:rowOff>28575</xdr:rowOff>
    </xdr:from>
    <xdr:ext cx="5915025" cy="3714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2393250" y="3599025"/>
          <a:ext cx="5905500" cy="3619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5: Frequency Distribution of Monthly Excess Returns for BG (2005–2025)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15</xdr:row>
      <xdr:rowOff>114300</xdr:rowOff>
    </xdr:from>
    <xdr:ext cx="4410075" cy="2857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3140963" y="3641888"/>
          <a:ext cx="4410075" cy="2762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Table 1: T-Test Analysis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16</xdr:row>
      <xdr:rowOff>123825</xdr:rowOff>
    </xdr:from>
    <xdr:ext cx="3629025" cy="3429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3536250" y="3613313"/>
          <a:ext cx="3619500" cy="3333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Table 2: Bull Market Analysis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15</xdr:row>
      <xdr:rowOff>47625</xdr:rowOff>
    </xdr:from>
    <xdr:ext cx="4895850" cy="295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2902838" y="3637125"/>
          <a:ext cx="4886325" cy="2857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Table 2: Bear Market Analysis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opLeftCell="A27" workbookViewId="0">
      <selection activeCell="D39" sqref="D39"/>
    </sheetView>
  </sheetViews>
  <sheetFormatPr defaultColWidth="14.453125" defaultRowHeight="15" customHeight="1" x14ac:dyDescent="0.35"/>
  <cols>
    <col min="1" max="1" width="8.81640625" customWidth="1"/>
    <col min="2" max="2" width="43.81640625" customWidth="1"/>
    <col min="3" max="4" width="11.7265625" customWidth="1"/>
    <col min="5" max="5" width="16.36328125" customWidth="1"/>
    <col min="6" max="6" width="2.81640625" customWidth="1"/>
    <col min="7" max="7" width="9.26953125" customWidth="1"/>
    <col min="8" max="26" width="8.81640625" customWidth="1"/>
  </cols>
  <sheetData>
    <row r="1" spans="1:26" ht="114" customHeight="1" x14ac:dyDescent="0.5">
      <c r="A1" s="133" t="e">
        <v>#VALUE!</v>
      </c>
      <c r="B1" s="134"/>
      <c r="C1" s="134"/>
      <c r="D1" s="134"/>
      <c r="E1" s="134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5">
      <c r="A2" s="4"/>
      <c r="B2" s="5"/>
      <c r="C2" s="6"/>
      <c r="D2" s="6"/>
      <c r="E2" s="6"/>
      <c r="F2" s="3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customHeight="1" x14ac:dyDescent="0.35">
      <c r="A3" s="131" t="s">
        <v>1</v>
      </c>
      <c r="B3" s="132"/>
      <c r="C3" s="7" t="s">
        <v>2</v>
      </c>
      <c r="D3" s="8"/>
      <c r="E3" s="9"/>
      <c r="F3" s="3"/>
      <c r="G3" s="6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35">
      <c r="A4" s="10" t="s">
        <v>3</v>
      </c>
      <c r="B4" s="11" t="s">
        <v>4</v>
      </c>
      <c r="C4" s="12" t="s">
        <v>5</v>
      </c>
      <c r="D4" s="13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customHeight="1" x14ac:dyDescent="0.35">
      <c r="A5" s="10" t="s">
        <v>6</v>
      </c>
      <c r="B5" s="11" t="s">
        <v>7</v>
      </c>
      <c r="C5" s="12" t="s">
        <v>7</v>
      </c>
      <c r="D5" s="13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customHeight="1" x14ac:dyDescent="0.35">
      <c r="A6" s="15" t="s">
        <v>8</v>
      </c>
      <c r="B6" s="16" t="s">
        <v>9</v>
      </c>
      <c r="C6" s="17" t="s">
        <v>9</v>
      </c>
      <c r="D6" s="18"/>
      <c r="E6" s="19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6.75" customHeight="1" x14ac:dyDescent="0.35">
      <c r="A7" s="4"/>
      <c r="B7" s="5"/>
      <c r="C7" s="20"/>
      <c r="D7" s="20"/>
      <c r="E7" s="6"/>
      <c r="F7" s="3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customHeight="1" x14ac:dyDescent="0.35">
      <c r="A8" s="131" t="s">
        <v>10</v>
      </c>
      <c r="B8" s="132"/>
      <c r="C8" s="21" t="s">
        <v>11</v>
      </c>
      <c r="D8" s="21" t="s">
        <v>12</v>
      </c>
      <c r="E8" s="22"/>
      <c r="F8" s="3"/>
      <c r="G8" s="6">
        <v>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customHeight="1" x14ac:dyDescent="0.35">
      <c r="A9" s="10" t="s">
        <v>13</v>
      </c>
      <c r="B9" s="11" t="s">
        <v>14</v>
      </c>
      <c r="C9" s="23">
        <v>3.2279371543575888</v>
      </c>
      <c r="D9" s="23">
        <v>0.57357358895286326</v>
      </c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customHeight="1" x14ac:dyDescent="0.35">
      <c r="A10" s="10" t="s">
        <v>15</v>
      </c>
      <c r="B10" s="11" t="s">
        <v>16</v>
      </c>
      <c r="C10" s="24">
        <v>7.4747456921960609E-2</v>
      </c>
      <c r="D10" s="24">
        <v>2.2926319274171325E-2</v>
      </c>
      <c r="E10" s="1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customHeight="1" x14ac:dyDescent="0.35">
      <c r="A11" s="10" t="s">
        <v>17</v>
      </c>
      <c r="B11" s="11" t="str">
        <f>"Number of years "&amp; C8 &amp;" beats "&amp; D8</f>
        <v>Number of years USPH beats BG</v>
      </c>
      <c r="C11" s="12">
        <v>14</v>
      </c>
      <c r="D11" s="13"/>
      <c r="E11" s="1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customHeight="1" x14ac:dyDescent="0.35">
      <c r="A12" s="15" t="s">
        <v>18</v>
      </c>
      <c r="B12" s="16" t="s">
        <v>19</v>
      </c>
      <c r="C12" s="17" t="s">
        <v>20</v>
      </c>
      <c r="D12" s="18"/>
      <c r="E12" s="19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.5" customHeight="1" x14ac:dyDescent="0.35">
      <c r="A13" s="4"/>
      <c r="B13" s="5"/>
      <c r="C13" s="20"/>
      <c r="D13" s="20"/>
      <c r="E13" s="6"/>
      <c r="F13" s="3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customHeight="1" x14ac:dyDescent="0.35">
      <c r="A14" s="131" t="s">
        <v>21</v>
      </c>
      <c r="B14" s="132"/>
      <c r="C14" s="21" t="s">
        <v>22</v>
      </c>
      <c r="D14" s="21"/>
      <c r="E14" s="22"/>
      <c r="F14" s="3"/>
      <c r="G14" s="6">
        <v>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 x14ac:dyDescent="0.35">
      <c r="A15" s="15" t="s">
        <v>23</v>
      </c>
      <c r="B15" s="16" t="s">
        <v>24</v>
      </c>
      <c r="C15" s="17" t="s">
        <v>25</v>
      </c>
      <c r="D15" s="18"/>
      <c r="E15" s="19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7.5" customHeight="1" x14ac:dyDescent="0.35">
      <c r="A16" s="4"/>
      <c r="B16" s="5"/>
      <c r="C16" s="20"/>
      <c r="D16" s="20"/>
      <c r="E16" s="6"/>
      <c r="F16" s="3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customHeight="1" x14ac:dyDescent="0.35">
      <c r="A17" s="131" t="s">
        <v>26</v>
      </c>
      <c r="B17" s="132"/>
      <c r="C17" s="21" t="s">
        <v>11</v>
      </c>
      <c r="D17" s="21" t="s">
        <v>12</v>
      </c>
      <c r="E17" s="25"/>
      <c r="F17" s="3"/>
      <c r="G17" s="6">
        <v>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customHeight="1" x14ac:dyDescent="0.35">
      <c r="A18" s="10" t="s">
        <v>27</v>
      </c>
      <c r="B18" s="11" t="s">
        <v>28</v>
      </c>
      <c r="C18" s="24">
        <v>1.1095016095184635E-2</v>
      </c>
      <c r="D18" s="24">
        <v>6.5523233642478546E-3</v>
      </c>
      <c r="E18" s="1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customHeight="1" x14ac:dyDescent="0.35">
      <c r="A19" s="10"/>
      <c r="B19" s="11" t="s">
        <v>29</v>
      </c>
      <c r="C19" s="24">
        <v>1.1586718604616787E-2</v>
      </c>
      <c r="D19" s="24">
        <v>7.4499800004526181E-3</v>
      </c>
      <c r="E19" s="1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customHeight="1" x14ac:dyDescent="0.35">
      <c r="A20" s="10"/>
      <c r="B20" s="11" t="s">
        <v>30</v>
      </c>
      <c r="C20" s="24">
        <v>-0.36536128272942026</v>
      </c>
      <c r="D20" s="24">
        <v>-0.39285467501166438</v>
      </c>
      <c r="E20" s="1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customHeight="1" x14ac:dyDescent="0.35">
      <c r="A21" s="10"/>
      <c r="B21" s="11" t="s">
        <v>31</v>
      </c>
      <c r="C21" s="24">
        <v>0.33886416021182808</v>
      </c>
      <c r="D21" s="24">
        <v>0.31784974074598837</v>
      </c>
      <c r="E21" s="1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customHeight="1" x14ac:dyDescent="0.35">
      <c r="A22" s="10"/>
      <c r="B22" s="11" t="s">
        <v>32</v>
      </c>
      <c r="C22" s="26">
        <v>8.6356035015461262E-3</v>
      </c>
      <c r="D22" s="26">
        <v>7.5645160383673695E-3</v>
      </c>
      <c r="E22" s="1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 x14ac:dyDescent="0.35">
      <c r="A23" s="10"/>
      <c r="B23" s="11" t="s">
        <v>33</v>
      </c>
      <c r="C23" s="24">
        <v>9.2927947903448965E-2</v>
      </c>
      <c r="D23" s="24">
        <v>8.6974226287834078E-2</v>
      </c>
      <c r="E23" s="1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customHeight="1" x14ac:dyDescent="0.35">
      <c r="A24" s="10"/>
      <c r="B24" s="11" t="s">
        <v>34</v>
      </c>
      <c r="C24" s="27">
        <v>1.6311828510267037</v>
      </c>
      <c r="D24" s="27">
        <v>2.9047535799462287</v>
      </c>
      <c r="E24" s="1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customHeight="1" x14ac:dyDescent="0.35">
      <c r="A25" s="10"/>
      <c r="B25" s="11" t="s">
        <v>35</v>
      </c>
      <c r="C25" s="27">
        <v>-0.20587105000696934</v>
      </c>
      <c r="D25" s="27">
        <v>-0.14500233078662161</v>
      </c>
      <c r="E25" s="1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customHeight="1" x14ac:dyDescent="0.35">
      <c r="A26" s="10" t="s">
        <v>36</v>
      </c>
      <c r="B26" s="11" t="s">
        <v>37</v>
      </c>
      <c r="C26" s="28">
        <v>44165</v>
      </c>
      <c r="D26" s="28">
        <v>39964</v>
      </c>
      <c r="E26" s="1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customHeight="1" x14ac:dyDescent="0.35">
      <c r="A27" s="15"/>
      <c r="B27" s="16" t="s">
        <v>38</v>
      </c>
      <c r="C27" s="29">
        <v>44804</v>
      </c>
      <c r="D27" s="29">
        <v>39752</v>
      </c>
      <c r="E27" s="1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9.75" customHeight="1" x14ac:dyDescent="0.35">
      <c r="A28" s="4"/>
      <c r="B28" s="5"/>
      <c r="C28" s="20"/>
      <c r="D28" s="20"/>
      <c r="E28" s="6"/>
      <c r="F28" s="3"/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customHeight="1" x14ac:dyDescent="0.35">
      <c r="A29" s="131" t="s">
        <v>39</v>
      </c>
      <c r="B29" s="132"/>
      <c r="C29" s="21" t="s">
        <v>22</v>
      </c>
      <c r="D29" s="21"/>
      <c r="E29" s="22"/>
      <c r="F29" s="3"/>
      <c r="G29" s="6">
        <v>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customHeight="1" x14ac:dyDescent="0.35">
      <c r="A30" s="15" t="s">
        <v>40</v>
      </c>
      <c r="B30" s="16" t="s">
        <v>41</v>
      </c>
      <c r="C30" s="17" t="s">
        <v>41</v>
      </c>
      <c r="D30" s="18"/>
      <c r="E30" s="1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9" customHeight="1" x14ac:dyDescent="0.35">
      <c r="A31" s="4"/>
      <c r="B31" s="5"/>
      <c r="C31" s="20"/>
      <c r="D31" s="20"/>
      <c r="E31" s="6"/>
      <c r="F31" s="3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customHeight="1" x14ac:dyDescent="0.35">
      <c r="A32" s="131" t="s">
        <v>42</v>
      </c>
      <c r="B32" s="132"/>
      <c r="C32" s="21" t="s">
        <v>11</v>
      </c>
      <c r="D32" s="21" t="s">
        <v>12</v>
      </c>
      <c r="E32" s="22" t="s">
        <v>43</v>
      </c>
      <c r="F32" s="3"/>
      <c r="G32" s="6"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customHeight="1" x14ac:dyDescent="0.35">
      <c r="A33" s="10" t="s">
        <v>44</v>
      </c>
      <c r="B33" s="11" t="s">
        <v>11</v>
      </c>
      <c r="C33" s="168">
        <f>'Data-Monthly'!L4</f>
        <v>1</v>
      </c>
      <c r="D33" s="169">
        <f>'Data-Monthly'!M4</f>
        <v>0.20706094047889106</v>
      </c>
      <c r="E33" s="170">
        <f>'Data-Monthly'!N4</f>
        <v>0.56034914603317176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35">
      <c r="A34" s="10"/>
      <c r="B34" s="11" t="s">
        <v>12</v>
      </c>
      <c r="C34" s="168">
        <f>'Data-Monthly'!L5</f>
        <v>0.20706094047889106</v>
      </c>
      <c r="D34" s="168">
        <f>'Data-Monthly'!M5</f>
        <v>1</v>
      </c>
      <c r="E34" s="170">
        <f>'Data-Monthly'!N5</f>
        <v>0.43068717192130118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 x14ac:dyDescent="0.35">
      <c r="A35" s="15"/>
      <c r="B35" s="16" t="s">
        <v>45</v>
      </c>
      <c r="C35" s="171">
        <f>'Data-Monthly'!L6</f>
        <v>0.56034914603317176</v>
      </c>
      <c r="D35" s="171">
        <f>'Data-Monthly'!M6</f>
        <v>0.43068717192130118</v>
      </c>
      <c r="E35" s="172">
        <f>'Data-Monthly'!N6</f>
        <v>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9" customHeight="1" x14ac:dyDescent="0.35">
      <c r="A36" s="4"/>
      <c r="B36" s="5"/>
      <c r="C36" s="20"/>
      <c r="D36" s="20"/>
      <c r="E36" s="6"/>
      <c r="F36" s="3"/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 x14ac:dyDescent="0.35">
      <c r="A37" s="131" t="s">
        <v>46</v>
      </c>
      <c r="B37" s="132"/>
      <c r="C37" s="21" t="s">
        <v>11</v>
      </c>
      <c r="D37" s="21" t="s">
        <v>12</v>
      </c>
      <c r="E37" s="22"/>
      <c r="F37" s="3"/>
      <c r="G37" s="6">
        <v>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 x14ac:dyDescent="0.35">
      <c r="A38" s="10" t="s">
        <v>47</v>
      </c>
      <c r="B38" s="11" t="s">
        <v>48</v>
      </c>
      <c r="C38" s="30">
        <v>1.357521874044601E-3</v>
      </c>
      <c r="D38" s="31">
        <v>-4.5245925187289461E-4</v>
      </c>
      <c r="E38" s="1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 x14ac:dyDescent="0.35">
      <c r="A39" s="10"/>
      <c r="B39" s="11" t="s">
        <v>49</v>
      </c>
      <c r="C39" s="27">
        <v>1.1763541654262644</v>
      </c>
      <c r="D39" s="27">
        <v>0.84622440036882551</v>
      </c>
      <c r="E39" s="1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customHeight="1" x14ac:dyDescent="0.35">
      <c r="A40" s="15"/>
      <c r="B40" s="16" t="s">
        <v>50</v>
      </c>
      <c r="C40" s="32">
        <v>0.31123610989970374</v>
      </c>
      <c r="D40" s="32">
        <v>0.18222032134293864</v>
      </c>
      <c r="E40" s="1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9" customHeight="1" x14ac:dyDescent="0.35">
      <c r="A41" s="4"/>
      <c r="B41" s="5"/>
      <c r="C41" s="6"/>
      <c r="D41" s="6"/>
      <c r="E41" s="6"/>
      <c r="F41" s="3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customHeight="1" x14ac:dyDescent="0.35">
      <c r="A42" s="33"/>
      <c r="B42" s="34" t="s">
        <v>51</v>
      </c>
      <c r="C42" s="35"/>
      <c r="D42" s="35"/>
      <c r="E42" s="36"/>
      <c r="F42" s="3"/>
      <c r="G42" s="6">
        <v>10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7.5" customHeight="1" x14ac:dyDescent="0.35">
      <c r="A43" s="4"/>
      <c r="B43" s="5"/>
      <c r="C43" s="6"/>
      <c r="D43" s="6"/>
      <c r="E43" s="6"/>
      <c r="F43" s="3"/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customHeight="1" x14ac:dyDescent="0.35">
      <c r="A44" s="33"/>
      <c r="B44" s="34" t="s">
        <v>52</v>
      </c>
      <c r="C44" s="35"/>
      <c r="D44" s="35"/>
      <c r="E44" s="37"/>
      <c r="F44" s="3"/>
      <c r="G44" s="6">
        <f>SUM(G3:G42)</f>
        <v>40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5">
      <c r="A45" s="4"/>
      <c r="B45" s="5"/>
      <c r="C45" s="6"/>
      <c r="D45" s="6"/>
      <c r="E45" s="6"/>
      <c r="F45" s="3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5">
      <c r="A46" s="4"/>
      <c r="B46" s="5"/>
      <c r="C46" s="6"/>
      <c r="D46" s="6"/>
      <c r="E46" s="6"/>
      <c r="F46" s="3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5">
      <c r="A47" s="4"/>
      <c r="B47" s="5"/>
      <c r="C47" s="6"/>
      <c r="D47" s="6"/>
      <c r="E47" s="6"/>
      <c r="F47" s="3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5">
      <c r="A48" s="4"/>
      <c r="B48" s="5"/>
      <c r="C48" s="6"/>
      <c r="D48" s="6"/>
      <c r="E48" s="6"/>
      <c r="F48" s="3"/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5">
      <c r="A49" s="4"/>
      <c r="B49" s="5"/>
      <c r="C49" s="6"/>
      <c r="D49" s="6"/>
      <c r="E49" s="6"/>
      <c r="F49" s="3"/>
      <c r="G49" s="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5">
      <c r="A50" s="4"/>
      <c r="B50" s="5"/>
      <c r="C50" s="6"/>
      <c r="D50" s="6"/>
      <c r="E50" s="6"/>
      <c r="F50" s="3"/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5">
      <c r="A51" s="4"/>
      <c r="B51" s="5"/>
      <c r="C51" s="6"/>
      <c r="D51" s="6"/>
      <c r="E51" s="6"/>
      <c r="F51" s="3"/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5">
      <c r="A52" s="4"/>
      <c r="B52" s="5"/>
      <c r="C52" s="6"/>
      <c r="D52" s="6"/>
      <c r="E52" s="6"/>
      <c r="F52" s="3"/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5">
      <c r="A53" s="4"/>
      <c r="B53" s="5"/>
      <c r="C53" s="6"/>
      <c r="D53" s="6"/>
      <c r="E53" s="6"/>
      <c r="F53" s="3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5">
      <c r="A54" s="4"/>
      <c r="B54" s="5"/>
      <c r="C54" s="6"/>
      <c r="D54" s="6"/>
      <c r="E54" s="6"/>
      <c r="F54" s="3"/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5">
      <c r="A55" s="4"/>
      <c r="B55" s="5"/>
      <c r="C55" s="6"/>
      <c r="D55" s="6"/>
      <c r="E55" s="6"/>
      <c r="F55" s="3"/>
      <c r="G55" s="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5">
      <c r="A56" s="4"/>
      <c r="B56" s="5"/>
      <c r="C56" s="6"/>
      <c r="D56" s="6"/>
      <c r="E56" s="6"/>
      <c r="F56" s="3"/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5">
      <c r="A57" s="4"/>
      <c r="B57" s="5"/>
      <c r="C57" s="6"/>
      <c r="D57" s="6"/>
      <c r="E57" s="6"/>
      <c r="F57" s="3"/>
      <c r="G57" s="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5">
      <c r="A58" s="4"/>
      <c r="B58" s="5"/>
      <c r="C58" s="6"/>
      <c r="D58" s="6"/>
      <c r="E58" s="6"/>
      <c r="F58" s="3"/>
      <c r="G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5">
      <c r="A59" s="4"/>
      <c r="B59" s="5"/>
      <c r="C59" s="6"/>
      <c r="D59" s="6"/>
      <c r="E59" s="6"/>
      <c r="F59" s="3"/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5">
      <c r="A60" s="4"/>
      <c r="B60" s="5"/>
      <c r="C60" s="6"/>
      <c r="D60" s="6"/>
      <c r="E60" s="6"/>
      <c r="F60" s="3"/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5">
      <c r="A61" s="4"/>
      <c r="B61" s="5"/>
      <c r="C61" s="6"/>
      <c r="D61" s="6"/>
      <c r="E61" s="6"/>
      <c r="F61" s="3"/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5">
      <c r="A62" s="4"/>
      <c r="B62" s="5"/>
      <c r="C62" s="6"/>
      <c r="D62" s="6"/>
      <c r="E62" s="6"/>
      <c r="F62" s="3"/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5">
      <c r="A63" s="4"/>
      <c r="B63" s="5"/>
      <c r="C63" s="6"/>
      <c r="D63" s="6"/>
      <c r="E63" s="6"/>
      <c r="F63" s="3"/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5">
      <c r="A64" s="4"/>
      <c r="B64" s="5"/>
      <c r="C64" s="6"/>
      <c r="D64" s="6"/>
      <c r="E64" s="6"/>
      <c r="F64" s="3"/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5">
      <c r="A65" s="4"/>
      <c r="B65" s="5"/>
      <c r="C65" s="6"/>
      <c r="D65" s="6"/>
      <c r="E65" s="6"/>
      <c r="F65" s="3"/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5">
      <c r="A66" s="4"/>
      <c r="B66" s="5"/>
      <c r="C66" s="6"/>
      <c r="D66" s="6"/>
      <c r="E66" s="6"/>
      <c r="F66" s="3"/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5">
      <c r="A67" s="4"/>
      <c r="B67" s="5"/>
      <c r="C67" s="6"/>
      <c r="D67" s="6"/>
      <c r="E67" s="6"/>
      <c r="F67" s="3"/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5">
      <c r="A68" s="4"/>
      <c r="B68" s="5"/>
      <c r="C68" s="6"/>
      <c r="D68" s="6"/>
      <c r="E68" s="6"/>
      <c r="F68" s="3"/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5">
      <c r="A69" s="4"/>
      <c r="B69" s="5"/>
      <c r="C69" s="6"/>
      <c r="D69" s="6"/>
      <c r="E69" s="6"/>
      <c r="F69" s="3"/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5">
      <c r="A70" s="4"/>
      <c r="B70" s="5"/>
      <c r="C70" s="6"/>
      <c r="D70" s="6"/>
      <c r="E70" s="6"/>
      <c r="F70" s="3"/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5">
      <c r="A71" s="4"/>
      <c r="B71" s="5"/>
      <c r="C71" s="6"/>
      <c r="D71" s="6"/>
      <c r="E71" s="6"/>
      <c r="F71" s="3"/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5">
      <c r="A72" s="4"/>
      <c r="B72" s="5"/>
      <c r="C72" s="6"/>
      <c r="D72" s="6"/>
      <c r="E72" s="6"/>
      <c r="F72" s="3"/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5">
      <c r="A73" s="4"/>
      <c r="B73" s="5"/>
      <c r="C73" s="6"/>
      <c r="D73" s="6"/>
      <c r="E73" s="6"/>
      <c r="F73" s="3"/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5">
      <c r="A74" s="4"/>
      <c r="B74" s="5"/>
      <c r="C74" s="6"/>
      <c r="D74" s="6"/>
      <c r="E74" s="6"/>
      <c r="F74" s="3"/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5">
      <c r="A75" s="4"/>
      <c r="B75" s="5"/>
      <c r="C75" s="6"/>
      <c r="D75" s="6"/>
      <c r="E75" s="6"/>
      <c r="F75" s="3"/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5">
      <c r="A76" s="4"/>
      <c r="B76" s="5"/>
      <c r="C76" s="6"/>
      <c r="D76" s="6"/>
      <c r="E76" s="6"/>
      <c r="F76" s="3"/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5">
      <c r="A77" s="4"/>
      <c r="B77" s="5"/>
      <c r="C77" s="6"/>
      <c r="D77" s="6"/>
      <c r="E77" s="6"/>
      <c r="F77" s="3"/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5">
      <c r="A78" s="4"/>
      <c r="B78" s="5"/>
      <c r="C78" s="6"/>
      <c r="D78" s="6"/>
      <c r="E78" s="6"/>
      <c r="F78" s="3"/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5">
      <c r="A79" s="4"/>
      <c r="B79" s="5"/>
      <c r="C79" s="6"/>
      <c r="D79" s="6"/>
      <c r="E79" s="6"/>
      <c r="F79" s="3"/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5">
      <c r="A80" s="4"/>
      <c r="B80" s="5"/>
      <c r="C80" s="6"/>
      <c r="D80" s="6"/>
      <c r="E80" s="6"/>
      <c r="F80" s="3"/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5">
      <c r="A81" s="4"/>
      <c r="B81" s="5"/>
      <c r="C81" s="6"/>
      <c r="D81" s="6"/>
      <c r="E81" s="6"/>
      <c r="F81" s="3"/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5">
      <c r="A82" s="4"/>
      <c r="B82" s="5"/>
      <c r="C82" s="6"/>
      <c r="D82" s="6"/>
      <c r="E82" s="6"/>
      <c r="F82" s="3"/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5">
      <c r="A83" s="4"/>
      <c r="B83" s="5"/>
      <c r="C83" s="6"/>
      <c r="D83" s="6"/>
      <c r="E83" s="6"/>
      <c r="F83" s="3"/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5">
      <c r="A84" s="4"/>
      <c r="B84" s="5"/>
      <c r="C84" s="6"/>
      <c r="D84" s="6"/>
      <c r="E84" s="6"/>
      <c r="F84" s="3"/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5">
      <c r="A85" s="4"/>
      <c r="B85" s="5"/>
      <c r="C85" s="6"/>
      <c r="D85" s="6"/>
      <c r="E85" s="6"/>
      <c r="F85" s="3"/>
      <c r="G85" s="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5">
      <c r="A86" s="4"/>
      <c r="B86" s="5"/>
      <c r="C86" s="6"/>
      <c r="D86" s="6"/>
      <c r="E86" s="6"/>
      <c r="F86" s="3"/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5">
      <c r="A87" s="4"/>
      <c r="B87" s="5"/>
      <c r="C87" s="6"/>
      <c r="D87" s="6"/>
      <c r="E87" s="6"/>
      <c r="F87" s="3"/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5">
      <c r="A88" s="4"/>
      <c r="B88" s="5"/>
      <c r="C88" s="6"/>
      <c r="D88" s="6"/>
      <c r="E88" s="6"/>
      <c r="F88" s="3"/>
      <c r="G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5">
      <c r="A89" s="4"/>
      <c r="B89" s="5"/>
      <c r="C89" s="6"/>
      <c r="D89" s="6"/>
      <c r="E89" s="6"/>
      <c r="F89" s="3"/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5">
      <c r="A90" s="4"/>
      <c r="B90" s="5"/>
      <c r="C90" s="6"/>
      <c r="D90" s="6"/>
      <c r="E90" s="6"/>
      <c r="F90" s="3"/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5">
      <c r="A91" s="4"/>
      <c r="B91" s="5"/>
      <c r="C91" s="6"/>
      <c r="D91" s="6"/>
      <c r="E91" s="6"/>
      <c r="F91" s="3"/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5">
      <c r="A92" s="4"/>
      <c r="B92" s="5"/>
      <c r="C92" s="6"/>
      <c r="D92" s="6"/>
      <c r="E92" s="6"/>
      <c r="F92" s="3"/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5">
      <c r="A93" s="4"/>
      <c r="B93" s="5"/>
      <c r="C93" s="6"/>
      <c r="D93" s="6"/>
      <c r="E93" s="6"/>
      <c r="F93" s="3"/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5">
      <c r="A94" s="4"/>
      <c r="B94" s="5"/>
      <c r="C94" s="6"/>
      <c r="D94" s="6"/>
      <c r="E94" s="6"/>
      <c r="F94" s="3"/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5">
      <c r="A95" s="4"/>
      <c r="B95" s="5"/>
      <c r="C95" s="6"/>
      <c r="D95" s="6"/>
      <c r="E95" s="6"/>
      <c r="F95" s="3"/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5">
      <c r="A96" s="4"/>
      <c r="B96" s="5"/>
      <c r="C96" s="6"/>
      <c r="D96" s="6"/>
      <c r="E96" s="6"/>
      <c r="F96" s="3"/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5">
      <c r="A97" s="4"/>
      <c r="B97" s="5"/>
      <c r="C97" s="6"/>
      <c r="D97" s="6"/>
      <c r="E97" s="6"/>
      <c r="F97" s="3"/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5">
      <c r="A98" s="4"/>
      <c r="B98" s="5"/>
      <c r="C98" s="6"/>
      <c r="D98" s="6"/>
      <c r="E98" s="6"/>
      <c r="F98" s="3"/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5">
      <c r="A99" s="4"/>
      <c r="B99" s="5"/>
      <c r="C99" s="6"/>
      <c r="D99" s="6"/>
      <c r="E99" s="6"/>
      <c r="F99" s="3"/>
      <c r="G99" s="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5">
      <c r="A100" s="4"/>
      <c r="B100" s="5"/>
      <c r="C100" s="6"/>
      <c r="D100" s="6"/>
      <c r="E100" s="6"/>
      <c r="F100" s="3"/>
      <c r="G100" s="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5">
      <c r="A101" s="4"/>
      <c r="B101" s="5"/>
      <c r="C101" s="6"/>
      <c r="D101" s="6"/>
      <c r="E101" s="6"/>
      <c r="F101" s="3"/>
      <c r="G101" s="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5">
      <c r="A102" s="4"/>
      <c r="B102" s="5"/>
      <c r="C102" s="6"/>
      <c r="D102" s="6"/>
      <c r="E102" s="6"/>
      <c r="F102" s="3"/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5">
      <c r="A103" s="4"/>
      <c r="B103" s="5"/>
      <c r="C103" s="6"/>
      <c r="D103" s="6"/>
      <c r="E103" s="6"/>
      <c r="F103" s="3"/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5">
      <c r="A104" s="4"/>
      <c r="B104" s="5"/>
      <c r="C104" s="6"/>
      <c r="D104" s="6"/>
      <c r="E104" s="6"/>
      <c r="F104" s="3"/>
      <c r="G104" s="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5">
      <c r="A105" s="4"/>
      <c r="B105" s="5"/>
      <c r="C105" s="6"/>
      <c r="D105" s="6"/>
      <c r="E105" s="6"/>
      <c r="F105" s="3"/>
      <c r="G105" s="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5">
      <c r="A106" s="4"/>
      <c r="B106" s="5"/>
      <c r="C106" s="6"/>
      <c r="D106" s="6"/>
      <c r="E106" s="6"/>
      <c r="F106" s="3"/>
      <c r="G106" s="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5">
      <c r="A107" s="4"/>
      <c r="B107" s="5"/>
      <c r="C107" s="6"/>
      <c r="D107" s="6"/>
      <c r="E107" s="6"/>
      <c r="F107" s="3"/>
      <c r="G107" s="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5">
      <c r="A108" s="4"/>
      <c r="B108" s="5"/>
      <c r="C108" s="6"/>
      <c r="D108" s="6"/>
      <c r="E108" s="6"/>
      <c r="F108" s="3"/>
      <c r="G108" s="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5">
      <c r="A109" s="4"/>
      <c r="B109" s="5"/>
      <c r="C109" s="6"/>
      <c r="D109" s="6"/>
      <c r="E109" s="6"/>
      <c r="F109" s="3"/>
      <c r="G109" s="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5">
      <c r="A110" s="4"/>
      <c r="B110" s="5"/>
      <c r="C110" s="6"/>
      <c r="D110" s="6"/>
      <c r="E110" s="6"/>
      <c r="F110" s="3"/>
      <c r="G110" s="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5">
      <c r="A111" s="4"/>
      <c r="B111" s="5"/>
      <c r="C111" s="6"/>
      <c r="D111" s="6"/>
      <c r="E111" s="6"/>
      <c r="F111" s="3"/>
      <c r="G111" s="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5">
      <c r="A112" s="4"/>
      <c r="B112" s="5"/>
      <c r="C112" s="6"/>
      <c r="D112" s="6"/>
      <c r="E112" s="6"/>
      <c r="F112" s="3"/>
      <c r="G112" s="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5">
      <c r="A113" s="4"/>
      <c r="B113" s="5"/>
      <c r="C113" s="6"/>
      <c r="D113" s="6"/>
      <c r="E113" s="6"/>
      <c r="F113" s="3"/>
      <c r="G113" s="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5">
      <c r="A114" s="4"/>
      <c r="B114" s="5"/>
      <c r="C114" s="6"/>
      <c r="D114" s="6"/>
      <c r="E114" s="6"/>
      <c r="F114" s="3"/>
      <c r="G114" s="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5">
      <c r="A115" s="4"/>
      <c r="B115" s="5"/>
      <c r="C115" s="6"/>
      <c r="D115" s="6"/>
      <c r="E115" s="6"/>
      <c r="F115" s="3"/>
      <c r="G115" s="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5">
      <c r="A116" s="4"/>
      <c r="B116" s="5"/>
      <c r="C116" s="6"/>
      <c r="D116" s="6"/>
      <c r="E116" s="6"/>
      <c r="F116" s="3"/>
      <c r="G116" s="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5">
      <c r="A117" s="4"/>
      <c r="B117" s="5"/>
      <c r="C117" s="6"/>
      <c r="D117" s="6"/>
      <c r="E117" s="6"/>
      <c r="F117" s="3"/>
      <c r="G117" s="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5">
      <c r="A118" s="4"/>
      <c r="B118" s="5"/>
      <c r="C118" s="6"/>
      <c r="D118" s="6"/>
      <c r="E118" s="6"/>
      <c r="F118" s="3"/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5">
      <c r="A119" s="4"/>
      <c r="B119" s="5"/>
      <c r="C119" s="6"/>
      <c r="D119" s="6"/>
      <c r="E119" s="6"/>
      <c r="F119" s="3"/>
      <c r="G119" s="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5">
      <c r="A120" s="4"/>
      <c r="B120" s="5"/>
      <c r="C120" s="6"/>
      <c r="D120" s="6"/>
      <c r="E120" s="6"/>
      <c r="F120" s="3"/>
      <c r="G120" s="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5">
      <c r="A121" s="4"/>
      <c r="B121" s="5"/>
      <c r="C121" s="6"/>
      <c r="D121" s="6"/>
      <c r="E121" s="6"/>
      <c r="F121" s="3"/>
      <c r="G121" s="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5">
      <c r="A122" s="4"/>
      <c r="B122" s="5"/>
      <c r="C122" s="6"/>
      <c r="D122" s="6"/>
      <c r="E122" s="6"/>
      <c r="F122" s="3"/>
      <c r="G122" s="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5">
      <c r="A123" s="4"/>
      <c r="B123" s="5"/>
      <c r="C123" s="6"/>
      <c r="D123" s="6"/>
      <c r="E123" s="6"/>
      <c r="F123" s="3"/>
      <c r="G123" s="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5">
      <c r="A124" s="4"/>
      <c r="B124" s="5"/>
      <c r="C124" s="6"/>
      <c r="D124" s="6"/>
      <c r="E124" s="6"/>
      <c r="F124" s="3"/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5">
      <c r="A125" s="4"/>
      <c r="B125" s="5"/>
      <c r="C125" s="6"/>
      <c r="D125" s="6"/>
      <c r="E125" s="6"/>
      <c r="F125" s="3"/>
      <c r="G125" s="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5">
      <c r="A126" s="4"/>
      <c r="B126" s="5"/>
      <c r="C126" s="6"/>
      <c r="D126" s="6"/>
      <c r="E126" s="6"/>
      <c r="F126" s="3"/>
      <c r="G126" s="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5">
      <c r="A127" s="4"/>
      <c r="B127" s="5"/>
      <c r="C127" s="6"/>
      <c r="D127" s="6"/>
      <c r="E127" s="6"/>
      <c r="F127" s="3"/>
      <c r="G127" s="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5">
      <c r="A128" s="4"/>
      <c r="B128" s="5"/>
      <c r="C128" s="6"/>
      <c r="D128" s="6"/>
      <c r="E128" s="6"/>
      <c r="F128" s="3"/>
      <c r="G128" s="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5">
      <c r="A129" s="4"/>
      <c r="B129" s="5"/>
      <c r="C129" s="6"/>
      <c r="D129" s="6"/>
      <c r="E129" s="6"/>
      <c r="F129" s="3"/>
      <c r="G129" s="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5">
      <c r="A130" s="4"/>
      <c r="B130" s="5"/>
      <c r="C130" s="6"/>
      <c r="D130" s="6"/>
      <c r="E130" s="6"/>
      <c r="F130" s="3"/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5">
      <c r="A131" s="4"/>
      <c r="B131" s="5"/>
      <c r="C131" s="6"/>
      <c r="D131" s="6"/>
      <c r="E131" s="6"/>
      <c r="F131" s="3"/>
      <c r="G131" s="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5">
      <c r="A132" s="4"/>
      <c r="B132" s="5"/>
      <c r="C132" s="6"/>
      <c r="D132" s="6"/>
      <c r="E132" s="6"/>
      <c r="F132" s="3"/>
      <c r="G132" s="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5">
      <c r="A133" s="4"/>
      <c r="B133" s="5"/>
      <c r="C133" s="6"/>
      <c r="D133" s="6"/>
      <c r="E133" s="6"/>
      <c r="F133" s="3"/>
      <c r="G133" s="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5">
      <c r="A134" s="4"/>
      <c r="B134" s="5"/>
      <c r="C134" s="6"/>
      <c r="D134" s="6"/>
      <c r="E134" s="6"/>
      <c r="F134" s="3"/>
      <c r="G134" s="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5">
      <c r="A135" s="4"/>
      <c r="B135" s="5"/>
      <c r="C135" s="6"/>
      <c r="D135" s="6"/>
      <c r="E135" s="6"/>
      <c r="F135" s="3"/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5">
      <c r="A136" s="4"/>
      <c r="B136" s="5"/>
      <c r="C136" s="6"/>
      <c r="D136" s="6"/>
      <c r="E136" s="6"/>
      <c r="F136" s="3"/>
      <c r="G136" s="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5">
      <c r="A137" s="4"/>
      <c r="B137" s="5"/>
      <c r="C137" s="6"/>
      <c r="D137" s="6"/>
      <c r="E137" s="6"/>
      <c r="F137" s="3"/>
      <c r="G137" s="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5">
      <c r="A138" s="4"/>
      <c r="B138" s="5"/>
      <c r="C138" s="6"/>
      <c r="D138" s="6"/>
      <c r="E138" s="6"/>
      <c r="F138" s="3"/>
      <c r="G138" s="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5">
      <c r="A139" s="4"/>
      <c r="B139" s="5"/>
      <c r="C139" s="6"/>
      <c r="D139" s="6"/>
      <c r="E139" s="6"/>
      <c r="F139" s="3"/>
      <c r="G139" s="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5">
      <c r="A140" s="4"/>
      <c r="B140" s="5"/>
      <c r="C140" s="6"/>
      <c r="D140" s="6"/>
      <c r="E140" s="6"/>
      <c r="F140" s="3"/>
      <c r="G140" s="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5">
      <c r="A141" s="4"/>
      <c r="B141" s="5"/>
      <c r="C141" s="6"/>
      <c r="D141" s="6"/>
      <c r="E141" s="6"/>
      <c r="F141" s="3"/>
      <c r="G141" s="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5">
      <c r="A142" s="4"/>
      <c r="B142" s="5"/>
      <c r="C142" s="6"/>
      <c r="D142" s="6"/>
      <c r="E142" s="6"/>
      <c r="F142" s="3"/>
      <c r="G142" s="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5">
      <c r="A143" s="4"/>
      <c r="B143" s="5"/>
      <c r="C143" s="6"/>
      <c r="D143" s="6"/>
      <c r="E143" s="6"/>
      <c r="F143" s="3"/>
      <c r="G143" s="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5">
      <c r="A144" s="4"/>
      <c r="B144" s="5"/>
      <c r="C144" s="6"/>
      <c r="D144" s="6"/>
      <c r="E144" s="6"/>
      <c r="F144" s="3"/>
      <c r="G144" s="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5">
      <c r="A145" s="4"/>
      <c r="B145" s="5"/>
      <c r="C145" s="6"/>
      <c r="D145" s="6"/>
      <c r="E145" s="6"/>
      <c r="F145" s="3"/>
      <c r="G145" s="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5">
      <c r="A146" s="4"/>
      <c r="B146" s="5"/>
      <c r="C146" s="6"/>
      <c r="D146" s="6"/>
      <c r="E146" s="6"/>
      <c r="F146" s="3"/>
      <c r="G146" s="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5">
      <c r="A147" s="4"/>
      <c r="B147" s="5"/>
      <c r="C147" s="6"/>
      <c r="D147" s="6"/>
      <c r="E147" s="6"/>
      <c r="F147" s="3"/>
      <c r="G147" s="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5">
      <c r="A148" s="4"/>
      <c r="B148" s="5"/>
      <c r="C148" s="6"/>
      <c r="D148" s="6"/>
      <c r="E148" s="6"/>
      <c r="F148" s="3"/>
      <c r="G148" s="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5">
      <c r="A149" s="4"/>
      <c r="B149" s="5"/>
      <c r="C149" s="6"/>
      <c r="D149" s="6"/>
      <c r="E149" s="6"/>
      <c r="F149" s="3"/>
      <c r="G149" s="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5">
      <c r="A150" s="4"/>
      <c r="B150" s="5"/>
      <c r="C150" s="6"/>
      <c r="D150" s="6"/>
      <c r="E150" s="6"/>
      <c r="F150" s="3"/>
      <c r="G150" s="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5">
      <c r="A151" s="4"/>
      <c r="B151" s="5"/>
      <c r="C151" s="6"/>
      <c r="D151" s="6"/>
      <c r="E151" s="6"/>
      <c r="F151" s="3"/>
      <c r="G151" s="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5">
      <c r="A152" s="4"/>
      <c r="B152" s="5"/>
      <c r="C152" s="6"/>
      <c r="D152" s="6"/>
      <c r="E152" s="6"/>
      <c r="F152" s="3"/>
      <c r="G152" s="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5">
      <c r="A153" s="4"/>
      <c r="B153" s="5"/>
      <c r="C153" s="6"/>
      <c r="D153" s="6"/>
      <c r="E153" s="6"/>
      <c r="F153" s="3"/>
      <c r="G153" s="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5">
      <c r="A154" s="4"/>
      <c r="B154" s="5"/>
      <c r="C154" s="6"/>
      <c r="D154" s="6"/>
      <c r="E154" s="6"/>
      <c r="F154" s="3"/>
      <c r="G154" s="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5">
      <c r="A155" s="4"/>
      <c r="B155" s="5"/>
      <c r="C155" s="6"/>
      <c r="D155" s="6"/>
      <c r="E155" s="6"/>
      <c r="F155" s="3"/>
      <c r="G155" s="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5">
      <c r="A156" s="4"/>
      <c r="B156" s="5"/>
      <c r="C156" s="6"/>
      <c r="D156" s="6"/>
      <c r="E156" s="6"/>
      <c r="F156" s="3"/>
      <c r="G156" s="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5">
      <c r="A157" s="4"/>
      <c r="B157" s="5"/>
      <c r="C157" s="6"/>
      <c r="D157" s="6"/>
      <c r="E157" s="6"/>
      <c r="F157" s="3"/>
      <c r="G157" s="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5">
      <c r="A158" s="4"/>
      <c r="B158" s="5"/>
      <c r="C158" s="6"/>
      <c r="D158" s="6"/>
      <c r="E158" s="6"/>
      <c r="F158" s="3"/>
      <c r="G158" s="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5">
      <c r="A159" s="4"/>
      <c r="B159" s="5"/>
      <c r="C159" s="6"/>
      <c r="D159" s="6"/>
      <c r="E159" s="6"/>
      <c r="F159" s="3"/>
      <c r="G159" s="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5">
      <c r="A160" s="4"/>
      <c r="B160" s="5"/>
      <c r="C160" s="6"/>
      <c r="D160" s="6"/>
      <c r="E160" s="6"/>
      <c r="F160" s="3"/>
      <c r="G160" s="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5">
      <c r="A161" s="4"/>
      <c r="B161" s="5"/>
      <c r="C161" s="6"/>
      <c r="D161" s="6"/>
      <c r="E161" s="6"/>
      <c r="F161" s="3"/>
      <c r="G161" s="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5">
      <c r="A162" s="4"/>
      <c r="B162" s="5"/>
      <c r="C162" s="6"/>
      <c r="D162" s="6"/>
      <c r="E162" s="6"/>
      <c r="F162" s="3"/>
      <c r="G162" s="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5">
      <c r="A163" s="4"/>
      <c r="B163" s="5"/>
      <c r="C163" s="6"/>
      <c r="D163" s="6"/>
      <c r="E163" s="6"/>
      <c r="F163" s="3"/>
      <c r="G163" s="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5">
      <c r="A164" s="4"/>
      <c r="B164" s="5"/>
      <c r="C164" s="6"/>
      <c r="D164" s="6"/>
      <c r="E164" s="6"/>
      <c r="F164" s="3"/>
      <c r="G164" s="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5">
      <c r="A165" s="4"/>
      <c r="B165" s="5"/>
      <c r="C165" s="6"/>
      <c r="D165" s="6"/>
      <c r="E165" s="6"/>
      <c r="F165" s="3"/>
      <c r="G165" s="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5">
      <c r="A166" s="4"/>
      <c r="B166" s="5"/>
      <c r="C166" s="6"/>
      <c r="D166" s="6"/>
      <c r="E166" s="6"/>
      <c r="F166" s="3"/>
      <c r="G166" s="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5">
      <c r="A167" s="4"/>
      <c r="B167" s="5"/>
      <c r="C167" s="6"/>
      <c r="D167" s="6"/>
      <c r="E167" s="6"/>
      <c r="F167" s="3"/>
      <c r="G167" s="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5">
      <c r="A168" s="4"/>
      <c r="B168" s="5"/>
      <c r="C168" s="6"/>
      <c r="D168" s="6"/>
      <c r="E168" s="6"/>
      <c r="F168" s="3"/>
      <c r="G168" s="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5">
      <c r="A169" s="4"/>
      <c r="B169" s="5"/>
      <c r="C169" s="6"/>
      <c r="D169" s="6"/>
      <c r="E169" s="6"/>
      <c r="F169" s="3"/>
      <c r="G169" s="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5">
      <c r="A170" s="4"/>
      <c r="B170" s="5"/>
      <c r="C170" s="6"/>
      <c r="D170" s="6"/>
      <c r="E170" s="6"/>
      <c r="F170" s="3"/>
      <c r="G170" s="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5">
      <c r="A171" s="4"/>
      <c r="B171" s="5"/>
      <c r="C171" s="6"/>
      <c r="D171" s="6"/>
      <c r="E171" s="6"/>
      <c r="F171" s="3"/>
      <c r="G171" s="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5">
      <c r="A172" s="4"/>
      <c r="B172" s="5"/>
      <c r="C172" s="6"/>
      <c r="D172" s="6"/>
      <c r="E172" s="6"/>
      <c r="F172" s="3"/>
      <c r="G172" s="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5">
      <c r="A173" s="4"/>
      <c r="B173" s="5"/>
      <c r="C173" s="6"/>
      <c r="D173" s="6"/>
      <c r="E173" s="6"/>
      <c r="F173" s="3"/>
      <c r="G173" s="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5">
      <c r="A174" s="4"/>
      <c r="B174" s="5"/>
      <c r="C174" s="6"/>
      <c r="D174" s="6"/>
      <c r="E174" s="6"/>
      <c r="F174" s="3"/>
      <c r="G174" s="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5">
      <c r="A175" s="4"/>
      <c r="B175" s="5"/>
      <c r="C175" s="6"/>
      <c r="D175" s="6"/>
      <c r="E175" s="6"/>
      <c r="F175" s="3"/>
      <c r="G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5">
      <c r="A176" s="4"/>
      <c r="B176" s="5"/>
      <c r="C176" s="6"/>
      <c r="D176" s="6"/>
      <c r="E176" s="6"/>
      <c r="F176" s="3"/>
      <c r="G176" s="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5">
      <c r="A177" s="4"/>
      <c r="B177" s="5"/>
      <c r="C177" s="6"/>
      <c r="D177" s="6"/>
      <c r="E177" s="6"/>
      <c r="F177" s="3"/>
      <c r="G177" s="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5">
      <c r="A178" s="4"/>
      <c r="B178" s="5"/>
      <c r="C178" s="6"/>
      <c r="D178" s="6"/>
      <c r="E178" s="6"/>
      <c r="F178" s="3"/>
      <c r="G178" s="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5">
      <c r="A179" s="4"/>
      <c r="B179" s="5"/>
      <c r="C179" s="6"/>
      <c r="D179" s="6"/>
      <c r="E179" s="6"/>
      <c r="F179" s="3"/>
      <c r="G179" s="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5">
      <c r="A180" s="4"/>
      <c r="B180" s="5"/>
      <c r="C180" s="6"/>
      <c r="D180" s="6"/>
      <c r="E180" s="6"/>
      <c r="F180" s="3"/>
      <c r="G180" s="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5">
      <c r="A181" s="4"/>
      <c r="B181" s="5"/>
      <c r="C181" s="6"/>
      <c r="D181" s="6"/>
      <c r="E181" s="6"/>
      <c r="F181" s="3"/>
      <c r="G181" s="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5">
      <c r="A182" s="4"/>
      <c r="B182" s="5"/>
      <c r="C182" s="6"/>
      <c r="D182" s="6"/>
      <c r="E182" s="6"/>
      <c r="F182" s="3"/>
      <c r="G182" s="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5">
      <c r="A183" s="4"/>
      <c r="B183" s="5"/>
      <c r="C183" s="6"/>
      <c r="D183" s="6"/>
      <c r="E183" s="6"/>
      <c r="F183" s="3"/>
      <c r="G183" s="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5">
      <c r="A184" s="4"/>
      <c r="B184" s="5"/>
      <c r="C184" s="6"/>
      <c r="D184" s="6"/>
      <c r="E184" s="6"/>
      <c r="F184" s="3"/>
      <c r="G184" s="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5">
      <c r="A185" s="4"/>
      <c r="B185" s="5"/>
      <c r="C185" s="6"/>
      <c r="D185" s="6"/>
      <c r="E185" s="6"/>
      <c r="F185" s="3"/>
      <c r="G185" s="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5">
      <c r="A186" s="4"/>
      <c r="B186" s="5"/>
      <c r="C186" s="6"/>
      <c r="D186" s="6"/>
      <c r="E186" s="6"/>
      <c r="F186" s="3"/>
      <c r="G186" s="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5">
      <c r="A187" s="4"/>
      <c r="B187" s="5"/>
      <c r="C187" s="6"/>
      <c r="D187" s="6"/>
      <c r="E187" s="6"/>
      <c r="F187" s="3"/>
      <c r="G187" s="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5">
      <c r="A188" s="4"/>
      <c r="B188" s="5"/>
      <c r="C188" s="6"/>
      <c r="D188" s="6"/>
      <c r="E188" s="6"/>
      <c r="F188" s="3"/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5">
      <c r="A189" s="4"/>
      <c r="B189" s="5"/>
      <c r="C189" s="6"/>
      <c r="D189" s="6"/>
      <c r="E189" s="6"/>
      <c r="F189" s="3"/>
      <c r="G189" s="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5">
      <c r="A190" s="4"/>
      <c r="B190" s="5"/>
      <c r="C190" s="6"/>
      <c r="D190" s="6"/>
      <c r="E190" s="6"/>
      <c r="F190" s="3"/>
      <c r="G190" s="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5">
      <c r="A191" s="4"/>
      <c r="B191" s="5"/>
      <c r="C191" s="6"/>
      <c r="D191" s="6"/>
      <c r="E191" s="6"/>
      <c r="F191" s="3"/>
      <c r="G191" s="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5">
      <c r="A192" s="4"/>
      <c r="B192" s="5"/>
      <c r="C192" s="6"/>
      <c r="D192" s="6"/>
      <c r="E192" s="6"/>
      <c r="F192" s="3"/>
      <c r="G192" s="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5">
      <c r="A193" s="4"/>
      <c r="B193" s="5"/>
      <c r="C193" s="6"/>
      <c r="D193" s="6"/>
      <c r="E193" s="6"/>
      <c r="F193" s="3"/>
      <c r="G193" s="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5">
      <c r="A194" s="4"/>
      <c r="B194" s="5"/>
      <c r="C194" s="6"/>
      <c r="D194" s="6"/>
      <c r="E194" s="6"/>
      <c r="F194" s="3"/>
      <c r="G194" s="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5">
      <c r="A195" s="4"/>
      <c r="B195" s="5"/>
      <c r="C195" s="6"/>
      <c r="D195" s="6"/>
      <c r="E195" s="6"/>
      <c r="F195" s="3"/>
      <c r="G195" s="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5">
      <c r="A196" s="4"/>
      <c r="B196" s="5"/>
      <c r="C196" s="6"/>
      <c r="D196" s="6"/>
      <c r="E196" s="6"/>
      <c r="F196" s="3"/>
      <c r="G196" s="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5">
      <c r="A197" s="4"/>
      <c r="B197" s="5"/>
      <c r="C197" s="6"/>
      <c r="D197" s="6"/>
      <c r="E197" s="6"/>
      <c r="F197" s="3"/>
      <c r="G197" s="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5">
      <c r="A198" s="4"/>
      <c r="B198" s="5"/>
      <c r="C198" s="6"/>
      <c r="D198" s="6"/>
      <c r="E198" s="6"/>
      <c r="F198" s="3"/>
      <c r="G198" s="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5">
      <c r="A199" s="4"/>
      <c r="B199" s="5"/>
      <c r="C199" s="6"/>
      <c r="D199" s="6"/>
      <c r="E199" s="6"/>
      <c r="F199" s="3"/>
      <c r="G199" s="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5">
      <c r="A200" s="4"/>
      <c r="B200" s="5"/>
      <c r="C200" s="6"/>
      <c r="D200" s="6"/>
      <c r="E200" s="6"/>
      <c r="F200" s="3"/>
      <c r="G200" s="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5">
      <c r="A201" s="4"/>
      <c r="B201" s="5"/>
      <c r="C201" s="6"/>
      <c r="D201" s="6"/>
      <c r="E201" s="6"/>
      <c r="F201" s="3"/>
      <c r="G201" s="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5">
      <c r="A202" s="4"/>
      <c r="B202" s="5"/>
      <c r="C202" s="6"/>
      <c r="D202" s="6"/>
      <c r="E202" s="6"/>
      <c r="F202" s="3"/>
      <c r="G202" s="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5">
      <c r="A203" s="4"/>
      <c r="B203" s="5"/>
      <c r="C203" s="6"/>
      <c r="D203" s="6"/>
      <c r="E203" s="6"/>
      <c r="F203" s="3"/>
      <c r="G203" s="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5">
      <c r="A204" s="4"/>
      <c r="B204" s="5"/>
      <c r="C204" s="6"/>
      <c r="D204" s="6"/>
      <c r="E204" s="6"/>
      <c r="F204" s="3"/>
      <c r="G204" s="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5">
      <c r="A205" s="4"/>
      <c r="B205" s="5"/>
      <c r="C205" s="6"/>
      <c r="D205" s="6"/>
      <c r="E205" s="6"/>
      <c r="F205" s="3"/>
      <c r="G205" s="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5">
      <c r="A206" s="4"/>
      <c r="B206" s="5"/>
      <c r="C206" s="6"/>
      <c r="D206" s="6"/>
      <c r="E206" s="6"/>
      <c r="F206" s="3"/>
      <c r="G206" s="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5">
      <c r="A207" s="4"/>
      <c r="B207" s="5"/>
      <c r="C207" s="6"/>
      <c r="D207" s="6"/>
      <c r="E207" s="6"/>
      <c r="F207" s="3"/>
      <c r="G207" s="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5">
      <c r="A208" s="4"/>
      <c r="B208" s="5"/>
      <c r="C208" s="6"/>
      <c r="D208" s="6"/>
      <c r="E208" s="6"/>
      <c r="F208" s="3"/>
      <c r="G208" s="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5">
      <c r="A209" s="4"/>
      <c r="B209" s="5"/>
      <c r="C209" s="6"/>
      <c r="D209" s="6"/>
      <c r="E209" s="6"/>
      <c r="F209" s="3"/>
      <c r="G209" s="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5">
      <c r="A210" s="4"/>
      <c r="B210" s="5"/>
      <c r="C210" s="6"/>
      <c r="D210" s="6"/>
      <c r="E210" s="6"/>
      <c r="F210" s="3"/>
      <c r="G210" s="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5">
      <c r="A211" s="4"/>
      <c r="B211" s="5"/>
      <c r="C211" s="6"/>
      <c r="D211" s="6"/>
      <c r="E211" s="6"/>
      <c r="F211" s="3"/>
      <c r="G211" s="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5">
      <c r="A212" s="4"/>
      <c r="B212" s="5"/>
      <c r="C212" s="6"/>
      <c r="D212" s="6"/>
      <c r="E212" s="6"/>
      <c r="F212" s="3"/>
      <c r="G212" s="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5">
      <c r="A213" s="4"/>
      <c r="B213" s="5"/>
      <c r="C213" s="6"/>
      <c r="D213" s="6"/>
      <c r="E213" s="6"/>
      <c r="F213" s="3"/>
      <c r="G213" s="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5">
      <c r="A214" s="4"/>
      <c r="B214" s="5"/>
      <c r="C214" s="6"/>
      <c r="D214" s="6"/>
      <c r="E214" s="6"/>
      <c r="F214" s="3"/>
      <c r="G214" s="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5">
      <c r="A215" s="4"/>
      <c r="B215" s="5"/>
      <c r="C215" s="6"/>
      <c r="D215" s="6"/>
      <c r="E215" s="6"/>
      <c r="F215" s="3"/>
      <c r="G215" s="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5">
      <c r="A216" s="4"/>
      <c r="B216" s="5"/>
      <c r="C216" s="6"/>
      <c r="D216" s="6"/>
      <c r="E216" s="6"/>
      <c r="F216" s="3"/>
      <c r="G216" s="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5">
      <c r="A217" s="4"/>
      <c r="B217" s="5"/>
      <c r="C217" s="6"/>
      <c r="D217" s="6"/>
      <c r="E217" s="6"/>
      <c r="F217" s="3"/>
      <c r="G217" s="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5">
      <c r="A218" s="4"/>
      <c r="B218" s="5"/>
      <c r="C218" s="6"/>
      <c r="D218" s="6"/>
      <c r="E218" s="6"/>
      <c r="F218" s="3"/>
      <c r="G218" s="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5">
      <c r="A219" s="4"/>
      <c r="B219" s="5"/>
      <c r="C219" s="6"/>
      <c r="D219" s="6"/>
      <c r="E219" s="6"/>
      <c r="F219" s="3"/>
      <c r="G219" s="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5">
      <c r="A220" s="4"/>
      <c r="B220" s="5"/>
      <c r="C220" s="6"/>
      <c r="D220" s="6"/>
      <c r="E220" s="6"/>
      <c r="F220" s="3"/>
      <c r="G220" s="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5">
      <c r="A221" s="4"/>
      <c r="B221" s="5"/>
      <c r="C221" s="6"/>
      <c r="D221" s="6"/>
      <c r="E221" s="6"/>
      <c r="F221" s="3"/>
      <c r="G221" s="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5">
      <c r="A222" s="4"/>
      <c r="B222" s="5"/>
      <c r="C222" s="6"/>
      <c r="D222" s="6"/>
      <c r="E222" s="6"/>
      <c r="F222" s="3"/>
      <c r="G222" s="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5">
      <c r="A223" s="4"/>
      <c r="B223" s="5"/>
      <c r="C223" s="6"/>
      <c r="D223" s="6"/>
      <c r="E223" s="6"/>
      <c r="F223" s="3"/>
      <c r="G223" s="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5">
      <c r="A224" s="4"/>
      <c r="B224" s="5"/>
      <c r="C224" s="6"/>
      <c r="D224" s="6"/>
      <c r="E224" s="6"/>
      <c r="F224" s="3"/>
      <c r="G224" s="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5">
      <c r="A225" s="4"/>
      <c r="B225" s="5"/>
      <c r="C225" s="6"/>
      <c r="D225" s="6"/>
      <c r="E225" s="6"/>
      <c r="F225" s="3"/>
      <c r="G225" s="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5">
      <c r="A226" s="4"/>
      <c r="B226" s="5"/>
      <c r="C226" s="6"/>
      <c r="D226" s="6"/>
      <c r="E226" s="6"/>
      <c r="F226" s="3"/>
      <c r="G226" s="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5">
      <c r="A227" s="4"/>
      <c r="B227" s="5"/>
      <c r="C227" s="6"/>
      <c r="D227" s="6"/>
      <c r="E227" s="6"/>
      <c r="F227" s="3"/>
      <c r="G227" s="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5">
      <c r="A228" s="4"/>
      <c r="B228" s="5"/>
      <c r="C228" s="6"/>
      <c r="D228" s="6"/>
      <c r="E228" s="6"/>
      <c r="F228" s="3"/>
      <c r="G228" s="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5">
      <c r="A229" s="4"/>
      <c r="B229" s="5"/>
      <c r="C229" s="6"/>
      <c r="D229" s="6"/>
      <c r="E229" s="6"/>
      <c r="F229" s="3"/>
      <c r="G229" s="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5">
      <c r="A230" s="4"/>
      <c r="B230" s="5"/>
      <c r="C230" s="6"/>
      <c r="D230" s="6"/>
      <c r="E230" s="6"/>
      <c r="F230" s="3"/>
      <c r="G230" s="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5">
      <c r="A231" s="4"/>
      <c r="B231" s="5"/>
      <c r="C231" s="6"/>
      <c r="D231" s="6"/>
      <c r="E231" s="6"/>
      <c r="F231" s="3"/>
      <c r="G231" s="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5">
      <c r="A232" s="4"/>
      <c r="B232" s="5"/>
      <c r="C232" s="6"/>
      <c r="D232" s="6"/>
      <c r="E232" s="6"/>
      <c r="F232" s="3"/>
      <c r="G232" s="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5">
      <c r="A233" s="4"/>
      <c r="B233" s="5"/>
      <c r="C233" s="6"/>
      <c r="D233" s="6"/>
      <c r="E233" s="6"/>
      <c r="F233" s="3"/>
      <c r="G233" s="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5">
      <c r="A234" s="4"/>
      <c r="B234" s="5"/>
      <c r="C234" s="6"/>
      <c r="D234" s="6"/>
      <c r="E234" s="6"/>
      <c r="F234" s="3"/>
      <c r="G234" s="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5">
      <c r="A235" s="4"/>
      <c r="B235" s="5"/>
      <c r="C235" s="6"/>
      <c r="D235" s="6"/>
      <c r="E235" s="6"/>
      <c r="F235" s="3"/>
      <c r="G235" s="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5">
      <c r="A236" s="4"/>
      <c r="B236" s="5"/>
      <c r="C236" s="6"/>
      <c r="D236" s="6"/>
      <c r="E236" s="6"/>
      <c r="F236" s="3"/>
      <c r="G236" s="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5">
      <c r="A237" s="4"/>
      <c r="B237" s="5"/>
      <c r="C237" s="6"/>
      <c r="D237" s="6"/>
      <c r="E237" s="6"/>
      <c r="F237" s="3"/>
      <c r="G237" s="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5">
      <c r="A238" s="4"/>
      <c r="B238" s="5"/>
      <c r="C238" s="6"/>
      <c r="D238" s="6"/>
      <c r="E238" s="6"/>
      <c r="F238" s="3"/>
      <c r="G238" s="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5">
      <c r="A239" s="4"/>
      <c r="B239" s="5"/>
      <c r="C239" s="6"/>
      <c r="D239" s="6"/>
      <c r="E239" s="6"/>
      <c r="F239" s="3"/>
      <c r="G239" s="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5">
      <c r="A240" s="4"/>
      <c r="B240" s="5"/>
      <c r="C240" s="6"/>
      <c r="D240" s="6"/>
      <c r="E240" s="6"/>
      <c r="F240" s="3"/>
      <c r="G240" s="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5">
      <c r="A241" s="4"/>
      <c r="B241" s="5"/>
      <c r="C241" s="6"/>
      <c r="D241" s="6"/>
      <c r="E241" s="6"/>
      <c r="F241" s="3"/>
      <c r="G241" s="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5">
      <c r="A242" s="4"/>
      <c r="B242" s="5"/>
      <c r="C242" s="6"/>
      <c r="D242" s="6"/>
      <c r="E242" s="6"/>
      <c r="F242" s="3"/>
      <c r="G242" s="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5">
      <c r="A243" s="4"/>
      <c r="B243" s="5"/>
      <c r="C243" s="6"/>
      <c r="D243" s="6"/>
      <c r="E243" s="6"/>
      <c r="F243" s="3"/>
      <c r="G243" s="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5">
      <c r="A244" s="4"/>
      <c r="B244" s="5"/>
      <c r="C244" s="6"/>
      <c r="D244" s="6"/>
      <c r="E244" s="6"/>
      <c r="F244" s="3"/>
      <c r="G244" s="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5">
      <c r="A245" s="4"/>
      <c r="B245" s="5"/>
      <c r="C245" s="6"/>
      <c r="D245" s="6"/>
      <c r="E245" s="6"/>
      <c r="F245" s="3"/>
      <c r="G245" s="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5">
      <c r="A246" s="4"/>
      <c r="B246" s="5"/>
      <c r="C246" s="6"/>
      <c r="D246" s="6"/>
      <c r="E246" s="6"/>
      <c r="F246" s="3"/>
      <c r="G246" s="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5">
      <c r="A247" s="4"/>
      <c r="B247" s="5"/>
      <c r="C247" s="6"/>
      <c r="D247" s="6"/>
      <c r="E247" s="6"/>
      <c r="F247" s="3"/>
      <c r="G247" s="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5">
      <c r="A248" s="4"/>
      <c r="B248" s="5"/>
      <c r="C248" s="6"/>
      <c r="D248" s="6"/>
      <c r="E248" s="6"/>
      <c r="F248" s="3"/>
      <c r="G248" s="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5">
      <c r="A249" s="4"/>
      <c r="B249" s="5"/>
      <c r="C249" s="6"/>
      <c r="D249" s="6"/>
      <c r="E249" s="6"/>
      <c r="F249" s="3"/>
      <c r="G249" s="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5">
      <c r="A250" s="4"/>
      <c r="B250" s="5"/>
      <c r="C250" s="6"/>
      <c r="D250" s="6"/>
      <c r="E250" s="6"/>
      <c r="F250" s="3"/>
      <c r="G250" s="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5">
      <c r="A251" s="4"/>
      <c r="B251" s="5"/>
      <c r="C251" s="6"/>
      <c r="D251" s="6"/>
      <c r="E251" s="6"/>
      <c r="F251" s="3"/>
      <c r="G251" s="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5">
      <c r="A252" s="4"/>
      <c r="B252" s="5"/>
      <c r="C252" s="6"/>
      <c r="D252" s="6"/>
      <c r="E252" s="6"/>
      <c r="F252" s="3"/>
      <c r="G252" s="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5">
      <c r="A253" s="4"/>
      <c r="B253" s="5"/>
      <c r="C253" s="6"/>
      <c r="D253" s="6"/>
      <c r="E253" s="6"/>
      <c r="F253" s="3"/>
      <c r="G253" s="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5">
      <c r="A254" s="4"/>
      <c r="B254" s="5"/>
      <c r="C254" s="6"/>
      <c r="D254" s="6"/>
      <c r="E254" s="6"/>
      <c r="F254" s="3"/>
      <c r="G254" s="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5">
      <c r="A255" s="4"/>
      <c r="B255" s="5"/>
      <c r="C255" s="6"/>
      <c r="D255" s="6"/>
      <c r="E255" s="6"/>
      <c r="F255" s="3"/>
      <c r="G255" s="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5">
      <c r="A256" s="4"/>
      <c r="B256" s="5"/>
      <c r="C256" s="6"/>
      <c r="D256" s="6"/>
      <c r="E256" s="6"/>
      <c r="F256" s="3"/>
      <c r="G256" s="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5">
      <c r="A257" s="4"/>
      <c r="B257" s="5"/>
      <c r="C257" s="6"/>
      <c r="D257" s="6"/>
      <c r="E257" s="6"/>
      <c r="F257" s="3"/>
      <c r="G257" s="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5">
      <c r="A258" s="4"/>
      <c r="B258" s="5"/>
      <c r="C258" s="6"/>
      <c r="D258" s="6"/>
      <c r="E258" s="6"/>
      <c r="F258" s="3"/>
      <c r="G258" s="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5">
      <c r="A259" s="4"/>
      <c r="B259" s="5"/>
      <c r="C259" s="6"/>
      <c r="D259" s="6"/>
      <c r="E259" s="6"/>
      <c r="F259" s="3"/>
      <c r="G259" s="6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5">
      <c r="A260" s="4"/>
      <c r="B260" s="5"/>
      <c r="C260" s="6"/>
      <c r="D260" s="6"/>
      <c r="E260" s="6"/>
      <c r="F260" s="3"/>
      <c r="G260" s="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5">
      <c r="A261" s="4"/>
      <c r="B261" s="5"/>
      <c r="C261" s="6"/>
      <c r="D261" s="6"/>
      <c r="E261" s="6"/>
      <c r="F261" s="3"/>
      <c r="G261" s="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5">
      <c r="A262" s="4"/>
      <c r="B262" s="5"/>
      <c r="C262" s="6"/>
      <c r="D262" s="6"/>
      <c r="E262" s="6"/>
      <c r="F262" s="3"/>
      <c r="G262" s="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5">
      <c r="A263" s="4"/>
      <c r="B263" s="5"/>
      <c r="C263" s="6"/>
      <c r="D263" s="6"/>
      <c r="E263" s="6"/>
      <c r="F263" s="3"/>
      <c r="G263" s="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5">
      <c r="A264" s="4"/>
      <c r="B264" s="5"/>
      <c r="C264" s="6"/>
      <c r="D264" s="6"/>
      <c r="E264" s="6"/>
      <c r="F264" s="3"/>
      <c r="G264" s="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5">
      <c r="A265" s="4"/>
      <c r="B265" s="5"/>
      <c r="C265" s="6"/>
      <c r="D265" s="6"/>
      <c r="E265" s="6"/>
      <c r="F265" s="3"/>
      <c r="G265" s="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5">
      <c r="A266" s="4"/>
      <c r="B266" s="5"/>
      <c r="C266" s="6"/>
      <c r="D266" s="6"/>
      <c r="E266" s="6"/>
      <c r="F266" s="3"/>
      <c r="G266" s="6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5">
      <c r="A267" s="4"/>
      <c r="B267" s="5"/>
      <c r="C267" s="6"/>
      <c r="D267" s="6"/>
      <c r="E267" s="6"/>
      <c r="F267" s="3"/>
      <c r="G267" s="6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5">
      <c r="A268" s="4"/>
      <c r="B268" s="5"/>
      <c r="C268" s="6"/>
      <c r="D268" s="6"/>
      <c r="E268" s="6"/>
      <c r="F268" s="3"/>
      <c r="G268" s="6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5">
      <c r="A269" s="4"/>
      <c r="B269" s="5"/>
      <c r="C269" s="6"/>
      <c r="D269" s="6"/>
      <c r="E269" s="6"/>
      <c r="F269" s="3"/>
      <c r="G269" s="6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5">
      <c r="A270" s="4"/>
      <c r="B270" s="5"/>
      <c r="C270" s="6"/>
      <c r="D270" s="6"/>
      <c r="E270" s="6"/>
      <c r="F270" s="3"/>
      <c r="G270" s="6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5">
      <c r="A271" s="4"/>
      <c r="B271" s="5"/>
      <c r="C271" s="6"/>
      <c r="D271" s="6"/>
      <c r="E271" s="6"/>
      <c r="F271" s="3"/>
      <c r="G271" s="6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5">
      <c r="A272" s="4"/>
      <c r="B272" s="5"/>
      <c r="C272" s="6"/>
      <c r="D272" s="6"/>
      <c r="E272" s="6"/>
      <c r="F272" s="3"/>
      <c r="G272" s="6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5">
      <c r="A273" s="4"/>
      <c r="B273" s="5"/>
      <c r="C273" s="6"/>
      <c r="D273" s="6"/>
      <c r="E273" s="6"/>
      <c r="F273" s="3"/>
      <c r="G273" s="6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5">
      <c r="A274" s="4"/>
      <c r="B274" s="5"/>
      <c r="C274" s="6"/>
      <c r="D274" s="6"/>
      <c r="E274" s="6"/>
      <c r="F274" s="3"/>
      <c r="G274" s="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5">
      <c r="A275" s="4"/>
      <c r="B275" s="5"/>
      <c r="C275" s="6"/>
      <c r="D275" s="6"/>
      <c r="E275" s="6"/>
      <c r="F275" s="3"/>
      <c r="G275" s="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5">
      <c r="A276" s="4"/>
      <c r="B276" s="5"/>
      <c r="C276" s="6"/>
      <c r="D276" s="6"/>
      <c r="E276" s="6"/>
      <c r="F276" s="3"/>
      <c r="G276" s="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5">
      <c r="A277" s="4"/>
      <c r="B277" s="5"/>
      <c r="C277" s="6"/>
      <c r="D277" s="6"/>
      <c r="E277" s="6"/>
      <c r="F277" s="3"/>
      <c r="G277" s="6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5">
      <c r="A278" s="4"/>
      <c r="B278" s="5"/>
      <c r="C278" s="6"/>
      <c r="D278" s="6"/>
      <c r="E278" s="6"/>
      <c r="F278" s="3"/>
      <c r="G278" s="6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5">
      <c r="A279" s="4"/>
      <c r="B279" s="5"/>
      <c r="C279" s="6"/>
      <c r="D279" s="6"/>
      <c r="E279" s="6"/>
      <c r="F279" s="3"/>
      <c r="G279" s="6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5">
      <c r="A280" s="4"/>
      <c r="B280" s="5"/>
      <c r="C280" s="6"/>
      <c r="D280" s="6"/>
      <c r="E280" s="6"/>
      <c r="F280" s="3"/>
      <c r="G280" s="6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5">
      <c r="A281" s="4"/>
      <c r="B281" s="5"/>
      <c r="C281" s="6"/>
      <c r="D281" s="6"/>
      <c r="E281" s="6"/>
      <c r="F281" s="3"/>
      <c r="G281" s="6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5">
      <c r="A282" s="4"/>
      <c r="B282" s="5"/>
      <c r="C282" s="6"/>
      <c r="D282" s="6"/>
      <c r="E282" s="6"/>
      <c r="F282" s="3"/>
      <c r="G282" s="6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5">
      <c r="A283" s="4"/>
      <c r="B283" s="5"/>
      <c r="C283" s="6"/>
      <c r="D283" s="6"/>
      <c r="E283" s="6"/>
      <c r="F283" s="3"/>
      <c r="G283" s="6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5">
      <c r="A284" s="4"/>
      <c r="B284" s="5"/>
      <c r="C284" s="6"/>
      <c r="D284" s="6"/>
      <c r="E284" s="6"/>
      <c r="F284" s="3"/>
      <c r="G284" s="6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5">
      <c r="A285" s="4"/>
      <c r="B285" s="5"/>
      <c r="C285" s="6"/>
      <c r="D285" s="6"/>
      <c r="E285" s="6"/>
      <c r="F285" s="3"/>
      <c r="G285" s="6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5">
      <c r="A286" s="4"/>
      <c r="B286" s="5"/>
      <c r="C286" s="6"/>
      <c r="D286" s="6"/>
      <c r="E286" s="6"/>
      <c r="F286" s="3"/>
      <c r="G286" s="6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5">
      <c r="A287" s="4"/>
      <c r="B287" s="5"/>
      <c r="C287" s="6"/>
      <c r="D287" s="6"/>
      <c r="E287" s="6"/>
      <c r="F287" s="3"/>
      <c r="G287" s="6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5">
      <c r="A288" s="4"/>
      <c r="B288" s="5"/>
      <c r="C288" s="6"/>
      <c r="D288" s="6"/>
      <c r="E288" s="6"/>
      <c r="F288" s="3"/>
      <c r="G288" s="6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5">
      <c r="A289" s="4"/>
      <c r="B289" s="5"/>
      <c r="C289" s="6"/>
      <c r="D289" s="6"/>
      <c r="E289" s="6"/>
      <c r="F289" s="3"/>
      <c r="G289" s="6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5">
      <c r="A290" s="4"/>
      <c r="B290" s="5"/>
      <c r="C290" s="6"/>
      <c r="D290" s="6"/>
      <c r="E290" s="6"/>
      <c r="F290" s="3"/>
      <c r="G290" s="6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5">
      <c r="A291" s="4"/>
      <c r="B291" s="5"/>
      <c r="C291" s="6"/>
      <c r="D291" s="6"/>
      <c r="E291" s="6"/>
      <c r="F291" s="3"/>
      <c r="G291" s="6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5">
      <c r="A292" s="4"/>
      <c r="B292" s="5"/>
      <c r="C292" s="6"/>
      <c r="D292" s="6"/>
      <c r="E292" s="6"/>
      <c r="F292" s="3"/>
      <c r="G292" s="6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5">
      <c r="A293" s="4"/>
      <c r="B293" s="5"/>
      <c r="C293" s="6"/>
      <c r="D293" s="6"/>
      <c r="E293" s="6"/>
      <c r="F293" s="3"/>
      <c r="G293" s="6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5">
      <c r="A294" s="4"/>
      <c r="B294" s="5"/>
      <c r="C294" s="6"/>
      <c r="D294" s="6"/>
      <c r="E294" s="6"/>
      <c r="F294" s="3"/>
      <c r="G294" s="6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5">
      <c r="A295" s="4"/>
      <c r="B295" s="5"/>
      <c r="C295" s="6"/>
      <c r="D295" s="6"/>
      <c r="E295" s="6"/>
      <c r="F295" s="3"/>
      <c r="G295" s="6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5">
      <c r="A296" s="4"/>
      <c r="B296" s="5"/>
      <c r="C296" s="6"/>
      <c r="D296" s="6"/>
      <c r="E296" s="6"/>
      <c r="F296" s="3"/>
      <c r="G296" s="6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5">
      <c r="A297" s="4"/>
      <c r="B297" s="5"/>
      <c r="C297" s="6"/>
      <c r="D297" s="6"/>
      <c r="E297" s="6"/>
      <c r="F297" s="3"/>
      <c r="G297" s="6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5">
      <c r="A298" s="4"/>
      <c r="B298" s="5"/>
      <c r="C298" s="6"/>
      <c r="D298" s="6"/>
      <c r="E298" s="6"/>
      <c r="F298" s="3"/>
      <c r="G298" s="6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5">
      <c r="A299" s="4"/>
      <c r="B299" s="5"/>
      <c r="C299" s="6"/>
      <c r="D299" s="6"/>
      <c r="E299" s="6"/>
      <c r="F299" s="3"/>
      <c r="G299" s="6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5">
      <c r="A300" s="4"/>
      <c r="B300" s="5"/>
      <c r="C300" s="6"/>
      <c r="D300" s="6"/>
      <c r="E300" s="6"/>
      <c r="F300" s="3"/>
      <c r="G300" s="6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5">
      <c r="A301" s="4"/>
      <c r="B301" s="5"/>
      <c r="C301" s="6"/>
      <c r="D301" s="6"/>
      <c r="E301" s="6"/>
      <c r="F301" s="3"/>
      <c r="G301" s="6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5">
      <c r="A302" s="4"/>
      <c r="B302" s="5"/>
      <c r="C302" s="6"/>
      <c r="D302" s="6"/>
      <c r="E302" s="6"/>
      <c r="F302" s="3"/>
      <c r="G302" s="6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5">
      <c r="A303" s="4"/>
      <c r="B303" s="5"/>
      <c r="C303" s="6"/>
      <c r="D303" s="6"/>
      <c r="E303" s="6"/>
      <c r="F303" s="3"/>
      <c r="G303" s="6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5">
      <c r="A304" s="4"/>
      <c r="B304" s="5"/>
      <c r="C304" s="6"/>
      <c r="D304" s="6"/>
      <c r="E304" s="6"/>
      <c r="F304" s="3"/>
      <c r="G304" s="6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5">
      <c r="A305" s="4"/>
      <c r="B305" s="5"/>
      <c r="C305" s="6"/>
      <c r="D305" s="6"/>
      <c r="E305" s="6"/>
      <c r="F305" s="3"/>
      <c r="G305" s="6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5">
      <c r="A306" s="4"/>
      <c r="B306" s="5"/>
      <c r="C306" s="6"/>
      <c r="D306" s="6"/>
      <c r="E306" s="6"/>
      <c r="F306" s="3"/>
      <c r="G306" s="6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5">
      <c r="A307" s="4"/>
      <c r="B307" s="5"/>
      <c r="C307" s="6"/>
      <c r="D307" s="6"/>
      <c r="E307" s="6"/>
      <c r="F307" s="3"/>
      <c r="G307" s="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5">
      <c r="A308" s="4"/>
      <c r="B308" s="5"/>
      <c r="C308" s="6"/>
      <c r="D308" s="6"/>
      <c r="E308" s="6"/>
      <c r="F308" s="3"/>
      <c r="G308" s="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5">
      <c r="A309" s="4"/>
      <c r="B309" s="5"/>
      <c r="C309" s="6"/>
      <c r="D309" s="6"/>
      <c r="E309" s="6"/>
      <c r="F309" s="3"/>
      <c r="G309" s="6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5">
      <c r="A310" s="4"/>
      <c r="B310" s="5"/>
      <c r="C310" s="6"/>
      <c r="D310" s="6"/>
      <c r="E310" s="6"/>
      <c r="F310" s="3"/>
      <c r="G310" s="6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5">
      <c r="A311" s="4"/>
      <c r="B311" s="5"/>
      <c r="C311" s="6"/>
      <c r="D311" s="6"/>
      <c r="E311" s="6"/>
      <c r="F311" s="3"/>
      <c r="G311" s="6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5">
      <c r="A312" s="4"/>
      <c r="B312" s="5"/>
      <c r="C312" s="6"/>
      <c r="D312" s="6"/>
      <c r="E312" s="6"/>
      <c r="F312" s="3"/>
      <c r="G312" s="6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5">
      <c r="A313" s="4"/>
      <c r="B313" s="5"/>
      <c r="C313" s="6"/>
      <c r="D313" s="6"/>
      <c r="E313" s="6"/>
      <c r="F313" s="3"/>
      <c r="G313" s="6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5">
      <c r="A314" s="4"/>
      <c r="B314" s="5"/>
      <c r="C314" s="6"/>
      <c r="D314" s="6"/>
      <c r="E314" s="6"/>
      <c r="F314" s="3"/>
      <c r="G314" s="6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5">
      <c r="A315" s="4"/>
      <c r="B315" s="5"/>
      <c r="C315" s="6"/>
      <c r="D315" s="6"/>
      <c r="E315" s="6"/>
      <c r="F315" s="3"/>
      <c r="G315" s="6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5">
      <c r="A316" s="4"/>
      <c r="B316" s="5"/>
      <c r="C316" s="6"/>
      <c r="D316" s="6"/>
      <c r="E316" s="6"/>
      <c r="F316" s="3"/>
      <c r="G316" s="6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5">
      <c r="A317" s="4"/>
      <c r="B317" s="5"/>
      <c r="C317" s="6"/>
      <c r="D317" s="6"/>
      <c r="E317" s="6"/>
      <c r="F317" s="3"/>
      <c r="G317" s="6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5">
      <c r="A318" s="4"/>
      <c r="B318" s="5"/>
      <c r="C318" s="6"/>
      <c r="D318" s="6"/>
      <c r="E318" s="6"/>
      <c r="F318" s="3"/>
      <c r="G318" s="6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5">
      <c r="A319" s="4"/>
      <c r="B319" s="5"/>
      <c r="C319" s="6"/>
      <c r="D319" s="6"/>
      <c r="E319" s="6"/>
      <c r="F319" s="3"/>
      <c r="G319" s="6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5">
      <c r="A320" s="4"/>
      <c r="B320" s="5"/>
      <c r="C320" s="6"/>
      <c r="D320" s="6"/>
      <c r="E320" s="6"/>
      <c r="F320" s="3"/>
      <c r="G320" s="6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5">
      <c r="A321" s="4"/>
      <c r="B321" s="5"/>
      <c r="C321" s="6"/>
      <c r="D321" s="6"/>
      <c r="E321" s="6"/>
      <c r="F321" s="3"/>
      <c r="G321" s="6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5">
      <c r="A322" s="4"/>
      <c r="B322" s="5"/>
      <c r="C322" s="6"/>
      <c r="D322" s="6"/>
      <c r="E322" s="6"/>
      <c r="F322" s="3"/>
      <c r="G322" s="6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5">
      <c r="A323" s="4"/>
      <c r="B323" s="5"/>
      <c r="C323" s="6"/>
      <c r="D323" s="6"/>
      <c r="E323" s="6"/>
      <c r="F323" s="3"/>
      <c r="G323" s="6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5">
      <c r="A324" s="4"/>
      <c r="B324" s="5"/>
      <c r="C324" s="6"/>
      <c r="D324" s="6"/>
      <c r="E324" s="6"/>
      <c r="F324" s="3"/>
      <c r="G324" s="6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5">
      <c r="A325" s="4"/>
      <c r="B325" s="5"/>
      <c r="C325" s="6"/>
      <c r="D325" s="6"/>
      <c r="E325" s="6"/>
      <c r="F325" s="3"/>
      <c r="G325" s="6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5">
      <c r="A326" s="4"/>
      <c r="B326" s="5"/>
      <c r="C326" s="6"/>
      <c r="D326" s="6"/>
      <c r="E326" s="6"/>
      <c r="F326" s="3"/>
      <c r="G326" s="6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5">
      <c r="A327" s="4"/>
      <c r="B327" s="5"/>
      <c r="C327" s="6"/>
      <c r="D327" s="6"/>
      <c r="E327" s="6"/>
      <c r="F327" s="3"/>
      <c r="G327" s="6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5">
      <c r="A328" s="4"/>
      <c r="B328" s="5"/>
      <c r="C328" s="6"/>
      <c r="D328" s="6"/>
      <c r="E328" s="6"/>
      <c r="F328" s="3"/>
      <c r="G328" s="6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5">
      <c r="A329" s="4"/>
      <c r="B329" s="5"/>
      <c r="C329" s="6"/>
      <c r="D329" s="6"/>
      <c r="E329" s="6"/>
      <c r="F329" s="3"/>
      <c r="G329" s="6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5">
      <c r="A330" s="4"/>
      <c r="B330" s="5"/>
      <c r="C330" s="6"/>
      <c r="D330" s="6"/>
      <c r="E330" s="6"/>
      <c r="F330" s="3"/>
      <c r="G330" s="6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5">
      <c r="A331" s="4"/>
      <c r="B331" s="5"/>
      <c r="C331" s="6"/>
      <c r="D331" s="6"/>
      <c r="E331" s="6"/>
      <c r="F331" s="3"/>
      <c r="G331" s="6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5">
      <c r="A332" s="4"/>
      <c r="B332" s="5"/>
      <c r="C332" s="6"/>
      <c r="D332" s="6"/>
      <c r="E332" s="6"/>
      <c r="F332" s="3"/>
      <c r="G332" s="6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5">
      <c r="A333" s="4"/>
      <c r="B333" s="5"/>
      <c r="C333" s="6"/>
      <c r="D333" s="6"/>
      <c r="E333" s="6"/>
      <c r="F333" s="3"/>
      <c r="G333" s="6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5">
      <c r="A334" s="4"/>
      <c r="B334" s="5"/>
      <c r="C334" s="6"/>
      <c r="D334" s="6"/>
      <c r="E334" s="6"/>
      <c r="F334" s="3"/>
      <c r="G334" s="6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5">
      <c r="A335" s="4"/>
      <c r="B335" s="5"/>
      <c r="C335" s="6"/>
      <c r="D335" s="6"/>
      <c r="E335" s="6"/>
      <c r="F335" s="3"/>
      <c r="G335" s="6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5">
      <c r="A336" s="4"/>
      <c r="B336" s="5"/>
      <c r="C336" s="6"/>
      <c r="D336" s="6"/>
      <c r="E336" s="6"/>
      <c r="F336" s="3"/>
      <c r="G336" s="6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5">
      <c r="A337" s="4"/>
      <c r="B337" s="5"/>
      <c r="C337" s="6"/>
      <c r="D337" s="6"/>
      <c r="E337" s="6"/>
      <c r="F337" s="3"/>
      <c r="G337" s="6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5">
      <c r="A338" s="4"/>
      <c r="B338" s="5"/>
      <c r="C338" s="6"/>
      <c r="D338" s="6"/>
      <c r="E338" s="6"/>
      <c r="F338" s="3"/>
      <c r="G338" s="6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5">
      <c r="A339" s="4"/>
      <c r="B339" s="5"/>
      <c r="C339" s="6"/>
      <c r="D339" s="6"/>
      <c r="E339" s="6"/>
      <c r="F339" s="3"/>
      <c r="G339" s="6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5">
      <c r="A340" s="4"/>
      <c r="B340" s="5"/>
      <c r="C340" s="6"/>
      <c r="D340" s="6"/>
      <c r="E340" s="6"/>
      <c r="F340" s="3"/>
      <c r="G340" s="6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5">
      <c r="A341" s="4"/>
      <c r="B341" s="5"/>
      <c r="C341" s="6"/>
      <c r="D341" s="6"/>
      <c r="E341" s="6"/>
      <c r="F341" s="3"/>
      <c r="G341" s="6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5">
      <c r="A342" s="4"/>
      <c r="B342" s="5"/>
      <c r="C342" s="6"/>
      <c r="D342" s="6"/>
      <c r="E342" s="6"/>
      <c r="F342" s="3"/>
      <c r="G342" s="6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5">
      <c r="A343" s="4"/>
      <c r="B343" s="5"/>
      <c r="C343" s="6"/>
      <c r="D343" s="6"/>
      <c r="E343" s="6"/>
      <c r="F343" s="3"/>
      <c r="G343" s="6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5">
      <c r="A344" s="4"/>
      <c r="B344" s="5"/>
      <c r="C344" s="6"/>
      <c r="D344" s="6"/>
      <c r="E344" s="6"/>
      <c r="F344" s="3"/>
      <c r="G344" s="6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5">
      <c r="A345" s="4"/>
      <c r="B345" s="5"/>
      <c r="C345" s="6"/>
      <c r="D345" s="6"/>
      <c r="E345" s="6"/>
      <c r="F345" s="3"/>
      <c r="G345" s="6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5">
      <c r="A346" s="4"/>
      <c r="B346" s="5"/>
      <c r="C346" s="6"/>
      <c r="D346" s="6"/>
      <c r="E346" s="6"/>
      <c r="F346" s="3"/>
      <c r="G346" s="6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5">
      <c r="A347" s="4"/>
      <c r="B347" s="5"/>
      <c r="C347" s="6"/>
      <c r="D347" s="6"/>
      <c r="E347" s="6"/>
      <c r="F347" s="3"/>
      <c r="G347" s="6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5">
      <c r="A348" s="4"/>
      <c r="B348" s="5"/>
      <c r="C348" s="6"/>
      <c r="D348" s="6"/>
      <c r="E348" s="6"/>
      <c r="F348" s="3"/>
      <c r="G348" s="6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5">
      <c r="A349" s="4"/>
      <c r="B349" s="5"/>
      <c r="C349" s="6"/>
      <c r="D349" s="6"/>
      <c r="E349" s="6"/>
      <c r="F349" s="3"/>
      <c r="G349" s="6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5">
      <c r="A350" s="4"/>
      <c r="B350" s="5"/>
      <c r="C350" s="6"/>
      <c r="D350" s="6"/>
      <c r="E350" s="6"/>
      <c r="F350" s="3"/>
      <c r="G350" s="6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5">
      <c r="A351" s="4"/>
      <c r="B351" s="5"/>
      <c r="C351" s="6"/>
      <c r="D351" s="6"/>
      <c r="E351" s="6"/>
      <c r="F351" s="3"/>
      <c r="G351" s="6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5">
      <c r="A352" s="4"/>
      <c r="B352" s="5"/>
      <c r="C352" s="6"/>
      <c r="D352" s="6"/>
      <c r="E352" s="6"/>
      <c r="F352" s="3"/>
      <c r="G352" s="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5">
      <c r="A353" s="4"/>
      <c r="B353" s="5"/>
      <c r="C353" s="6"/>
      <c r="D353" s="6"/>
      <c r="E353" s="6"/>
      <c r="F353" s="3"/>
      <c r="G353" s="6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5">
      <c r="A354" s="4"/>
      <c r="B354" s="5"/>
      <c r="C354" s="6"/>
      <c r="D354" s="6"/>
      <c r="E354" s="6"/>
      <c r="F354" s="3"/>
      <c r="G354" s="6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5">
      <c r="A355" s="4"/>
      <c r="B355" s="5"/>
      <c r="C355" s="6"/>
      <c r="D355" s="6"/>
      <c r="E355" s="6"/>
      <c r="F355" s="3"/>
      <c r="G355" s="6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5">
      <c r="A356" s="4"/>
      <c r="B356" s="5"/>
      <c r="C356" s="6"/>
      <c r="D356" s="6"/>
      <c r="E356" s="6"/>
      <c r="F356" s="3"/>
      <c r="G356" s="6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5">
      <c r="A357" s="4"/>
      <c r="B357" s="5"/>
      <c r="C357" s="6"/>
      <c r="D357" s="6"/>
      <c r="E357" s="6"/>
      <c r="F357" s="3"/>
      <c r="G357" s="6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5">
      <c r="A358" s="4"/>
      <c r="B358" s="5"/>
      <c r="C358" s="6"/>
      <c r="D358" s="6"/>
      <c r="E358" s="6"/>
      <c r="F358" s="3"/>
      <c r="G358" s="6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5">
      <c r="A359" s="4"/>
      <c r="B359" s="5"/>
      <c r="C359" s="6"/>
      <c r="D359" s="6"/>
      <c r="E359" s="6"/>
      <c r="F359" s="3"/>
      <c r="G359" s="6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5">
      <c r="A360" s="4"/>
      <c r="B360" s="5"/>
      <c r="C360" s="6"/>
      <c r="D360" s="6"/>
      <c r="E360" s="6"/>
      <c r="F360" s="3"/>
      <c r="G360" s="6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5">
      <c r="A361" s="4"/>
      <c r="B361" s="5"/>
      <c r="C361" s="6"/>
      <c r="D361" s="6"/>
      <c r="E361" s="6"/>
      <c r="F361" s="3"/>
      <c r="G361" s="6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5">
      <c r="A362" s="4"/>
      <c r="B362" s="5"/>
      <c r="C362" s="6"/>
      <c r="D362" s="6"/>
      <c r="E362" s="6"/>
      <c r="F362" s="3"/>
      <c r="G362" s="6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5">
      <c r="A363" s="4"/>
      <c r="B363" s="5"/>
      <c r="C363" s="6"/>
      <c r="D363" s="6"/>
      <c r="E363" s="6"/>
      <c r="F363" s="3"/>
      <c r="G363" s="6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5">
      <c r="A364" s="4"/>
      <c r="B364" s="5"/>
      <c r="C364" s="6"/>
      <c r="D364" s="6"/>
      <c r="E364" s="6"/>
      <c r="F364" s="3"/>
      <c r="G364" s="6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5">
      <c r="A365" s="4"/>
      <c r="B365" s="5"/>
      <c r="C365" s="6"/>
      <c r="D365" s="6"/>
      <c r="E365" s="6"/>
      <c r="F365" s="3"/>
      <c r="G365" s="6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5">
      <c r="A366" s="4"/>
      <c r="B366" s="5"/>
      <c r="C366" s="6"/>
      <c r="D366" s="6"/>
      <c r="E366" s="6"/>
      <c r="F366" s="3"/>
      <c r="G366" s="6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5">
      <c r="A367" s="4"/>
      <c r="B367" s="5"/>
      <c r="C367" s="6"/>
      <c r="D367" s="6"/>
      <c r="E367" s="6"/>
      <c r="F367" s="3"/>
      <c r="G367" s="6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5">
      <c r="A368" s="4"/>
      <c r="B368" s="5"/>
      <c r="C368" s="6"/>
      <c r="D368" s="6"/>
      <c r="E368" s="6"/>
      <c r="F368" s="3"/>
      <c r="G368" s="6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5">
      <c r="A369" s="4"/>
      <c r="B369" s="5"/>
      <c r="C369" s="6"/>
      <c r="D369" s="6"/>
      <c r="E369" s="6"/>
      <c r="F369" s="3"/>
      <c r="G369" s="6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5">
      <c r="A370" s="4"/>
      <c r="B370" s="5"/>
      <c r="C370" s="6"/>
      <c r="D370" s="6"/>
      <c r="E370" s="6"/>
      <c r="F370" s="3"/>
      <c r="G370" s="6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5">
      <c r="A371" s="4"/>
      <c r="B371" s="5"/>
      <c r="C371" s="6"/>
      <c r="D371" s="6"/>
      <c r="E371" s="6"/>
      <c r="F371" s="3"/>
      <c r="G371" s="6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5">
      <c r="A372" s="4"/>
      <c r="B372" s="5"/>
      <c r="C372" s="6"/>
      <c r="D372" s="6"/>
      <c r="E372" s="6"/>
      <c r="F372" s="3"/>
      <c r="G372" s="6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5">
      <c r="A373" s="4"/>
      <c r="B373" s="5"/>
      <c r="C373" s="6"/>
      <c r="D373" s="6"/>
      <c r="E373" s="6"/>
      <c r="F373" s="3"/>
      <c r="G373" s="6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5">
      <c r="A374" s="4"/>
      <c r="B374" s="5"/>
      <c r="C374" s="6"/>
      <c r="D374" s="6"/>
      <c r="E374" s="6"/>
      <c r="F374" s="3"/>
      <c r="G374" s="6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5">
      <c r="A375" s="4"/>
      <c r="B375" s="5"/>
      <c r="C375" s="6"/>
      <c r="D375" s="6"/>
      <c r="E375" s="6"/>
      <c r="F375" s="3"/>
      <c r="G375" s="6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5">
      <c r="A376" s="4"/>
      <c r="B376" s="5"/>
      <c r="C376" s="6"/>
      <c r="D376" s="6"/>
      <c r="E376" s="6"/>
      <c r="F376" s="3"/>
      <c r="G376" s="6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5">
      <c r="A377" s="4"/>
      <c r="B377" s="5"/>
      <c r="C377" s="6"/>
      <c r="D377" s="6"/>
      <c r="E377" s="6"/>
      <c r="F377" s="3"/>
      <c r="G377" s="6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5">
      <c r="A378" s="4"/>
      <c r="B378" s="5"/>
      <c r="C378" s="6"/>
      <c r="D378" s="6"/>
      <c r="E378" s="6"/>
      <c r="F378" s="3"/>
      <c r="G378" s="6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5">
      <c r="A379" s="4"/>
      <c r="B379" s="5"/>
      <c r="C379" s="6"/>
      <c r="D379" s="6"/>
      <c r="E379" s="6"/>
      <c r="F379" s="3"/>
      <c r="G379" s="6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5">
      <c r="A380" s="4"/>
      <c r="B380" s="5"/>
      <c r="C380" s="6"/>
      <c r="D380" s="6"/>
      <c r="E380" s="6"/>
      <c r="F380" s="3"/>
      <c r="G380" s="6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5">
      <c r="A381" s="4"/>
      <c r="B381" s="5"/>
      <c r="C381" s="6"/>
      <c r="D381" s="6"/>
      <c r="E381" s="6"/>
      <c r="F381" s="3"/>
      <c r="G381" s="6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5">
      <c r="A382" s="4"/>
      <c r="B382" s="5"/>
      <c r="C382" s="6"/>
      <c r="D382" s="6"/>
      <c r="E382" s="6"/>
      <c r="F382" s="3"/>
      <c r="G382" s="6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5">
      <c r="A383" s="4"/>
      <c r="B383" s="5"/>
      <c r="C383" s="6"/>
      <c r="D383" s="6"/>
      <c r="E383" s="6"/>
      <c r="F383" s="3"/>
      <c r="G383" s="6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5">
      <c r="A384" s="4"/>
      <c r="B384" s="5"/>
      <c r="C384" s="6"/>
      <c r="D384" s="6"/>
      <c r="E384" s="6"/>
      <c r="F384" s="3"/>
      <c r="G384" s="6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5">
      <c r="A385" s="4"/>
      <c r="B385" s="5"/>
      <c r="C385" s="6"/>
      <c r="D385" s="6"/>
      <c r="E385" s="6"/>
      <c r="F385" s="3"/>
      <c r="G385" s="6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5">
      <c r="A386" s="4"/>
      <c r="B386" s="5"/>
      <c r="C386" s="6"/>
      <c r="D386" s="6"/>
      <c r="E386" s="6"/>
      <c r="F386" s="3"/>
      <c r="G386" s="6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5">
      <c r="A387" s="4"/>
      <c r="B387" s="5"/>
      <c r="C387" s="6"/>
      <c r="D387" s="6"/>
      <c r="E387" s="6"/>
      <c r="F387" s="3"/>
      <c r="G387" s="6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5">
      <c r="A388" s="4"/>
      <c r="B388" s="5"/>
      <c r="C388" s="6"/>
      <c r="D388" s="6"/>
      <c r="E388" s="6"/>
      <c r="F388" s="3"/>
      <c r="G388" s="6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5">
      <c r="A389" s="4"/>
      <c r="B389" s="5"/>
      <c r="C389" s="6"/>
      <c r="D389" s="6"/>
      <c r="E389" s="6"/>
      <c r="F389" s="3"/>
      <c r="G389" s="6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5">
      <c r="A390" s="4"/>
      <c r="B390" s="5"/>
      <c r="C390" s="6"/>
      <c r="D390" s="6"/>
      <c r="E390" s="6"/>
      <c r="F390" s="3"/>
      <c r="G390" s="6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5">
      <c r="A391" s="4"/>
      <c r="B391" s="5"/>
      <c r="C391" s="6"/>
      <c r="D391" s="6"/>
      <c r="E391" s="6"/>
      <c r="F391" s="3"/>
      <c r="G391" s="6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5">
      <c r="A392" s="4"/>
      <c r="B392" s="5"/>
      <c r="C392" s="6"/>
      <c r="D392" s="6"/>
      <c r="E392" s="6"/>
      <c r="F392" s="3"/>
      <c r="G392" s="6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5">
      <c r="A393" s="4"/>
      <c r="B393" s="5"/>
      <c r="C393" s="6"/>
      <c r="D393" s="6"/>
      <c r="E393" s="6"/>
      <c r="F393" s="3"/>
      <c r="G393" s="6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5">
      <c r="A394" s="4"/>
      <c r="B394" s="5"/>
      <c r="C394" s="6"/>
      <c r="D394" s="6"/>
      <c r="E394" s="6"/>
      <c r="F394" s="3"/>
      <c r="G394" s="6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5">
      <c r="A395" s="4"/>
      <c r="B395" s="5"/>
      <c r="C395" s="6"/>
      <c r="D395" s="6"/>
      <c r="E395" s="6"/>
      <c r="F395" s="3"/>
      <c r="G395" s="6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5">
      <c r="A396" s="4"/>
      <c r="B396" s="5"/>
      <c r="C396" s="6"/>
      <c r="D396" s="6"/>
      <c r="E396" s="6"/>
      <c r="F396" s="3"/>
      <c r="G396" s="6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5">
      <c r="A397" s="4"/>
      <c r="B397" s="5"/>
      <c r="C397" s="6"/>
      <c r="D397" s="6"/>
      <c r="E397" s="6"/>
      <c r="F397" s="3"/>
      <c r="G397" s="6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5">
      <c r="A398" s="4"/>
      <c r="B398" s="5"/>
      <c r="C398" s="6"/>
      <c r="D398" s="6"/>
      <c r="E398" s="6"/>
      <c r="F398" s="3"/>
      <c r="G398" s="6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5">
      <c r="A399" s="4"/>
      <c r="B399" s="5"/>
      <c r="C399" s="6"/>
      <c r="D399" s="6"/>
      <c r="E399" s="6"/>
      <c r="F399" s="3"/>
      <c r="G399" s="6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5">
      <c r="A400" s="4"/>
      <c r="B400" s="5"/>
      <c r="C400" s="6"/>
      <c r="D400" s="6"/>
      <c r="E400" s="6"/>
      <c r="F400" s="3"/>
      <c r="G400" s="6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5">
      <c r="A401" s="4"/>
      <c r="B401" s="5"/>
      <c r="C401" s="6"/>
      <c r="D401" s="6"/>
      <c r="E401" s="6"/>
      <c r="F401" s="3"/>
      <c r="G401" s="6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5">
      <c r="A402" s="4"/>
      <c r="B402" s="5"/>
      <c r="C402" s="6"/>
      <c r="D402" s="6"/>
      <c r="E402" s="6"/>
      <c r="F402" s="3"/>
      <c r="G402" s="6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5">
      <c r="A403" s="4"/>
      <c r="B403" s="5"/>
      <c r="C403" s="6"/>
      <c r="D403" s="6"/>
      <c r="E403" s="6"/>
      <c r="F403" s="3"/>
      <c r="G403" s="6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5">
      <c r="A404" s="4"/>
      <c r="B404" s="5"/>
      <c r="C404" s="6"/>
      <c r="D404" s="6"/>
      <c r="E404" s="6"/>
      <c r="F404" s="3"/>
      <c r="G404" s="6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5">
      <c r="A405" s="4"/>
      <c r="B405" s="5"/>
      <c r="C405" s="6"/>
      <c r="D405" s="6"/>
      <c r="E405" s="6"/>
      <c r="F405" s="3"/>
      <c r="G405" s="6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5">
      <c r="A406" s="4"/>
      <c r="B406" s="5"/>
      <c r="C406" s="6"/>
      <c r="D406" s="6"/>
      <c r="E406" s="6"/>
      <c r="F406" s="3"/>
      <c r="G406" s="6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5">
      <c r="A407" s="4"/>
      <c r="B407" s="5"/>
      <c r="C407" s="6"/>
      <c r="D407" s="6"/>
      <c r="E407" s="6"/>
      <c r="F407" s="3"/>
      <c r="G407" s="6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5">
      <c r="A408" s="4"/>
      <c r="B408" s="5"/>
      <c r="C408" s="6"/>
      <c r="D408" s="6"/>
      <c r="E408" s="6"/>
      <c r="F408" s="3"/>
      <c r="G408" s="6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5">
      <c r="A409" s="4"/>
      <c r="B409" s="5"/>
      <c r="C409" s="6"/>
      <c r="D409" s="6"/>
      <c r="E409" s="6"/>
      <c r="F409" s="3"/>
      <c r="G409" s="6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5">
      <c r="A410" s="4"/>
      <c r="B410" s="5"/>
      <c r="C410" s="6"/>
      <c r="D410" s="6"/>
      <c r="E410" s="6"/>
      <c r="F410" s="3"/>
      <c r="G410" s="6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5">
      <c r="A411" s="4"/>
      <c r="B411" s="5"/>
      <c r="C411" s="6"/>
      <c r="D411" s="6"/>
      <c r="E411" s="6"/>
      <c r="F411" s="3"/>
      <c r="G411" s="6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5">
      <c r="A412" s="4"/>
      <c r="B412" s="5"/>
      <c r="C412" s="6"/>
      <c r="D412" s="6"/>
      <c r="E412" s="6"/>
      <c r="F412" s="3"/>
      <c r="G412" s="6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5">
      <c r="A413" s="4"/>
      <c r="B413" s="5"/>
      <c r="C413" s="6"/>
      <c r="D413" s="6"/>
      <c r="E413" s="6"/>
      <c r="F413" s="3"/>
      <c r="G413" s="6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5">
      <c r="A414" s="4"/>
      <c r="B414" s="5"/>
      <c r="C414" s="6"/>
      <c r="D414" s="6"/>
      <c r="E414" s="6"/>
      <c r="F414" s="3"/>
      <c r="G414" s="6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5">
      <c r="A415" s="4"/>
      <c r="B415" s="5"/>
      <c r="C415" s="6"/>
      <c r="D415" s="6"/>
      <c r="E415" s="6"/>
      <c r="F415" s="3"/>
      <c r="G415" s="6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5">
      <c r="A416" s="4"/>
      <c r="B416" s="5"/>
      <c r="C416" s="6"/>
      <c r="D416" s="6"/>
      <c r="E416" s="6"/>
      <c r="F416" s="3"/>
      <c r="G416" s="6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5">
      <c r="A417" s="4"/>
      <c r="B417" s="5"/>
      <c r="C417" s="6"/>
      <c r="D417" s="6"/>
      <c r="E417" s="6"/>
      <c r="F417" s="3"/>
      <c r="G417" s="6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5">
      <c r="A418" s="4"/>
      <c r="B418" s="5"/>
      <c r="C418" s="6"/>
      <c r="D418" s="6"/>
      <c r="E418" s="6"/>
      <c r="F418" s="3"/>
      <c r="G418" s="6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5">
      <c r="A419" s="4"/>
      <c r="B419" s="5"/>
      <c r="C419" s="6"/>
      <c r="D419" s="6"/>
      <c r="E419" s="6"/>
      <c r="F419" s="3"/>
      <c r="G419" s="6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5">
      <c r="A420" s="4"/>
      <c r="B420" s="5"/>
      <c r="C420" s="6"/>
      <c r="D420" s="6"/>
      <c r="E420" s="6"/>
      <c r="F420" s="3"/>
      <c r="G420" s="6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5">
      <c r="A421" s="4"/>
      <c r="B421" s="5"/>
      <c r="C421" s="6"/>
      <c r="D421" s="6"/>
      <c r="E421" s="6"/>
      <c r="F421" s="3"/>
      <c r="G421" s="6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5">
      <c r="A422" s="4"/>
      <c r="B422" s="5"/>
      <c r="C422" s="6"/>
      <c r="D422" s="6"/>
      <c r="E422" s="6"/>
      <c r="F422" s="3"/>
      <c r="G422" s="6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5">
      <c r="A423" s="4"/>
      <c r="B423" s="5"/>
      <c r="C423" s="6"/>
      <c r="D423" s="6"/>
      <c r="E423" s="6"/>
      <c r="F423" s="3"/>
      <c r="G423" s="6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5">
      <c r="A424" s="4"/>
      <c r="B424" s="5"/>
      <c r="C424" s="6"/>
      <c r="D424" s="6"/>
      <c r="E424" s="6"/>
      <c r="F424" s="3"/>
      <c r="G424" s="6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5">
      <c r="A425" s="4"/>
      <c r="B425" s="5"/>
      <c r="C425" s="6"/>
      <c r="D425" s="6"/>
      <c r="E425" s="6"/>
      <c r="F425" s="3"/>
      <c r="G425" s="6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5">
      <c r="A426" s="4"/>
      <c r="B426" s="5"/>
      <c r="C426" s="6"/>
      <c r="D426" s="6"/>
      <c r="E426" s="6"/>
      <c r="F426" s="3"/>
      <c r="G426" s="6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5">
      <c r="A427" s="4"/>
      <c r="B427" s="5"/>
      <c r="C427" s="6"/>
      <c r="D427" s="6"/>
      <c r="E427" s="6"/>
      <c r="F427" s="3"/>
      <c r="G427" s="6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5">
      <c r="A428" s="4"/>
      <c r="B428" s="5"/>
      <c r="C428" s="6"/>
      <c r="D428" s="6"/>
      <c r="E428" s="6"/>
      <c r="F428" s="3"/>
      <c r="G428" s="6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5">
      <c r="A429" s="4"/>
      <c r="B429" s="5"/>
      <c r="C429" s="6"/>
      <c r="D429" s="6"/>
      <c r="E429" s="6"/>
      <c r="F429" s="3"/>
      <c r="G429" s="6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5">
      <c r="A430" s="4"/>
      <c r="B430" s="5"/>
      <c r="C430" s="6"/>
      <c r="D430" s="6"/>
      <c r="E430" s="6"/>
      <c r="F430" s="3"/>
      <c r="G430" s="6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5">
      <c r="A431" s="4"/>
      <c r="B431" s="5"/>
      <c r="C431" s="6"/>
      <c r="D431" s="6"/>
      <c r="E431" s="6"/>
      <c r="F431" s="3"/>
      <c r="G431" s="6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5">
      <c r="A432" s="4"/>
      <c r="B432" s="5"/>
      <c r="C432" s="6"/>
      <c r="D432" s="6"/>
      <c r="E432" s="6"/>
      <c r="F432" s="3"/>
      <c r="G432" s="6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5">
      <c r="A433" s="4"/>
      <c r="B433" s="5"/>
      <c r="C433" s="6"/>
      <c r="D433" s="6"/>
      <c r="E433" s="6"/>
      <c r="F433" s="3"/>
      <c r="G433" s="6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5">
      <c r="A434" s="4"/>
      <c r="B434" s="5"/>
      <c r="C434" s="6"/>
      <c r="D434" s="6"/>
      <c r="E434" s="6"/>
      <c r="F434" s="3"/>
      <c r="G434" s="6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5">
      <c r="A435" s="4"/>
      <c r="B435" s="5"/>
      <c r="C435" s="6"/>
      <c r="D435" s="6"/>
      <c r="E435" s="6"/>
      <c r="F435" s="3"/>
      <c r="G435" s="6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5">
      <c r="A436" s="4"/>
      <c r="B436" s="5"/>
      <c r="C436" s="6"/>
      <c r="D436" s="6"/>
      <c r="E436" s="6"/>
      <c r="F436" s="3"/>
      <c r="G436" s="6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5">
      <c r="A437" s="4"/>
      <c r="B437" s="5"/>
      <c r="C437" s="6"/>
      <c r="D437" s="6"/>
      <c r="E437" s="6"/>
      <c r="F437" s="3"/>
      <c r="G437" s="6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5">
      <c r="A438" s="4"/>
      <c r="B438" s="5"/>
      <c r="C438" s="6"/>
      <c r="D438" s="6"/>
      <c r="E438" s="6"/>
      <c r="F438" s="3"/>
      <c r="G438" s="6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5">
      <c r="A439" s="4"/>
      <c r="B439" s="5"/>
      <c r="C439" s="6"/>
      <c r="D439" s="6"/>
      <c r="E439" s="6"/>
      <c r="F439" s="3"/>
      <c r="G439" s="6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5">
      <c r="A440" s="4"/>
      <c r="B440" s="5"/>
      <c r="C440" s="6"/>
      <c r="D440" s="6"/>
      <c r="E440" s="6"/>
      <c r="F440" s="3"/>
      <c r="G440" s="6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5">
      <c r="A441" s="4"/>
      <c r="B441" s="5"/>
      <c r="C441" s="6"/>
      <c r="D441" s="6"/>
      <c r="E441" s="6"/>
      <c r="F441" s="3"/>
      <c r="G441" s="6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5">
      <c r="A442" s="4"/>
      <c r="B442" s="5"/>
      <c r="C442" s="6"/>
      <c r="D442" s="6"/>
      <c r="E442" s="6"/>
      <c r="F442" s="3"/>
      <c r="G442" s="6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5">
      <c r="A443" s="4"/>
      <c r="B443" s="5"/>
      <c r="C443" s="6"/>
      <c r="D443" s="6"/>
      <c r="E443" s="6"/>
      <c r="F443" s="3"/>
      <c r="G443" s="6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5">
      <c r="A444" s="4"/>
      <c r="B444" s="5"/>
      <c r="C444" s="6"/>
      <c r="D444" s="6"/>
      <c r="E444" s="6"/>
      <c r="F444" s="3"/>
      <c r="G444" s="6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5">
      <c r="A445" s="4"/>
      <c r="B445" s="5"/>
      <c r="C445" s="6"/>
      <c r="D445" s="6"/>
      <c r="E445" s="6"/>
      <c r="F445" s="3"/>
      <c r="G445" s="6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5">
      <c r="A446" s="4"/>
      <c r="B446" s="5"/>
      <c r="C446" s="6"/>
      <c r="D446" s="6"/>
      <c r="E446" s="6"/>
      <c r="F446" s="3"/>
      <c r="G446" s="6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5">
      <c r="A447" s="4"/>
      <c r="B447" s="5"/>
      <c r="C447" s="6"/>
      <c r="D447" s="6"/>
      <c r="E447" s="6"/>
      <c r="F447" s="3"/>
      <c r="G447" s="6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5">
      <c r="A448" s="4"/>
      <c r="B448" s="5"/>
      <c r="C448" s="6"/>
      <c r="D448" s="6"/>
      <c r="E448" s="6"/>
      <c r="F448" s="3"/>
      <c r="G448" s="6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5">
      <c r="A449" s="4"/>
      <c r="B449" s="5"/>
      <c r="C449" s="6"/>
      <c r="D449" s="6"/>
      <c r="E449" s="6"/>
      <c r="F449" s="3"/>
      <c r="G449" s="6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5">
      <c r="A450" s="4"/>
      <c r="B450" s="5"/>
      <c r="C450" s="6"/>
      <c r="D450" s="6"/>
      <c r="E450" s="6"/>
      <c r="F450" s="3"/>
      <c r="G450" s="6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5">
      <c r="A451" s="4"/>
      <c r="B451" s="5"/>
      <c r="C451" s="6"/>
      <c r="D451" s="6"/>
      <c r="E451" s="6"/>
      <c r="F451" s="3"/>
      <c r="G451" s="6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5">
      <c r="A452" s="4"/>
      <c r="B452" s="5"/>
      <c r="C452" s="6"/>
      <c r="D452" s="6"/>
      <c r="E452" s="6"/>
      <c r="F452" s="3"/>
      <c r="G452" s="6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5">
      <c r="A453" s="4"/>
      <c r="B453" s="5"/>
      <c r="C453" s="6"/>
      <c r="D453" s="6"/>
      <c r="E453" s="6"/>
      <c r="F453" s="3"/>
      <c r="G453" s="6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5">
      <c r="A454" s="4"/>
      <c r="B454" s="5"/>
      <c r="C454" s="6"/>
      <c r="D454" s="6"/>
      <c r="E454" s="6"/>
      <c r="F454" s="3"/>
      <c r="G454" s="6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5">
      <c r="A455" s="4"/>
      <c r="B455" s="5"/>
      <c r="C455" s="6"/>
      <c r="D455" s="6"/>
      <c r="E455" s="6"/>
      <c r="F455" s="3"/>
      <c r="G455" s="6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5">
      <c r="A456" s="4"/>
      <c r="B456" s="5"/>
      <c r="C456" s="6"/>
      <c r="D456" s="6"/>
      <c r="E456" s="6"/>
      <c r="F456" s="3"/>
      <c r="G456" s="6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5">
      <c r="A457" s="4"/>
      <c r="B457" s="5"/>
      <c r="C457" s="6"/>
      <c r="D457" s="6"/>
      <c r="E457" s="6"/>
      <c r="F457" s="3"/>
      <c r="G457" s="6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5">
      <c r="A458" s="4"/>
      <c r="B458" s="5"/>
      <c r="C458" s="6"/>
      <c r="D458" s="6"/>
      <c r="E458" s="6"/>
      <c r="F458" s="3"/>
      <c r="G458" s="6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5">
      <c r="A459" s="4"/>
      <c r="B459" s="5"/>
      <c r="C459" s="6"/>
      <c r="D459" s="6"/>
      <c r="E459" s="6"/>
      <c r="F459" s="3"/>
      <c r="G459" s="6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5">
      <c r="A460" s="4"/>
      <c r="B460" s="5"/>
      <c r="C460" s="6"/>
      <c r="D460" s="6"/>
      <c r="E460" s="6"/>
      <c r="F460" s="3"/>
      <c r="G460" s="6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5">
      <c r="A461" s="4"/>
      <c r="B461" s="5"/>
      <c r="C461" s="6"/>
      <c r="D461" s="6"/>
      <c r="E461" s="6"/>
      <c r="F461" s="3"/>
      <c r="G461" s="6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5">
      <c r="A462" s="4"/>
      <c r="B462" s="5"/>
      <c r="C462" s="6"/>
      <c r="D462" s="6"/>
      <c r="E462" s="6"/>
      <c r="F462" s="3"/>
      <c r="G462" s="6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5">
      <c r="A463" s="4"/>
      <c r="B463" s="5"/>
      <c r="C463" s="6"/>
      <c r="D463" s="6"/>
      <c r="E463" s="6"/>
      <c r="F463" s="3"/>
      <c r="G463" s="6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5">
      <c r="A464" s="4"/>
      <c r="B464" s="5"/>
      <c r="C464" s="6"/>
      <c r="D464" s="6"/>
      <c r="E464" s="6"/>
      <c r="F464" s="3"/>
      <c r="G464" s="6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5">
      <c r="A465" s="4"/>
      <c r="B465" s="5"/>
      <c r="C465" s="6"/>
      <c r="D465" s="6"/>
      <c r="E465" s="6"/>
      <c r="F465" s="3"/>
      <c r="G465" s="6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5">
      <c r="A466" s="4"/>
      <c r="B466" s="5"/>
      <c r="C466" s="6"/>
      <c r="D466" s="6"/>
      <c r="E466" s="6"/>
      <c r="F466" s="3"/>
      <c r="G466" s="6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5">
      <c r="A467" s="4"/>
      <c r="B467" s="5"/>
      <c r="C467" s="6"/>
      <c r="D467" s="6"/>
      <c r="E467" s="6"/>
      <c r="F467" s="3"/>
      <c r="G467" s="6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5">
      <c r="A468" s="4"/>
      <c r="B468" s="5"/>
      <c r="C468" s="6"/>
      <c r="D468" s="6"/>
      <c r="E468" s="6"/>
      <c r="F468" s="3"/>
      <c r="G468" s="6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5">
      <c r="A469" s="4"/>
      <c r="B469" s="5"/>
      <c r="C469" s="6"/>
      <c r="D469" s="6"/>
      <c r="E469" s="6"/>
      <c r="F469" s="3"/>
      <c r="G469" s="6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5">
      <c r="A470" s="4"/>
      <c r="B470" s="5"/>
      <c r="C470" s="6"/>
      <c r="D470" s="6"/>
      <c r="E470" s="6"/>
      <c r="F470" s="3"/>
      <c r="G470" s="6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5">
      <c r="A471" s="4"/>
      <c r="B471" s="5"/>
      <c r="C471" s="6"/>
      <c r="D471" s="6"/>
      <c r="E471" s="6"/>
      <c r="F471" s="3"/>
      <c r="G471" s="6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5">
      <c r="A472" s="4"/>
      <c r="B472" s="5"/>
      <c r="C472" s="6"/>
      <c r="D472" s="6"/>
      <c r="E472" s="6"/>
      <c r="F472" s="3"/>
      <c r="G472" s="6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5">
      <c r="A473" s="4"/>
      <c r="B473" s="5"/>
      <c r="C473" s="6"/>
      <c r="D473" s="6"/>
      <c r="E473" s="6"/>
      <c r="F473" s="3"/>
      <c r="G473" s="6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5">
      <c r="A474" s="4"/>
      <c r="B474" s="5"/>
      <c r="C474" s="6"/>
      <c r="D474" s="6"/>
      <c r="E474" s="6"/>
      <c r="F474" s="3"/>
      <c r="G474" s="6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5">
      <c r="A475" s="4"/>
      <c r="B475" s="5"/>
      <c r="C475" s="6"/>
      <c r="D475" s="6"/>
      <c r="E475" s="6"/>
      <c r="F475" s="3"/>
      <c r="G475" s="6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5">
      <c r="A476" s="4"/>
      <c r="B476" s="5"/>
      <c r="C476" s="6"/>
      <c r="D476" s="6"/>
      <c r="E476" s="6"/>
      <c r="F476" s="3"/>
      <c r="G476" s="6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5">
      <c r="A477" s="4"/>
      <c r="B477" s="5"/>
      <c r="C477" s="6"/>
      <c r="D477" s="6"/>
      <c r="E477" s="6"/>
      <c r="F477" s="3"/>
      <c r="G477" s="6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5">
      <c r="A478" s="4"/>
      <c r="B478" s="5"/>
      <c r="C478" s="6"/>
      <c r="D478" s="6"/>
      <c r="E478" s="6"/>
      <c r="F478" s="3"/>
      <c r="G478" s="6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5">
      <c r="A479" s="4"/>
      <c r="B479" s="5"/>
      <c r="C479" s="6"/>
      <c r="D479" s="6"/>
      <c r="E479" s="6"/>
      <c r="F479" s="3"/>
      <c r="G479" s="6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5">
      <c r="A480" s="4"/>
      <c r="B480" s="5"/>
      <c r="C480" s="6"/>
      <c r="D480" s="6"/>
      <c r="E480" s="6"/>
      <c r="F480" s="3"/>
      <c r="G480" s="6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5">
      <c r="A481" s="4"/>
      <c r="B481" s="5"/>
      <c r="C481" s="6"/>
      <c r="D481" s="6"/>
      <c r="E481" s="6"/>
      <c r="F481" s="3"/>
      <c r="G481" s="6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5">
      <c r="A482" s="4"/>
      <c r="B482" s="5"/>
      <c r="C482" s="6"/>
      <c r="D482" s="6"/>
      <c r="E482" s="6"/>
      <c r="F482" s="3"/>
      <c r="G482" s="6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5">
      <c r="A483" s="4"/>
      <c r="B483" s="5"/>
      <c r="C483" s="6"/>
      <c r="D483" s="6"/>
      <c r="E483" s="6"/>
      <c r="F483" s="3"/>
      <c r="G483" s="6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5">
      <c r="A484" s="4"/>
      <c r="B484" s="5"/>
      <c r="C484" s="6"/>
      <c r="D484" s="6"/>
      <c r="E484" s="6"/>
      <c r="F484" s="3"/>
      <c r="G484" s="6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5">
      <c r="A485" s="4"/>
      <c r="B485" s="5"/>
      <c r="C485" s="6"/>
      <c r="D485" s="6"/>
      <c r="E485" s="6"/>
      <c r="F485" s="3"/>
      <c r="G485" s="6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5">
      <c r="A486" s="4"/>
      <c r="B486" s="5"/>
      <c r="C486" s="6"/>
      <c r="D486" s="6"/>
      <c r="E486" s="6"/>
      <c r="F486" s="3"/>
      <c r="G486" s="6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5">
      <c r="A487" s="4"/>
      <c r="B487" s="5"/>
      <c r="C487" s="6"/>
      <c r="D487" s="6"/>
      <c r="E487" s="6"/>
      <c r="F487" s="3"/>
      <c r="G487" s="6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5">
      <c r="A488" s="4"/>
      <c r="B488" s="5"/>
      <c r="C488" s="6"/>
      <c r="D488" s="6"/>
      <c r="E488" s="6"/>
      <c r="F488" s="3"/>
      <c r="G488" s="6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5">
      <c r="A489" s="4"/>
      <c r="B489" s="5"/>
      <c r="C489" s="6"/>
      <c r="D489" s="6"/>
      <c r="E489" s="6"/>
      <c r="F489" s="3"/>
      <c r="G489" s="6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5">
      <c r="A490" s="4"/>
      <c r="B490" s="5"/>
      <c r="C490" s="6"/>
      <c r="D490" s="6"/>
      <c r="E490" s="6"/>
      <c r="F490" s="3"/>
      <c r="G490" s="6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5">
      <c r="A491" s="4"/>
      <c r="B491" s="5"/>
      <c r="C491" s="6"/>
      <c r="D491" s="6"/>
      <c r="E491" s="6"/>
      <c r="F491" s="3"/>
      <c r="G491" s="6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5">
      <c r="A492" s="4"/>
      <c r="B492" s="5"/>
      <c r="C492" s="6"/>
      <c r="D492" s="6"/>
      <c r="E492" s="6"/>
      <c r="F492" s="3"/>
      <c r="G492" s="6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5">
      <c r="A493" s="4"/>
      <c r="B493" s="5"/>
      <c r="C493" s="6"/>
      <c r="D493" s="6"/>
      <c r="E493" s="6"/>
      <c r="F493" s="3"/>
      <c r="G493" s="6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5">
      <c r="A494" s="4"/>
      <c r="B494" s="5"/>
      <c r="C494" s="6"/>
      <c r="D494" s="6"/>
      <c r="E494" s="6"/>
      <c r="F494" s="3"/>
      <c r="G494" s="6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5">
      <c r="A495" s="4"/>
      <c r="B495" s="5"/>
      <c r="C495" s="6"/>
      <c r="D495" s="6"/>
      <c r="E495" s="6"/>
      <c r="F495" s="3"/>
      <c r="G495" s="6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5">
      <c r="A496" s="4"/>
      <c r="B496" s="5"/>
      <c r="C496" s="6"/>
      <c r="D496" s="6"/>
      <c r="E496" s="6"/>
      <c r="F496" s="3"/>
      <c r="G496" s="6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5">
      <c r="A497" s="4"/>
      <c r="B497" s="5"/>
      <c r="C497" s="6"/>
      <c r="D497" s="6"/>
      <c r="E497" s="6"/>
      <c r="F497" s="3"/>
      <c r="G497" s="6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5">
      <c r="A498" s="4"/>
      <c r="B498" s="5"/>
      <c r="C498" s="6"/>
      <c r="D498" s="6"/>
      <c r="E498" s="6"/>
      <c r="F498" s="3"/>
      <c r="G498" s="6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5">
      <c r="A499" s="4"/>
      <c r="B499" s="5"/>
      <c r="C499" s="6"/>
      <c r="D499" s="6"/>
      <c r="E499" s="6"/>
      <c r="F499" s="3"/>
      <c r="G499" s="6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5">
      <c r="A500" s="4"/>
      <c r="B500" s="5"/>
      <c r="C500" s="6"/>
      <c r="D500" s="6"/>
      <c r="E500" s="6"/>
      <c r="F500" s="3"/>
      <c r="G500" s="6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5">
      <c r="A501" s="4"/>
      <c r="B501" s="5"/>
      <c r="C501" s="6"/>
      <c r="D501" s="6"/>
      <c r="E501" s="6"/>
      <c r="F501" s="3"/>
      <c r="G501" s="6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5">
      <c r="A502" s="4"/>
      <c r="B502" s="5"/>
      <c r="C502" s="6"/>
      <c r="D502" s="6"/>
      <c r="E502" s="6"/>
      <c r="F502" s="3"/>
      <c r="G502" s="6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5">
      <c r="A503" s="4"/>
      <c r="B503" s="5"/>
      <c r="C503" s="6"/>
      <c r="D503" s="6"/>
      <c r="E503" s="6"/>
      <c r="F503" s="3"/>
      <c r="G503" s="6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5">
      <c r="A504" s="4"/>
      <c r="B504" s="5"/>
      <c r="C504" s="6"/>
      <c r="D504" s="6"/>
      <c r="E504" s="6"/>
      <c r="F504" s="3"/>
      <c r="G504" s="6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5">
      <c r="A505" s="4"/>
      <c r="B505" s="5"/>
      <c r="C505" s="6"/>
      <c r="D505" s="6"/>
      <c r="E505" s="6"/>
      <c r="F505" s="3"/>
      <c r="G505" s="6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5">
      <c r="A506" s="4"/>
      <c r="B506" s="5"/>
      <c r="C506" s="6"/>
      <c r="D506" s="6"/>
      <c r="E506" s="6"/>
      <c r="F506" s="3"/>
      <c r="G506" s="6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5">
      <c r="A507" s="4"/>
      <c r="B507" s="5"/>
      <c r="C507" s="6"/>
      <c r="D507" s="6"/>
      <c r="E507" s="6"/>
      <c r="F507" s="3"/>
      <c r="G507" s="6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5">
      <c r="A508" s="4"/>
      <c r="B508" s="5"/>
      <c r="C508" s="6"/>
      <c r="D508" s="6"/>
      <c r="E508" s="6"/>
      <c r="F508" s="3"/>
      <c r="G508" s="6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5">
      <c r="A509" s="4"/>
      <c r="B509" s="5"/>
      <c r="C509" s="6"/>
      <c r="D509" s="6"/>
      <c r="E509" s="6"/>
      <c r="F509" s="3"/>
      <c r="G509" s="6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5">
      <c r="A510" s="4"/>
      <c r="B510" s="5"/>
      <c r="C510" s="6"/>
      <c r="D510" s="6"/>
      <c r="E510" s="6"/>
      <c r="F510" s="3"/>
      <c r="G510" s="6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5">
      <c r="A511" s="4"/>
      <c r="B511" s="5"/>
      <c r="C511" s="6"/>
      <c r="D511" s="6"/>
      <c r="E511" s="6"/>
      <c r="F511" s="3"/>
      <c r="G511" s="6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5">
      <c r="A512" s="4"/>
      <c r="B512" s="5"/>
      <c r="C512" s="6"/>
      <c r="D512" s="6"/>
      <c r="E512" s="6"/>
      <c r="F512" s="3"/>
      <c r="G512" s="6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5">
      <c r="A513" s="4"/>
      <c r="B513" s="5"/>
      <c r="C513" s="6"/>
      <c r="D513" s="6"/>
      <c r="E513" s="6"/>
      <c r="F513" s="3"/>
      <c r="G513" s="6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5">
      <c r="A514" s="4"/>
      <c r="B514" s="5"/>
      <c r="C514" s="6"/>
      <c r="D514" s="6"/>
      <c r="E514" s="6"/>
      <c r="F514" s="3"/>
      <c r="G514" s="6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5">
      <c r="A515" s="4"/>
      <c r="B515" s="5"/>
      <c r="C515" s="6"/>
      <c r="D515" s="6"/>
      <c r="E515" s="6"/>
      <c r="F515" s="3"/>
      <c r="G515" s="6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5">
      <c r="A516" s="4"/>
      <c r="B516" s="5"/>
      <c r="C516" s="6"/>
      <c r="D516" s="6"/>
      <c r="E516" s="6"/>
      <c r="F516" s="3"/>
      <c r="G516" s="6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5">
      <c r="A517" s="4"/>
      <c r="B517" s="5"/>
      <c r="C517" s="6"/>
      <c r="D517" s="6"/>
      <c r="E517" s="6"/>
      <c r="F517" s="3"/>
      <c r="G517" s="6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5">
      <c r="A518" s="4"/>
      <c r="B518" s="5"/>
      <c r="C518" s="6"/>
      <c r="D518" s="6"/>
      <c r="E518" s="6"/>
      <c r="F518" s="3"/>
      <c r="G518" s="6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5">
      <c r="A519" s="4"/>
      <c r="B519" s="5"/>
      <c r="C519" s="6"/>
      <c r="D519" s="6"/>
      <c r="E519" s="6"/>
      <c r="F519" s="3"/>
      <c r="G519" s="6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5">
      <c r="A520" s="4"/>
      <c r="B520" s="5"/>
      <c r="C520" s="6"/>
      <c r="D520" s="6"/>
      <c r="E520" s="6"/>
      <c r="F520" s="3"/>
      <c r="G520" s="6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5">
      <c r="A521" s="4"/>
      <c r="B521" s="5"/>
      <c r="C521" s="6"/>
      <c r="D521" s="6"/>
      <c r="E521" s="6"/>
      <c r="F521" s="3"/>
      <c r="G521" s="6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5">
      <c r="A522" s="4"/>
      <c r="B522" s="5"/>
      <c r="C522" s="6"/>
      <c r="D522" s="6"/>
      <c r="E522" s="6"/>
      <c r="F522" s="3"/>
      <c r="G522" s="6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5">
      <c r="A523" s="4"/>
      <c r="B523" s="5"/>
      <c r="C523" s="6"/>
      <c r="D523" s="6"/>
      <c r="E523" s="6"/>
      <c r="F523" s="3"/>
      <c r="G523" s="6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5">
      <c r="A524" s="4"/>
      <c r="B524" s="5"/>
      <c r="C524" s="6"/>
      <c r="D524" s="6"/>
      <c r="E524" s="6"/>
      <c r="F524" s="3"/>
      <c r="G524" s="6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5">
      <c r="A525" s="4"/>
      <c r="B525" s="5"/>
      <c r="C525" s="6"/>
      <c r="D525" s="6"/>
      <c r="E525" s="6"/>
      <c r="F525" s="3"/>
      <c r="G525" s="6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5">
      <c r="A526" s="4"/>
      <c r="B526" s="5"/>
      <c r="C526" s="6"/>
      <c r="D526" s="6"/>
      <c r="E526" s="6"/>
      <c r="F526" s="3"/>
      <c r="G526" s="6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5">
      <c r="A527" s="4"/>
      <c r="B527" s="5"/>
      <c r="C527" s="6"/>
      <c r="D527" s="6"/>
      <c r="E527" s="6"/>
      <c r="F527" s="3"/>
      <c r="G527" s="6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5">
      <c r="A528" s="4"/>
      <c r="B528" s="5"/>
      <c r="C528" s="6"/>
      <c r="D528" s="6"/>
      <c r="E528" s="6"/>
      <c r="F528" s="3"/>
      <c r="G528" s="6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5">
      <c r="A529" s="4"/>
      <c r="B529" s="5"/>
      <c r="C529" s="6"/>
      <c r="D529" s="6"/>
      <c r="E529" s="6"/>
      <c r="F529" s="3"/>
      <c r="G529" s="6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5">
      <c r="A530" s="4"/>
      <c r="B530" s="5"/>
      <c r="C530" s="6"/>
      <c r="D530" s="6"/>
      <c r="E530" s="6"/>
      <c r="F530" s="3"/>
      <c r="G530" s="6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5">
      <c r="A531" s="4"/>
      <c r="B531" s="5"/>
      <c r="C531" s="6"/>
      <c r="D531" s="6"/>
      <c r="E531" s="6"/>
      <c r="F531" s="3"/>
      <c r="G531" s="6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5">
      <c r="A532" s="4"/>
      <c r="B532" s="5"/>
      <c r="C532" s="6"/>
      <c r="D532" s="6"/>
      <c r="E532" s="6"/>
      <c r="F532" s="3"/>
      <c r="G532" s="6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5">
      <c r="A533" s="4"/>
      <c r="B533" s="5"/>
      <c r="C533" s="6"/>
      <c r="D533" s="6"/>
      <c r="E533" s="6"/>
      <c r="F533" s="3"/>
      <c r="G533" s="6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5">
      <c r="A534" s="4"/>
      <c r="B534" s="5"/>
      <c r="C534" s="6"/>
      <c r="D534" s="6"/>
      <c r="E534" s="6"/>
      <c r="F534" s="3"/>
      <c r="G534" s="6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5">
      <c r="A535" s="4"/>
      <c r="B535" s="5"/>
      <c r="C535" s="6"/>
      <c r="D535" s="6"/>
      <c r="E535" s="6"/>
      <c r="F535" s="3"/>
      <c r="G535" s="6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5">
      <c r="A536" s="4"/>
      <c r="B536" s="5"/>
      <c r="C536" s="6"/>
      <c r="D536" s="6"/>
      <c r="E536" s="6"/>
      <c r="F536" s="3"/>
      <c r="G536" s="6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5">
      <c r="A537" s="4"/>
      <c r="B537" s="5"/>
      <c r="C537" s="6"/>
      <c r="D537" s="6"/>
      <c r="E537" s="6"/>
      <c r="F537" s="3"/>
      <c r="G537" s="6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5">
      <c r="A538" s="4"/>
      <c r="B538" s="5"/>
      <c r="C538" s="6"/>
      <c r="D538" s="6"/>
      <c r="E538" s="6"/>
      <c r="F538" s="3"/>
      <c r="G538" s="6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5">
      <c r="A539" s="4"/>
      <c r="B539" s="5"/>
      <c r="C539" s="6"/>
      <c r="D539" s="6"/>
      <c r="E539" s="6"/>
      <c r="F539" s="3"/>
      <c r="G539" s="6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5">
      <c r="A540" s="4"/>
      <c r="B540" s="5"/>
      <c r="C540" s="6"/>
      <c r="D540" s="6"/>
      <c r="E540" s="6"/>
      <c r="F540" s="3"/>
      <c r="G540" s="6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5">
      <c r="A541" s="4"/>
      <c r="B541" s="5"/>
      <c r="C541" s="6"/>
      <c r="D541" s="6"/>
      <c r="E541" s="6"/>
      <c r="F541" s="3"/>
      <c r="G541" s="6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5">
      <c r="A542" s="4"/>
      <c r="B542" s="5"/>
      <c r="C542" s="6"/>
      <c r="D542" s="6"/>
      <c r="E542" s="6"/>
      <c r="F542" s="3"/>
      <c r="G542" s="6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5">
      <c r="A543" s="4"/>
      <c r="B543" s="5"/>
      <c r="C543" s="6"/>
      <c r="D543" s="6"/>
      <c r="E543" s="6"/>
      <c r="F543" s="3"/>
      <c r="G543" s="6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5">
      <c r="A544" s="4"/>
      <c r="B544" s="5"/>
      <c r="C544" s="6"/>
      <c r="D544" s="6"/>
      <c r="E544" s="6"/>
      <c r="F544" s="3"/>
      <c r="G544" s="6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5">
      <c r="A545" s="4"/>
      <c r="B545" s="5"/>
      <c r="C545" s="6"/>
      <c r="D545" s="6"/>
      <c r="E545" s="6"/>
      <c r="F545" s="3"/>
      <c r="G545" s="6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5">
      <c r="A546" s="4"/>
      <c r="B546" s="5"/>
      <c r="C546" s="6"/>
      <c r="D546" s="6"/>
      <c r="E546" s="6"/>
      <c r="F546" s="3"/>
      <c r="G546" s="6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5">
      <c r="A547" s="4"/>
      <c r="B547" s="5"/>
      <c r="C547" s="6"/>
      <c r="D547" s="6"/>
      <c r="E547" s="6"/>
      <c r="F547" s="3"/>
      <c r="G547" s="6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5">
      <c r="A548" s="4"/>
      <c r="B548" s="5"/>
      <c r="C548" s="6"/>
      <c r="D548" s="6"/>
      <c r="E548" s="6"/>
      <c r="F548" s="3"/>
      <c r="G548" s="6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5">
      <c r="A549" s="4"/>
      <c r="B549" s="5"/>
      <c r="C549" s="6"/>
      <c r="D549" s="6"/>
      <c r="E549" s="6"/>
      <c r="F549" s="3"/>
      <c r="G549" s="6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5">
      <c r="A550" s="4"/>
      <c r="B550" s="5"/>
      <c r="C550" s="6"/>
      <c r="D550" s="6"/>
      <c r="E550" s="6"/>
      <c r="F550" s="3"/>
      <c r="G550" s="6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5">
      <c r="A551" s="4"/>
      <c r="B551" s="5"/>
      <c r="C551" s="6"/>
      <c r="D551" s="6"/>
      <c r="E551" s="6"/>
      <c r="F551" s="3"/>
      <c r="G551" s="6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5">
      <c r="A552" s="4"/>
      <c r="B552" s="5"/>
      <c r="C552" s="6"/>
      <c r="D552" s="6"/>
      <c r="E552" s="6"/>
      <c r="F552" s="3"/>
      <c r="G552" s="6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5">
      <c r="A553" s="4"/>
      <c r="B553" s="5"/>
      <c r="C553" s="6"/>
      <c r="D553" s="6"/>
      <c r="E553" s="6"/>
      <c r="F553" s="3"/>
      <c r="G553" s="6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5">
      <c r="A554" s="4"/>
      <c r="B554" s="5"/>
      <c r="C554" s="6"/>
      <c r="D554" s="6"/>
      <c r="E554" s="6"/>
      <c r="F554" s="3"/>
      <c r="G554" s="6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5">
      <c r="A555" s="4"/>
      <c r="B555" s="5"/>
      <c r="C555" s="6"/>
      <c r="D555" s="6"/>
      <c r="E555" s="6"/>
      <c r="F555" s="3"/>
      <c r="G555" s="6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5">
      <c r="A556" s="4"/>
      <c r="B556" s="5"/>
      <c r="C556" s="6"/>
      <c r="D556" s="6"/>
      <c r="E556" s="6"/>
      <c r="F556" s="3"/>
      <c r="G556" s="6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5">
      <c r="A557" s="4"/>
      <c r="B557" s="5"/>
      <c r="C557" s="6"/>
      <c r="D557" s="6"/>
      <c r="E557" s="6"/>
      <c r="F557" s="3"/>
      <c r="G557" s="6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5">
      <c r="A558" s="4"/>
      <c r="B558" s="5"/>
      <c r="C558" s="6"/>
      <c r="D558" s="6"/>
      <c r="E558" s="6"/>
      <c r="F558" s="3"/>
      <c r="G558" s="6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5">
      <c r="A559" s="4"/>
      <c r="B559" s="5"/>
      <c r="C559" s="6"/>
      <c r="D559" s="6"/>
      <c r="E559" s="6"/>
      <c r="F559" s="3"/>
      <c r="G559" s="6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5">
      <c r="A560" s="4"/>
      <c r="B560" s="5"/>
      <c r="C560" s="6"/>
      <c r="D560" s="6"/>
      <c r="E560" s="6"/>
      <c r="F560" s="3"/>
      <c r="G560" s="6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5">
      <c r="A561" s="4"/>
      <c r="B561" s="5"/>
      <c r="C561" s="6"/>
      <c r="D561" s="6"/>
      <c r="E561" s="6"/>
      <c r="F561" s="3"/>
      <c r="G561" s="6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5">
      <c r="A562" s="4"/>
      <c r="B562" s="5"/>
      <c r="C562" s="6"/>
      <c r="D562" s="6"/>
      <c r="E562" s="6"/>
      <c r="F562" s="3"/>
      <c r="G562" s="6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5">
      <c r="A563" s="4"/>
      <c r="B563" s="5"/>
      <c r="C563" s="6"/>
      <c r="D563" s="6"/>
      <c r="E563" s="6"/>
      <c r="F563" s="3"/>
      <c r="G563" s="6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5">
      <c r="A564" s="4"/>
      <c r="B564" s="5"/>
      <c r="C564" s="6"/>
      <c r="D564" s="6"/>
      <c r="E564" s="6"/>
      <c r="F564" s="3"/>
      <c r="G564" s="6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5">
      <c r="A565" s="4"/>
      <c r="B565" s="5"/>
      <c r="C565" s="6"/>
      <c r="D565" s="6"/>
      <c r="E565" s="6"/>
      <c r="F565" s="3"/>
      <c r="G565" s="6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5">
      <c r="A566" s="4"/>
      <c r="B566" s="5"/>
      <c r="C566" s="6"/>
      <c r="D566" s="6"/>
      <c r="E566" s="6"/>
      <c r="F566" s="3"/>
      <c r="G566" s="6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5">
      <c r="A567" s="4"/>
      <c r="B567" s="5"/>
      <c r="C567" s="6"/>
      <c r="D567" s="6"/>
      <c r="E567" s="6"/>
      <c r="F567" s="3"/>
      <c r="G567" s="6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5">
      <c r="A568" s="4"/>
      <c r="B568" s="5"/>
      <c r="C568" s="6"/>
      <c r="D568" s="6"/>
      <c r="E568" s="6"/>
      <c r="F568" s="3"/>
      <c r="G568" s="6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5">
      <c r="A569" s="4"/>
      <c r="B569" s="5"/>
      <c r="C569" s="6"/>
      <c r="D569" s="6"/>
      <c r="E569" s="6"/>
      <c r="F569" s="3"/>
      <c r="G569" s="6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5">
      <c r="A570" s="4"/>
      <c r="B570" s="5"/>
      <c r="C570" s="6"/>
      <c r="D570" s="6"/>
      <c r="E570" s="6"/>
      <c r="F570" s="3"/>
      <c r="G570" s="6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5">
      <c r="A571" s="4"/>
      <c r="B571" s="5"/>
      <c r="C571" s="6"/>
      <c r="D571" s="6"/>
      <c r="E571" s="6"/>
      <c r="F571" s="3"/>
      <c r="G571" s="6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5">
      <c r="A572" s="4"/>
      <c r="B572" s="5"/>
      <c r="C572" s="6"/>
      <c r="D572" s="6"/>
      <c r="E572" s="6"/>
      <c r="F572" s="3"/>
      <c r="G572" s="6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5">
      <c r="A573" s="4"/>
      <c r="B573" s="5"/>
      <c r="C573" s="6"/>
      <c r="D573" s="6"/>
      <c r="E573" s="6"/>
      <c r="F573" s="3"/>
      <c r="G573" s="6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5">
      <c r="A574" s="4"/>
      <c r="B574" s="5"/>
      <c r="C574" s="6"/>
      <c r="D574" s="6"/>
      <c r="E574" s="6"/>
      <c r="F574" s="3"/>
      <c r="G574" s="6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5">
      <c r="A575" s="4"/>
      <c r="B575" s="5"/>
      <c r="C575" s="6"/>
      <c r="D575" s="6"/>
      <c r="E575" s="6"/>
      <c r="F575" s="3"/>
      <c r="G575" s="6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5">
      <c r="A576" s="4"/>
      <c r="B576" s="5"/>
      <c r="C576" s="6"/>
      <c r="D576" s="6"/>
      <c r="E576" s="6"/>
      <c r="F576" s="3"/>
      <c r="G576" s="6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5">
      <c r="A577" s="4"/>
      <c r="B577" s="5"/>
      <c r="C577" s="6"/>
      <c r="D577" s="6"/>
      <c r="E577" s="6"/>
      <c r="F577" s="3"/>
      <c r="G577" s="6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5">
      <c r="A578" s="4"/>
      <c r="B578" s="5"/>
      <c r="C578" s="6"/>
      <c r="D578" s="6"/>
      <c r="E578" s="6"/>
      <c r="F578" s="3"/>
      <c r="G578" s="6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5">
      <c r="A579" s="4"/>
      <c r="B579" s="5"/>
      <c r="C579" s="6"/>
      <c r="D579" s="6"/>
      <c r="E579" s="6"/>
      <c r="F579" s="3"/>
      <c r="G579" s="6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5">
      <c r="A580" s="4"/>
      <c r="B580" s="5"/>
      <c r="C580" s="6"/>
      <c r="D580" s="6"/>
      <c r="E580" s="6"/>
      <c r="F580" s="3"/>
      <c r="G580" s="6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5">
      <c r="A581" s="4"/>
      <c r="B581" s="5"/>
      <c r="C581" s="6"/>
      <c r="D581" s="6"/>
      <c r="E581" s="6"/>
      <c r="F581" s="3"/>
      <c r="G581" s="6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5">
      <c r="A582" s="4"/>
      <c r="B582" s="5"/>
      <c r="C582" s="6"/>
      <c r="D582" s="6"/>
      <c r="E582" s="6"/>
      <c r="F582" s="3"/>
      <c r="G582" s="6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5">
      <c r="A583" s="4"/>
      <c r="B583" s="5"/>
      <c r="C583" s="6"/>
      <c r="D583" s="6"/>
      <c r="E583" s="6"/>
      <c r="F583" s="3"/>
      <c r="G583" s="6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5">
      <c r="A584" s="4"/>
      <c r="B584" s="5"/>
      <c r="C584" s="6"/>
      <c r="D584" s="6"/>
      <c r="E584" s="6"/>
      <c r="F584" s="3"/>
      <c r="G584" s="6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5">
      <c r="A585" s="4"/>
      <c r="B585" s="5"/>
      <c r="C585" s="6"/>
      <c r="D585" s="6"/>
      <c r="E585" s="6"/>
      <c r="F585" s="3"/>
      <c r="G585" s="6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5">
      <c r="A586" s="4"/>
      <c r="B586" s="5"/>
      <c r="C586" s="6"/>
      <c r="D586" s="6"/>
      <c r="E586" s="6"/>
      <c r="F586" s="3"/>
      <c r="G586" s="6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5">
      <c r="A587" s="4"/>
      <c r="B587" s="5"/>
      <c r="C587" s="6"/>
      <c r="D587" s="6"/>
      <c r="E587" s="6"/>
      <c r="F587" s="3"/>
      <c r="G587" s="6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5">
      <c r="A588" s="4"/>
      <c r="B588" s="5"/>
      <c r="C588" s="6"/>
      <c r="D588" s="6"/>
      <c r="E588" s="6"/>
      <c r="F588" s="3"/>
      <c r="G588" s="6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5">
      <c r="A589" s="4"/>
      <c r="B589" s="5"/>
      <c r="C589" s="6"/>
      <c r="D589" s="6"/>
      <c r="E589" s="6"/>
      <c r="F589" s="3"/>
      <c r="G589" s="6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5">
      <c r="A590" s="4"/>
      <c r="B590" s="5"/>
      <c r="C590" s="6"/>
      <c r="D590" s="6"/>
      <c r="E590" s="6"/>
      <c r="F590" s="3"/>
      <c r="G590" s="6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5">
      <c r="A591" s="4"/>
      <c r="B591" s="5"/>
      <c r="C591" s="6"/>
      <c r="D591" s="6"/>
      <c r="E591" s="6"/>
      <c r="F591" s="3"/>
      <c r="G591" s="6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5">
      <c r="A592" s="4"/>
      <c r="B592" s="5"/>
      <c r="C592" s="6"/>
      <c r="D592" s="6"/>
      <c r="E592" s="6"/>
      <c r="F592" s="3"/>
      <c r="G592" s="6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5">
      <c r="A593" s="4"/>
      <c r="B593" s="5"/>
      <c r="C593" s="6"/>
      <c r="D593" s="6"/>
      <c r="E593" s="6"/>
      <c r="F593" s="3"/>
      <c r="G593" s="6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5">
      <c r="A594" s="4"/>
      <c r="B594" s="5"/>
      <c r="C594" s="6"/>
      <c r="D594" s="6"/>
      <c r="E594" s="6"/>
      <c r="F594" s="3"/>
      <c r="G594" s="6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5">
      <c r="A595" s="4"/>
      <c r="B595" s="5"/>
      <c r="C595" s="6"/>
      <c r="D595" s="6"/>
      <c r="E595" s="6"/>
      <c r="F595" s="3"/>
      <c r="G595" s="6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5">
      <c r="A596" s="4"/>
      <c r="B596" s="5"/>
      <c r="C596" s="6"/>
      <c r="D596" s="6"/>
      <c r="E596" s="6"/>
      <c r="F596" s="3"/>
      <c r="G596" s="6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5">
      <c r="A597" s="4"/>
      <c r="B597" s="5"/>
      <c r="C597" s="6"/>
      <c r="D597" s="6"/>
      <c r="E597" s="6"/>
      <c r="F597" s="3"/>
      <c r="G597" s="6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5">
      <c r="A598" s="4"/>
      <c r="B598" s="5"/>
      <c r="C598" s="6"/>
      <c r="D598" s="6"/>
      <c r="E598" s="6"/>
      <c r="F598" s="3"/>
      <c r="G598" s="6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5">
      <c r="A599" s="4"/>
      <c r="B599" s="5"/>
      <c r="C599" s="6"/>
      <c r="D599" s="6"/>
      <c r="E599" s="6"/>
      <c r="F599" s="3"/>
      <c r="G599" s="6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5">
      <c r="A600" s="4"/>
      <c r="B600" s="5"/>
      <c r="C600" s="6"/>
      <c r="D600" s="6"/>
      <c r="E600" s="6"/>
      <c r="F600" s="3"/>
      <c r="G600" s="6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5">
      <c r="A601" s="4"/>
      <c r="B601" s="5"/>
      <c r="C601" s="6"/>
      <c r="D601" s="6"/>
      <c r="E601" s="6"/>
      <c r="F601" s="3"/>
      <c r="G601" s="6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5">
      <c r="A602" s="4"/>
      <c r="B602" s="5"/>
      <c r="C602" s="6"/>
      <c r="D602" s="6"/>
      <c r="E602" s="6"/>
      <c r="F602" s="3"/>
      <c r="G602" s="6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5">
      <c r="A603" s="4"/>
      <c r="B603" s="5"/>
      <c r="C603" s="6"/>
      <c r="D603" s="6"/>
      <c r="E603" s="6"/>
      <c r="F603" s="3"/>
      <c r="G603" s="6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5">
      <c r="A604" s="4"/>
      <c r="B604" s="5"/>
      <c r="C604" s="6"/>
      <c r="D604" s="6"/>
      <c r="E604" s="6"/>
      <c r="F604" s="3"/>
      <c r="G604" s="6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5">
      <c r="A605" s="4"/>
      <c r="B605" s="5"/>
      <c r="C605" s="6"/>
      <c r="D605" s="6"/>
      <c r="E605" s="6"/>
      <c r="F605" s="3"/>
      <c r="G605" s="6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5">
      <c r="A606" s="4"/>
      <c r="B606" s="5"/>
      <c r="C606" s="6"/>
      <c r="D606" s="6"/>
      <c r="E606" s="6"/>
      <c r="F606" s="3"/>
      <c r="G606" s="6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5">
      <c r="A607" s="4"/>
      <c r="B607" s="5"/>
      <c r="C607" s="6"/>
      <c r="D607" s="6"/>
      <c r="E607" s="6"/>
      <c r="F607" s="3"/>
      <c r="G607" s="6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5">
      <c r="A608" s="4"/>
      <c r="B608" s="5"/>
      <c r="C608" s="6"/>
      <c r="D608" s="6"/>
      <c r="E608" s="6"/>
      <c r="F608" s="3"/>
      <c r="G608" s="6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5">
      <c r="A609" s="4"/>
      <c r="B609" s="5"/>
      <c r="C609" s="6"/>
      <c r="D609" s="6"/>
      <c r="E609" s="6"/>
      <c r="F609" s="3"/>
      <c r="G609" s="6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5">
      <c r="A610" s="4"/>
      <c r="B610" s="5"/>
      <c r="C610" s="6"/>
      <c r="D610" s="6"/>
      <c r="E610" s="6"/>
      <c r="F610" s="3"/>
      <c r="G610" s="6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5">
      <c r="A611" s="4"/>
      <c r="B611" s="5"/>
      <c r="C611" s="6"/>
      <c r="D611" s="6"/>
      <c r="E611" s="6"/>
      <c r="F611" s="3"/>
      <c r="G611" s="6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5">
      <c r="A612" s="4"/>
      <c r="B612" s="5"/>
      <c r="C612" s="6"/>
      <c r="D612" s="6"/>
      <c r="E612" s="6"/>
      <c r="F612" s="3"/>
      <c r="G612" s="6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5">
      <c r="A613" s="4"/>
      <c r="B613" s="5"/>
      <c r="C613" s="6"/>
      <c r="D613" s="6"/>
      <c r="E613" s="6"/>
      <c r="F613" s="3"/>
      <c r="G613" s="6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5">
      <c r="A614" s="4"/>
      <c r="B614" s="5"/>
      <c r="C614" s="6"/>
      <c r="D614" s="6"/>
      <c r="E614" s="6"/>
      <c r="F614" s="3"/>
      <c r="G614" s="6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5">
      <c r="A615" s="4"/>
      <c r="B615" s="5"/>
      <c r="C615" s="6"/>
      <c r="D615" s="6"/>
      <c r="E615" s="6"/>
      <c r="F615" s="3"/>
      <c r="G615" s="6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5">
      <c r="A616" s="4"/>
      <c r="B616" s="5"/>
      <c r="C616" s="6"/>
      <c r="D616" s="6"/>
      <c r="E616" s="6"/>
      <c r="F616" s="3"/>
      <c r="G616" s="6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5">
      <c r="A617" s="4"/>
      <c r="B617" s="5"/>
      <c r="C617" s="6"/>
      <c r="D617" s="6"/>
      <c r="E617" s="6"/>
      <c r="F617" s="3"/>
      <c r="G617" s="6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5">
      <c r="A618" s="4"/>
      <c r="B618" s="5"/>
      <c r="C618" s="6"/>
      <c r="D618" s="6"/>
      <c r="E618" s="6"/>
      <c r="F618" s="3"/>
      <c r="G618" s="6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5">
      <c r="A619" s="4"/>
      <c r="B619" s="5"/>
      <c r="C619" s="6"/>
      <c r="D619" s="6"/>
      <c r="E619" s="6"/>
      <c r="F619" s="3"/>
      <c r="G619" s="6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5">
      <c r="A620" s="4"/>
      <c r="B620" s="5"/>
      <c r="C620" s="6"/>
      <c r="D620" s="6"/>
      <c r="E620" s="6"/>
      <c r="F620" s="3"/>
      <c r="G620" s="6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5">
      <c r="A621" s="4"/>
      <c r="B621" s="5"/>
      <c r="C621" s="6"/>
      <c r="D621" s="6"/>
      <c r="E621" s="6"/>
      <c r="F621" s="3"/>
      <c r="G621" s="6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5">
      <c r="A622" s="4"/>
      <c r="B622" s="5"/>
      <c r="C622" s="6"/>
      <c r="D622" s="6"/>
      <c r="E622" s="6"/>
      <c r="F622" s="3"/>
      <c r="G622" s="6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5">
      <c r="A623" s="4"/>
      <c r="B623" s="5"/>
      <c r="C623" s="6"/>
      <c r="D623" s="6"/>
      <c r="E623" s="6"/>
      <c r="F623" s="3"/>
      <c r="G623" s="6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5">
      <c r="A624" s="4"/>
      <c r="B624" s="5"/>
      <c r="C624" s="6"/>
      <c r="D624" s="6"/>
      <c r="E624" s="6"/>
      <c r="F624" s="3"/>
      <c r="G624" s="6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5">
      <c r="A625" s="4"/>
      <c r="B625" s="5"/>
      <c r="C625" s="6"/>
      <c r="D625" s="6"/>
      <c r="E625" s="6"/>
      <c r="F625" s="3"/>
      <c r="G625" s="6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5">
      <c r="A626" s="4"/>
      <c r="B626" s="5"/>
      <c r="C626" s="6"/>
      <c r="D626" s="6"/>
      <c r="E626" s="6"/>
      <c r="F626" s="3"/>
      <c r="G626" s="6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5">
      <c r="A627" s="4"/>
      <c r="B627" s="5"/>
      <c r="C627" s="6"/>
      <c r="D627" s="6"/>
      <c r="E627" s="6"/>
      <c r="F627" s="3"/>
      <c r="G627" s="6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5">
      <c r="A628" s="4"/>
      <c r="B628" s="5"/>
      <c r="C628" s="6"/>
      <c r="D628" s="6"/>
      <c r="E628" s="6"/>
      <c r="F628" s="3"/>
      <c r="G628" s="6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5">
      <c r="A629" s="4"/>
      <c r="B629" s="5"/>
      <c r="C629" s="6"/>
      <c r="D629" s="6"/>
      <c r="E629" s="6"/>
      <c r="F629" s="3"/>
      <c r="G629" s="6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5">
      <c r="A630" s="4"/>
      <c r="B630" s="5"/>
      <c r="C630" s="6"/>
      <c r="D630" s="6"/>
      <c r="E630" s="6"/>
      <c r="F630" s="3"/>
      <c r="G630" s="6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5">
      <c r="A631" s="4"/>
      <c r="B631" s="5"/>
      <c r="C631" s="6"/>
      <c r="D631" s="6"/>
      <c r="E631" s="6"/>
      <c r="F631" s="3"/>
      <c r="G631" s="6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5">
      <c r="A632" s="4"/>
      <c r="B632" s="5"/>
      <c r="C632" s="6"/>
      <c r="D632" s="6"/>
      <c r="E632" s="6"/>
      <c r="F632" s="3"/>
      <c r="G632" s="6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5">
      <c r="A633" s="4"/>
      <c r="B633" s="5"/>
      <c r="C633" s="6"/>
      <c r="D633" s="6"/>
      <c r="E633" s="6"/>
      <c r="F633" s="3"/>
      <c r="G633" s="6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5">
      <c r="A634" s="4"/>
      <c r="B634" s="5"/>
      <c r="C634" s="6"/>
      <c r="D634" s="6"/>
      <c r="E634" s="6"/>
      <c r="F634" s="3"/>
      <c r="G634" s="6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5">
      <c r="A635" s="4"/>
      <c r="B635" s="5"/>
      <c r="C635" s="6"/>
      <c r="D635" s="6"/>
      <c r="E635" s="6"/>
      <c r="F635" s="3"/>
      <c r="G635" s="6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5">
      <c r="A636" s="4"/>
      <c r="B636" s="5"/>
      <c r="C636" s="6"/>
      <c r="D636" s="6"/>
      <c r="E636" s="6"/>
      <c r="F636" s="3"/>
      <c r="G636" s="6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5">
      <c r="A637" s="4"/>
      <c r="B637" s="5"/>
      <c r="C637" s="6"/>
      <c r="D637" s="6"/>
      <c r="E637" s="6"/>
      <c r="F637" s="3"/>
      <c r="G637" s="6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5">
      <c r="A638" s="4"/>
      <c r="B638" s="5"/>
      <c r="C638" s="6"/>
      <c r="D638" s="6"/>
      <c r="E638" s="6"/>
      <c r="F638" s="3"/>
      <c r="G638" s="6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5">
      <c r="A639" s="4"/>
      <c r="B639" s="5"/>
      <c r="C639" s="6"/>
      <c r="D639" s="6"/>
      <c r="E639" s="6"/>
      <c r="F639" s="3"/>
      <c r="G639" s="6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5">
      <c r="A640" s="4"/>
      <c r="B640" s="5"/>
      <c r="C640" s="6"/>
      <c r="D640" s="6"/>
      <c r="E640" s="6"/>
      <c r="F640" s="3"/>
      <c r="G640" s="6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5">
      <c r="A641" s="4"/>
      <c r="B641" s="5"/>
      <c r="C641" s="6"/>
      <c r="D641" s="6"/>
      <c r="E641" s="6"/>
      <c r="F641" s="3"/>
      <c r="G641" s="6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5">
      <c r="A642" s="4"/>
      <c r="B642" s="5"/>
      <c r="C642" s="6"/>
      <c r="D642" s="6"/>
      <c r="E642" s="6"/>
      <c r="F642" s="3"/>
      <c r="G642" s="6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5">
      <c r="A643" s="4"/>
      <c r="B643" s="5"/>
      <c r="C643" s="6"/>
      <c r="D643" s="6"/>
      <c r="E643" s="6"/>
      <c r="F643" s="3"/>
      <c r="G643" s="6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5">
      <c r="A644" s="4"/>
      <c r="B644" s="5"/>
      <c r="C644" s="6"/>
      <c r="D644" s="6"/>
      <c r="E644" s="6"/>
      <c r="F644" s="3"/>
      <c r="G644" s="6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5">
      <c r="A645" s="4"/>
      <c r="B645" s="5"/>
      <c r="C645" s="6"/>
      <c r="D645" s="6"/>
      <c r="E645" s="6"/>
      <c r="F645" s="3"/>
      <c r="G645" s="6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5">
      <c r="A646" s="4"/>
      <c r="B646" s="5"/>
      <c r="C646" s="6"/>
      <c r="D646" s="6"/>
      <c r="E646" s="6"/>
      <c r="F646" s="3"/>
      <c r="G646" s="6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5">
      <c r="A647" s="4"/>
      <c r="B647" s="5"/>
      <c r="C647" s="6"/>
      <c r="D647" s="6"/>
      <c r="E647" s="6"/>
      <c r="F647" s="3"/>
      <c r="G647" s="6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5">
      <c r="A648" s="4"/>
      <c r="B648" s="5"/>
      <c r="C648" s="6"/>
      <c r="D648" s="6"/>
      <c r="E648" s="6"/>
      <c r="F648" s="3"/>
      <c r="G648" s="6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5">
      <c r="A649" s="4"/>
      <c r="B649" s="5"/>
      <c r="C649" s="6"/>
      <c r="D649" s="6"/>
      <c r="E649" s="6"/>
      <c r="F649" s="3"/>
      <c r="G649" s="6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5">
      <c r="A650" s="4"/>
      <c r="B650" s="5"/>
      <c r="C650" s="6"/>
      <c r="D650" s="6"/>
      <c r="E650" s="6"/>
      <c r="F650" s="3"/>
      <c r="G650" s="6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5">
      <c r="A651" s="4"/>
      <c r="B651" s="5"/>
      <c r="C651" s="6"/>
      <c r="D651" s="6"/>
      <c r="E651" s="6"/>
      <c r="F651" s="3"/>
      <c r="G651" s="6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5">
      <c r="A652" s="4"/>
      <c r="B652" s="5"/>
      <c r="C652" s="6"/>
      <c r="D652" s="6"/>
      <c r="E652" s="6"/>
      <c r="F652" s="3"/>
      <c r="G652" s="6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5">
      <c r="A653" s="4"/>
      <c r="B653" s="5"/>
      <c r="C653" s="6"/>
      <c r="D653" s="6"/>
      <c r="E653" s="6"/>
      <c r="F653" s="3"/>
      <c r="G653" s="6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5">
      <c r="A654" s="4"/>
      <c r="B654" s="5"/>
      <c r="C654" s="6"/>
      <c r="D654" s="6"/>
      <c r="E654" s="6"/>
      <c r="F654" s="3"/>
      <c r="G654" s="6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5">
      <c r="A655" s="4"/>
      <c r="B655" s="5"/>
      <c r="C655" s="6"/>
      <c r="D655" s="6"/>
      <c r="E655" s="6"/>
      <c r="F655" s="3"/>
      <c r="G655" s="6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5">
      <c r="A656" s="4"/>
      <c r="B656" s="5"/>
      <c r="C656" s="6"/>
      <c r="D656" s="6"/>
      <c r="E656" s="6"/>
      <c r="F656" s="3"/>
      <c r="G656" s="6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5">
      <c r="A657" s="4"/>
      <c r="B657" s="5"/>
      <c r="C657" s="6"/>
      <c r="D657" s="6"/>
      <c r="E657" s="6"/>
      <c r="F657" s="3"/>
      <c r="G657" s="6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5">
      <c r="A658" s="4"/>
      <c r="B658" s="5"/>
      <c r="C658" s="6"/>
      <c r="D658" s="6"/>
      <c r="E658" s="6"/>
      <c r="F658" s="3"/>
      <c r="G658" s="6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5">
      <c r="A659" s="4"/>
      <c r="B659" s="5"/>
      <c r="C659" s="6"/>
      <c r="D659" s="6"/>
      <c r="E659" s="6"/>
      <c r="F659" s="3"/>
      <c r="G659" s="6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5">
      <c r="A660" s="4"/>
      <c r="B660" s="5"/>
      <c r="C660" s="6"/>
      <c r="D660" s="6"/>
      <c r="E660" s="6"/>
      <c r="F660" s="3"/>
      <c r="G660" s="6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5">
      <c r="A661" s="4"/>
      <c r="B661" s="5"/>
      <c r="C661" s="6"/>
      <c r="D661" s="6"/>
      <c r="E661" s="6"/>
      <c r="F661" s="3"/>
      <c r="G661" s="6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5">
      <c r="A662" s="4"/>
      <c r="B662" s="5"/>
      <c r="C662" s="6"/>
      <c r="D662" s="6"/>
      <c r="E662" s="6"/>
      <c r="F662" s="3"/>
      <c r="G662" s="6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5">
      <c r="A663" s="4"/>
      <c r="B663" s="5"/>
      <c r="C663" s="6"/>
      <c r="D663" s="6"/>
      <c r="E663" s="6"/>
      <c r="F663" s="3"/>
      <c r="G663" s="6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5">
      <c r="A664" s="4"/>
      <c r="B664" s="5"/>
      <c r="C664" s="6"/>
      <c r="D664" s="6"/>
      <c r="E664" s="6"/>
      <c r="F664" s="3"/>
      <c r="G664" s="6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5">
      <c r="A665" s="4"/>
      <c r="B665" s="5"/>
      <c r="C665" s="6"/>
      <c r="D665" s="6"/>
      <c r="E665" s="6"/>
      <c r="F665" s="3"/>
      <c r="G665" s="6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5">
      <c r="A666" s="4"/>
      <c r="B666" s="5"/>
      <c r="C666" s="6"/>
      <c r="D666" s="6"/>
      <c r="E666" s="6"/>
      <c r="F666" s="3"/>
      <c r="G666" s="6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5">
      <c r="A667" s="4"/>
      <c r="B667" s="5"/>
      <c r="C667" s="6"/>
      <c r="D667" s="6"/>
      <c r="E667" s="6"/>
      <c r="F667" s="3"/>
      <c r="G667" s="6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5">
      <c r="A668" s="4"/>
      <c r="B668" s="5"/>
      <c r="C668" s="6"/>
      <c r="D668" s="6"/>
      <c r="E668" s="6"/>
      <c r="F668" s="3"/>
      <c r="G668" s="6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5">
      <c r="A669" s="4"/>
      <c r="B669" s="5"/>
      <c r="C669" s="6"/>
      <c r="D669" s="6"/>
      <c r="E669" s="6"/>
      <c r="F669" s="3"/>
      <c r="G669" s="6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5">
      <c r="A670" s="4"/>
      <c r="B670" s="5"/>
      <c r="C670" s="6"/>
      <c r="D670" s="6"/>
      <c r="E670" s="6"/>
      <c r="F670" s="3"/>
      <c r="G670" s="6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5">
      <c r="A671" s="4"/>
      <c r="B671" s="5"/>
      <c r="C671" s="6"/>
      <c r="D671" s="6"/>
      <c r="E671" s="6"/>
      <c r="F671" s="3"/>
      <c r="G671" s="6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5">
      <c r="A672" s="4"/>
      <c r="B672" s="5"/>
      <c r="C672" s="6"/>
      <c r="D672" s="6"/>
      <c r="E672" s="6"/>
      <c r="F672" s="3"/>
      <c r="G672" s="6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5">
      <c r="A673" s="4"/>
      <c r="B673" s="5"/>
      <c r="C673" s="6"/>
      <c r="D673" s="6"/>
      <c r="E673" s="6"/>
      <c r="F673" s="3"/>
      <c r="G673" s="6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5">
      <c r="A674" s="4"/>
      <c r="B674" s="5"/>
      <c r="C674" s="6"/>
      <c r="D674" s="6"/>
      <c r="E674" s="6"/>
      <c r="F674" s="3"/>
      <c r="G674" s="6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5">
      <c r="A675" s="4"/>
      <c r="B675" s="5"/>
      <c r="C675" s="6"/>
      <c r="D675" s="6"/>
      <c r="E675" s="6"/>
      <c r="F675" s="3"/>
      <c r="G675" s="6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5">
      <c r="A676" s="4"/>
      <c r="B676" s="5"/>
      <c r="C676" s="6"/>
      <c r="D676" s="6"/>
      <c r="E676" s="6"/>
      <c r="F676" s="3"/>
      <c r="G676" s="6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5">
      <c r="A677" s="4"/>
      <c r="B677" s="5"/>
      <c r="C677" s="6"/>
      <c r="D677" s="6"/>
      <c r="E677" s="6"/>
      <c r="F677" s="3"/>
      <c r="G677" s="6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5">
      <c r="A678" s="4"/>
      <c r="B678" s="5"/>
      <c r="C678" s="6"/>
      <c r="D678" s="6"/>
      <c r="E678" s="6"/>
      <c r="F678" s="3"/>
      <c r="G678" s="6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5">
      <c r="A679" s="4"/>
      <c r="B679" s="5"/>
      <c r="C679" s="6"/>
      <c r="D679" s="6"/>
      <c r="E679" s="6"/>
      <c r="F679" s="3"/>
      <c r="G679" s="6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5">
      <c r="A680" s="4"/>
      <c r="B680" s="5"/>
      <c r="C680" s="6"/>
      <c r="D680" s="6"/>
      <c r="E680" s="6"/>
      <c r="F680" s="3"/>
      <c r="G680" s="6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5">
      <c r="A681" s="4"/>
      <c r="B681" s="5"/>
      <c r="C681" s="6"/>
      <c r="D681" s="6"/>
      <c r="E681" s="6"/>
      <c r="F681" s="3"/>
      <c r="G681" s="6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5">
      <c r="A682" s="4"/>
      <c r="B682" s="5"/>
      <c r="C682" s="6"/>
      <c r="D682" s="6"/>
      <c r="E682" s="6"/>
      <c r="F682" s="3"/>
      <c r="G682" s="6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5">
      <c r="A683" s="4"/>
      <c r="B683" s="5"/>
      <c r="C683" s="6"/>
      <c r="D683" s="6"/>
      <c r="E683" s="6"/>
      <c r="F683" s="3"/>
      <c r="G683" s="6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5">
      <c r="A684" s="4"/>
      <c r="B684" s="5"/>
      <c r="C684" s="6"/>
      <c r="D684" s="6"/>
      <c r="E684" s="6"/>
      <c r="F684" s="3"/>
      <c r="G684" s="6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5">
      <c r="A685" s="4"/>
      <c r="B685" s="5"/>
      <c r="C685" s="6"/>
      <c r="D685" s="6"/>
      <c r="E685" s="6"/>
      <c r="F685" s="3"/>
      <c r="G685" s="6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5">
      <c r="A686" s="4"/>
      <c r="B686" s="5"/>
      <c r="C686" s="6"/>
      <c r="D686" s="6"/>
      <c r="E686" s="6"/>
      <c r="F686" s="3"/>
      <c r="G686" s="6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5">
      <c r="A687" s="4"/>
      <c r="B687" s="5"/>
      <c r="C687" s="6"/>
      <c r="D687" s="6"/>
      <c r="E687" s="6"/>
      <c r="F687" s="3"/>
      <c r="G687" s="6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5">
      <c r="A688" s="4"/>
      <c r="B688" s="5"/>
      <c r="C688" s="6"/>
      <c r="D688" s="6"/>
      <c r="E688" s="6"/>
      <c r="F688" s="3"/>
      <c r="G688" s="6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5">
      <c r="A689" s="4"/>
      <c r="B689" s="5"/>
      <c r="C689" s="6"/>
      <c r="D689" s="6"/>
      <c r="E689" s="6"/>
      <c r="F689" s="3"/>
      <c r="G689" s="6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5">
      <c r="A690" s="4"/>
      <c r="B690" s="5"/>
      <c r="C690" s="6"/>
      <c r="D690" s="6"/>
      <c r="E690" s="6"/>
      <c r="F690" s="3"/>
      <c r="G690" s="6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5">
      <c r="A691" s="4"/>
      <c r="B691" s="5"/>
      <c r="C691" s="6"/>
      <c r="D691" s="6"/>
      <c r="E691" s="6"/>
      <c r="F691" s="3"/>
      <c r="G691" s="6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5">
      <c r="A692" s="4"/>
      <c r="B692" s="5"/>
      <c r="C692" s="6"/>
      <c r="D692" s="6"/>
      <c r="E692" s="6"/>
      <c r="F692" s="3"/>
      <c r="G692" s="6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5">
      <c r="A693" s="4"/>
      <c r="B693" s="5"/>
      <c r="C693" s="6"/>
      <c r="D693" s="6"/>
      <c r="E693" s="6"/>
      <c r="F693" s="3"/>
      <c r="G693" s="6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5">
      <c r="A694" s="4"/>
      <c r="B694" s="5"/>
      <c r="C694" s="6"/>
      <c r="D694" s="6"/>
      <c r="E694" s="6"/>
      <c r="F694" s="3"/>
      <c r="G694" s="6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5">
      <c r="A695" s="4"/>
      <c r="B695" s="5"/>
      <c r="C695" s="6"/>
      <c r="D695" s="6"/>
      <c r="E695" s="6"/>
      <c r="F695" s="3"/>
      <c r="G695" s="6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5">
      <c r="A696" s="4"/>
      <c r="B696" s="5"/>
      <c r="C696" s="6"/>
      <c r="D696" s="6"/>
      <c r="E696" s="6"/>
      <c r="F696" s="3"/>
      <c r="G696" s="6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5">
      <c r="A697" s="4"/>
      <c r="B697" s="5"/>
      <c r="C697" s="6"/>
      <c r="D697" s="6"/>
      <c r="E697" s="6"/>
      <c r="F697" s="3"/>
      <c r="G697" s="6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5">
      <c r="A698" s="4"/>
      <c r="B698" s="5"/>
      <c r="C698" s="6"/>
      <c r="D698" s="6"/>
      <c r="E698" s="6"/>
      <c r="F698" s="3"/>
      <c r="G698" s="6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5">
      <c r="A699" s="4"/>
      <c r="B699" s="5"/>
      <c r="C699" s="6"/>
      <c r="D699" s="6"/>
      <c r="E699" s="6"/>
      <c r="F699" s="3"/>
      <c r="G699" s="6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5">
      <c r="A700" s="4"/>
      <c r="B700" s="5"/>
      <c r="C700" s="6"/>
      <c r="D700" s="6"/>
      <c r="E700" s="6"/>
      <c r="F700" s="3"/>
      <c r="G700" s="6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5">
      <c r="A701" s="4"/>
      <c r="B701" s="5"/>
      <c r="C701" s="6"/>
      <c r="D701" s="6"/>
      <c r="E701" s="6"/>
      <c r="F701" s="3"/>
      <c r="G701" s="6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5">
      <c r="A702" s="4"/>
      <c r="B702" s="5"/>
      <c r="C702" s="6"/>
      <c r="D702" s="6"/>
      <c r="E702" s="6"/>
      <c r="F702" s="3"/>
      <c r="G702" s="6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5">
      <c r="A703" s="4"/>
      <c r="B703" s="5"/>
      <c r="C703" s="6"/>
      <c r="D703" s="6"/>
      <c r="E703" s="6"/>
      <c r="F703" s="3"/>
      <c r="G703" s="6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5">
      <c r="A704" s="4"/>
      <c r="B704" s="5"/>
      <c r="C704" s="6"/>
      <c r="D704" s="6"/>
      <c r="E704" s="6"/>
      <c r="F704" s="3"/>
      <c r="G704" s="6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5">
      <c r="A705" s="4"/>
      <c r="B705" s="5"/>
      <c r="C705" s="6"/>
      <c r="D705" s="6"/>
      <c r="E705" s="6"/>
      <c r="F705" s="3"/>
      <c r="G705" s="6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5">
      <c r="A706" s="4"/>
      <c r="B706" s="5"/>
      <c r="C706" s="6"/>
      <c r="D706" s="6"/>
      <c r="E706" s="6"/>
      <c r="F706" s="3"/>
      <c r="G706" s="6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5">
      <c r="A707" s="4"/>
      <c r="B707" s="5"/>
      <c r="C707" s="6"/>
      <c r="D707" s="6"/>
      <c r="E707" s="6"/>
      <c r="F707" s="3"/>
      <c r="G707" s="6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5">
      <c r="A708" s="4"/>
      <c r="B708" s="5"/>
      <c r="C708" s="6"/>
      <c r="D708" s="6"/>
      <c r="E708" s="6"/>
      <c r="F708" s="3"/>
      <c r="G708" s="6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5">
      <c r="A709" s="4"/>
      <c r="B709" s="5"/>
      <c r="C709" s="6"/>
      <c r="D709" s="6"/>
      <c r="E709" s="6"/>
      <c r="F709" s="3"/>
      <c r="G709" s="6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5">
      <c r="A710" s="4"/>
      <c r="B710" s="5"/>
      <c r="C710" s="6"/>
      <c r="D710" s="6"/>
      <c r="E710" s="6"/>
      <c r="F710" s="3"/>
      <c r="G710" s="6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5">
      <c r="A711" s="4"/>
      <c r="B711" s="5"/>
      <c r="C711" s="6"/>
      <c r="D711" s="6"/>
      <c r="E711" s="6"/>
      <c r="F711" s="3"/>
      <c r="G711" s="6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5">
      <c r="A712" s="4"/>
      <c r="B712" s="5"/>
      <c r="C712" s="6"/>
      <c r="D712" s="6"/>
      <c r="E712" s="6"/>
      <c r="F712" s="3"/>
      <c r="G712" s="6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5">
      <c r="A713" s="4"/>
      <c r="B713" s="5"/>
      <c r="C713" s="6"/>
      <c r="D713" s="6"/>
      <c r="E713" s="6"/>
      <c r="F713" s="3"/>
      <c r="G713" s="6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5">
      <c r="A714" s="4"/>
      <c r="B714" s="5"/>
      <c r="C714" s="6"/>
      <c r="D714" s="6"/>
      <c r="E714" s="6"/>
      <c r="F714" s="3"/>
      <c r="G714" s="6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5">
      <c r="A715" s="4"/>
      <c r="B715" s="5"/>
      <c r="C715" s="6"/>
      <c r="D715" s="6"/>
      <c r="E715" s="6"/>
      <c r="F715" s="3"/>
      <c r="G715" s="6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5">
      <c r="A716" s="4"/>
      <c r="B716" s="5"/>
      <c r="C716" s="6"/>
      <c r="D716" s="6"/>
      <c r="E716" s="6"/>
      <c r="F716" s="3"/>
      <c r="G716" s="6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5">
      <c r="A717" s="4"/>
      <c r="B717" s="5"/>
      <c r="C717" s="6"/>
      <c r="D717" s="6"/>
      <c r="E717" s="6"/>
      <c r="F717" s="3"/>
      <c r="G717" s="6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5">
      <c r="A718" s="4"/>
      <c r="B718" s="5"/>
      <c r="C718" s="6"/>
      <c r="D718" s="6"/>
      <c r="E718" s="6"/>
      <c r="F718" s="3"/>
      <c r="G718" s="6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5">
      <c r="A719" s="4"/>
      <c r="B719" s="5"/>
      <c r="C719" s="6"/>
      <c r="D719" s="6"/>
      <c r="E719" s="6"/>
      <c r="F719" s="3"/>
      <c r="G719" s="6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5">
      <c r="A720" s="4"/>
      <c r="B720" s="5"/>
      <c r="C720" s="6"/>
      <c r="D720" s="6"/>
      <c r="E720" s="6"/>
      <c r="F720" s="3"/>
      <c r="G720" s="6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5">
      <c r="A721" s="4"/>
      <c r="B721" s="5"/>
      <c r="C721" s="6"/>
      <c r="D721" s="6"/>
      <c r="E721" s="6"/>
      <c r="F721" s="3"/>
      <c r="G721" s="6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5">
      <c r="A722" s="4"/>
      <c r="B722" s="5"/>
      <c r="C722" s="6"/>
      <c r="D722" s="6"/>
      <c r="E722" s="6"/>
      <c r="F722" s="3"/>
      <c r="G722" s="6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5">
      <c r="A723" s="4"/>
      <c r="B723" s="5"/>
      <c r="C723" s="6"/>
      <c r="D723" s="6"/>
      <c r="E723" s="6"/>
      <c r="F723" s="3"/>
      <c r="G723" s="6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5">
      <c r="A724" s="4"/>
      <c r="B724" s="5"/>
      <c r="C724" s="6"/>
      <c r="D724" s="6"/>
      <c r="E724" s="6"/>
      <c r="F724" s="3"/>
      <c r="G724" s="6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5">
      <c r="A725" s="4"/>
      <c r="B725" s="5"/>
      <c r="C725" s="6"/>
      <c r="D725" s="6"/>
      <c r="E725" s="6"/>
      <c r="F725" s="3"/>
      <c r="G725" s="6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5">
      <c r="A726" s="4"/>
      <c r="B726" s="5"/>
      <c r="C726" s="6"/>
      <c r="D726" s="6"/>
      <c r="E726" s="6"/>
      <c r="F726" s="3"/>
      <c r="G726" s="6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5">
      <c r="A727" s="4"/>
      <c r="B727" s="5"/>
      <c r="C727" s="6"/>
      <c r="D727" s="6"/>
      <c r="E727" s="6"/>
      <c r="F727" s="3"/>
      <c r="G727" s="6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5">
      <c r="A728" s="4"/>
      <c r="B728" s="5"/>
      <c r="C728" s="6"/>
      <c r="D728" s="6"/>
      <c r="E728" s="6"/>
      <c r="F728" s="3"/>
      <c r="G728" s="6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5">
      <c r="A729" s="4"/>
      <c r="B729" s="5"/>
      <c r="C729" s="6"/>
      <c r="D729" s="6"/>
      <c r="E729" s="6"/>
      <c r="F729" s="3"/>
      <c r="G729" s="6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5">
      <c r="A730" s="4"/>
      <c r="B730" s="5"/>
      <c r="C730" s="6"/>
      <c r="D730" s="6"/>
      <c r="E730" s="6"/>
      <c r="F730" s="3"/>
      <c r="G730" s="6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5">
      <c r="A731" s="4"/>
      <c r="B731" s="5"/>
      <c r="C731" s="6"/>
      <c r="D731" s="6"/>
      <c r="E731" s="6"/>
      <c r="F731" s="3"/>
      <c r="G731" s="6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5">
      <c r="A732" s="4"/>
      <c r="B732" s="5"/>
      <c r="C732" s="6"/>
      <c r="D732" s="6"/>
      <c r="E732" s="6"/>
      <c r="F732" s="3"/>
      <c r="G732" s="6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5">
      <c r="A733" s="4"/>
      <c r="B733" s="5"/>
      <c r="C733" s="6"/>
      <c r="D733" s="6"/>
      <c r="E733" s="6"/>
      <c r="F733" s="3"/>
      <c r="G733" s="6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5">
      <c r="A734" s="4"/>
      <c r="B734" s="5"/>
      <c r="C734" s="6"/>
      <c r="D734" s="6"/>
      <c r="E734" s="6"/>
      <c r="F734" s="3"/>
      <c r="G734" s="6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5">
      <c r="A735" s="4"/>
      <c r="B735" s="5"/>
      <c r="C735" s="6"/>
      <c r="D735" s="6"/>
      <c r="E735" s="6"/>
      <c r="F735" s="3"/>
      <c r="G735" s="6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5">
      <c r="A736" s="4"/>
      <c r="B736" s="5"/>
      <c r="C736" s="6"/>
      <c r="D736" s="6"/>
      <c r="E736" s="6"/>
      <c r="F736" s="3"/>
      <c r="G736" s="6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5">
      <c r="A737" s="4"/>
      <c r="B737" s="5"/>
      <c r="C737" s="6"/>
      <c r="D737" s="6"/>
      <c r="E737" s="6"/>
      <c r="F737" s="3"/>
      <c r="G737" s="6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5">
      <c r="A738" s="4"/>
      <c r="B738" s="5"/>
      <c r="C738" s="6"/>
      <c r="D738" s="6"/>
      <c r="E738" s="6"/>
      <c r="F738" s="3"/>
      <c r="G738" s="6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5">
      <c r="A739" s="4"/>
      <c r="B739" s="5"/>
      <c r="C739" s="6"/>
      <c r="D739" s="6"/>
      <c r="E739" s="6"/>
      <c r="F739" s="3"/>
      <c r="G739" s="6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5">
      <c r="A740" s="4"/>
      <c r="B740" s="5"/>
      <c r="C740" s="6"/>
      <c r="D740" s="6"/>
      <c r="E740" s="6"/>
      <c r="F740" s="3"/>
      <c r="G740" s="6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5">
      <c r="A741" s="4"/>
      <c r="B741" s="5"/>
      <c r="C741" s="6"/>
      <c r="D741" s="6"/>
      <c r="E741" s="6"/>
      <c r="F741" s="3"/>
      <c r="G741" s="6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5">
      <c r="A742" s="4"/>
      <c r="B742" s="5"/>
      <c r="C742" s="6"/>
      <c r="D742" s="6"/>
      <c r="E742" s="6"/>
      <c r="F742" s="3"/>
      <c r="G742" s="6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5">
      <c r="A743" s="4"/>
      <c r="B743" s="5"/>
      <c r="C743" s="6"/>
      <c r="D743" s="6"/>
      <c r="E743" s="6"/>
      <c r="F743" s="3"/>
      <c r="G743" s="6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5">
      <c r="A744" s="4"/>
      <c r="B744" s="5"/>
      <c r="C744" s="6"/>
      <c r="D744" s="6"/>
      <c r="E744" s="6"/>
      <c r="F744" s="3"/>
      <c r="G744" s="6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5">
      <c r="A745" s="4"/>
      <c r="B745" s="5"/>
      <c r="C745" s="6"/>
      <c r="D745" s="6"/>
      <c r="E745" s="6"/>
      <c r="F745" s="3"/>
      <c r="G745" s="6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5">
      <c r="A746" s="4"/>
      <c r="B746" s="5"/>
      <c r="C746" s="6"/>
      <c r="D746" s="6"/>
      <c r="E746" s="6"/>
      <c r="F746" s="3"/>
      <c r="G746" s="6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5">
      <c r="A747" s="4"/>
      <c r="B747" s="5"/>
      <c r="C747" s="6"/>
      <c r="D747" s="6"/>
      <c r="E747" s="6"/>
      <c r="F747" s="3"/>
      <c r="G747" s="6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5">
      <c r="A748" s="4"/>
      <c r="B748" s="5"/>
      <c r="C748" s="6"/>
      <c r="D748" s="6"/>
      <c r="E748" s="6"/>
      <c r="F748" s="3"/>
      <c r="G748" s="6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5">
      <c r="A749" s="4"/>
      <c r="B749" s="5"/>
      <c r="C749" s="6"/>
      <c r="D749" s="6"/>
      <c r="E749" s="6"/>
      <c r="F749" s="3"/>
      <c r="G749" s="6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5">
      <c r="A750" s="4"/>
      <c r="B750" s="5"/>
      <c r="C750" s="6"/>
      <c r="D750" s="6"/>
      <c r="E750" s="6"/>
      <c r="F750" s="3"/>
      <c r="G750" s="6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5">
      <c r="A751" s="4"/>
      <c r="B751" s="5"/>
      <c r="C751" s="6"/>
      <c r="D751" s="6"/>
      <c r="E751" s="6"/>
      <c r="F751" s="3"/>
      <c r="G751" s="6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5">
      <c r="A752" s="4"/>
      <c r="B752" s="5"/>
      <c r="C752" s="6"/>
      <c r="D752" s="6"/>
      <c r="E752" s="6"/>
      <c r="F752" s="3"/>
      <c r="G752" s="6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5">
      <c r="A753" s="4"/>
      <c r="B753" s="5"/>
      <c r="C753" s="6"/>
      <c r="D753" s="6"/>
      <c r="E753" s="6"/>
      <c r="F753" s="3"/>
      <c r="G753" s="6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5">
      <c r="A754" s="4"/>
      <c r="B754" s="5"/>
      <c r="C754" s="6"/>
      <c r="D754" s="6"/>
      <c r="E754" s="6"/>
      <c r="F754" s="3"/>
      <c r="G754" s="6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5">
      <c r="A755" s="4"/>
      <c r="B755" s="5"/>
      <c r="C755" s="6"/>
      <c r="D755" s="6"/>
      <c r="E755" s="6"/>
      <c r="F755" s="3"/>
      <c r="G755" s="6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5">
      <c r="A756" s="4"/>
      <c r="B756" s="5"/>
      <c r="C756" s="6"/>
      <c r="D756" s="6"/>
      <c r="E756" s="6"/>
      <c r="F756" s="3"/>
      <c r="G756" s="6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5">
      <c r="A757" s="4"/>
      <c r="B757" s="5"/>
      <c r="C757" s="6"/>
      <c r="D757" s="6"/>
      <c r="E757" s="6"/>
      <c r="F757" s="3"/>
      <c r="G757" s="6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5">
      <c r="A758" s="4"/>
      <c r="B758" s="5"/>
      <c r="C758" s="6"/>
      <c r="D758" s="6"/>
      <c r="E758" s="6"/>
      <c r="F758" s="3"/>
      <c r="G758" s="6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5">
      <c r="A759" s="4"/>
      <c r="B759" s="5"/>
      <c r="C759" s="6"/>
      <c r="D759" s="6"/>
      <c r="E759" s="6"/>
      <c r="F759" s="3"/>
      <c r="G759" s="6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5">
      <c r="A760" s="4"/>
      <c r="B760" s="5"/>
      <c r="C760" s="6"/>
      <c r="D760" s="6"/>
      <c r="E760" s="6"/>
      <c r="F760" s="3"/>
      <c r="G760" s="6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5">
      <c r="A761" s="4"/>
      <c r="B761" s="5"/>
      <c r="C761" s="6"/>
      <c r="D761" s="6"/>
      <c r="E761" s="6"/>
      <c r="F761" s="3"/>
      <c r="G761" s="6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5">
      <c r="A762" s="4"/>
      <c r="B762" s="5"/>
      <c r="C762" s="6"/>
      <c r="D762" s="6"/>
      <c r="E762" s="6"/>
      <c r="F762" s="3"/>
      <c r="G762" s="6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5">
      <c r="A763" s="4"/>
      <c r="B763" s="5"/>
      <c r="C763" s="6"/>
      <c r="D763" s="6"/>
      <c r="E763" s="6"/>
      <c r="F763" s="3"/>
      <c r="G763" s="6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5">
      <c r="A764" s="4"/>
      <c r="B764" s="5"/>
      <c r="C764" s="6"/>
      <c r="D764" s="6"/>
      <c r="E764" s="6"/>
      <c r="F764" s="3"/>
      <c r="G764" s="6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5">
      <c r="A765" s="4"/>
      <c r="B765" s="5"/>
      <c r="C765" s="6"/>
      <c r="D765" s="6"/>
      <c r="E765" s="6"/>
      <c r="F765" s="3"/>
      <c r="G765" s="6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5">
      <c r="A766" s="4"/>
      <c r="B766" s="5"/>
      <c r="C766" s="6"/>
      <c r="D766" s="6"/>
      <c r="E766" s="6"/>
      <c r="F766" s="3"/>
      <c r="G766" s="6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5">
      <c r="A767" s="4"/>
      <c r="B767" s="5"/>
      <c r="C767" s="6"/>
      <c r="D767" s="6"/>
      <c r="E767" s="6"/>
      <c r="F767" s="3"/>
      <c r="G767" s="6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5">
      <c r="A768" s="4"/>
      <c r="B768" s="5"/>
      <c r="C768" s="6"/>
      <c r="D768" s="6"/>
      <c r="E768" s="6"/>
      <c r="F768" s="3"/>
      <c r="G768" s="6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5">
      <c r="A769" s="4"/>
      <c r="B769" s="5"/>
      <c r="C769" s="6"/>
      <c r="D769" s="6"/>
      <c r="E769" s="6"/>
      <c r="F769" s="3"/>
      <c r="G769" s="6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5">
      <c r="A770" s="4"/>
      <c r="B770" s="5"/>
      <c r="C770" s="6"/>
      <c r="D770" s="6"/>
      <c r="E770" s="6"/>
      <c r="F770" s="3"/>
      <c r="G770" s="6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5">
      <c r="A771" s="4"/>
      <c r="B771" s="5"/>
      <c r="C771" s="6"/>
      <c r="D771" s="6"/>
      <c r="E771" s="6"/>
      <c r="F771" s="3"/>
      <c r="G771" s="6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5">
      <c r="A772" s="4"/>
      <c r="B772" s="5"/>
      <c r="C772" s="6"/>
      <c r="D772" s="6"/>
      <c r="E772" s="6"/>
      <c r="F772" s="3"/>
      <c r="G772" s="6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5">
      <c r="A773" s="4"/>
      <c r="B773" s="5"/>
      <c r="C773" s="6"/>
      <c r="D773" s="6"/>
      <c r="E773" s="6"/>
      <c r="F773" s="3"/>
      <c r="G773" s="6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5">
      <c r="A774" s="4"/>
      <c r="B774" s="5"/>
      <c r="C774" s="6"/>
      <c r="D774" s="6"/>
      <c r="E774" s="6"/>
      <c r="F774" s="3"/>
      <c r="G774" s="6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5">
      <c r="A775" s="4"/>
      <c r="B775" s="5"/>
      <c r="C775" s="6"/>
      <c r="D775" s="6"/>
      <c r="E775" s="6"/>
      <c r="F775" s="3"/>
      <c r="G775" s="6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5">
      <c r="A776" s="4"/>
      <c r="B776" s="5"/>
      <c r="C776" s="6"/>
      <c r="D776" s="6"/>
      <c r="E776" s="6"/>
      <c r="F776" s="3"/>
      <c r="G776" s="6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5">
      <c r="A777" s="4"/>
      <c r="B777" s="5"/>
      <c r="C777" s="6"/>
      <c r="D777" s="6"/>
      <c r="E777" s="6"/>
      <c r="F777" s="3"/>
      <c r="G777" s="6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5">
      <c r="A778" s="4"/>
      <c r="B778" s="5"/>
      <c r="C778" s="6"/>
      <c r="D778" s="6"/>
      <c r="E778" s="6"/>
      <c r="F778" s="3"/>
      <c r="G778" s="6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5">
      <c r="A779" s="4"/>
      <c r="B779" s="5"/>
      <c r="C779" s="6"/>
      <c r="D779" s="6"/>
      <c r="E779" s="6"/>
      <c r="F779" s="3"/>
      <c r="G779" s="6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5">
      <c r="A780" s="4"/>
      <c r="B780" s="5"/>
      <c r="C780" s="6"/>
      <c r="D780" s="6"/>
      <c r="E780" s="6"/>
      <c r="F780" s="3"/>
      <c r="G780" s="6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5">
      <c r="A781" s="4"/>
      <c r="B781" s="5"/>
      <c r="C781" s="6"/>
      <c r="D781" s="6"/>
      <c r="E781" s="6"/>
      <c r="F781" s="3"/>
      <c r="G781" s="6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5">
      <c r="A782" s="4"/>
      <c r="B782" s="5"/>
      <c r="C782" s="6"/>
      <c r="D782" s="6"/>
      <c r="E782" s="6"/>
      <c r="F782" s="3"/>
      <c r="G782" s="6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5">
      <c r="A783" s="4"/>
      <c r="B783" s="5"/>
      <c r="C783" s="6"/>
      <c r="D783" s="6"/>
      <c r="E783" s="6"/>
      <c r="F783" s="3"/>
      <c r="G783" s="6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5">
      <c r="A784" s="4"/>
      <c r="B784" s="5"/>
      <c r="C784" s="6"/>
      <c r="D784" s="6"/>
      <c r="E784" s="6"/>
      <c r="F784" s="3"/>
      <c r="G784" s="6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5">
      <c r="A785" s="4"/>
      <c r="B785" s="5"/>
      <c r="C785" s="6"/>
      <c r="D785" s="6"/>
      <c r="E785" s="6"/>
      <c r="F785" s="3"/>
      <c r="G785" s="6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5">
      <c r="A786" s="4"/>
      <c r="B786" s="5"/>
      <c r="C786" s="6"/>
      <c r="D786" s="6"/>
      <c r="E786" s="6"/>
      <c r="F786" s="3"/>
      <c r="G786" s="6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5">
      <c r="A787" s="4"/>
      <c r="B787" s="5"/>
      <c r="C787" s="6"/>
      <c r="D787" s="6"/>
      <c r="E787" s="6"/>
      <c r="F787" s="3"/>
      <c r="G787" s="6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5">
      <c r="A788" s="4"/>
      <c r="B788" s="5"/>
      <c r="C788" s="6"/>
      <c r="D788" s="6"/>
      <c r="E788" s="6"/>
      <c r="F788" s="3"/>
      <c r="G788" s="6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5">
      <c r="A789" s="4"/>
      <c r="B789" s="5"/>
      <c r="C789" s="6"/>
      <c r="D789" s="6"/>
      <c r="E789" s="6"/>
      <c r="F789" s="3"/>
      <c r="G789" s="6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5">
      <c r="A790" s="4"/>
      <c r="B790" s="5"/>
      <c r="C790" s="6"/>
      <c r="D790" s="6"/>
      <c r="E790" s="6"/>
      <c r="F790" s="3"/>
      <c r="G790" s="6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5">
      <c r="A791" s="4"/>
      <c r="B791" s="5"/>
      <c r="C791" s="6"/>
      <c r="D791" s="6"/>
      <c r="E791" s="6"/>
      <c r="F791" s="3"/>
      <c r="G791" s="6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5">
      <c r="A792" s="4"/>
      <c r="B792" s="5"/>
      <c r="C792" s="6"/>
      <c r="D792" s="6"/>
      <c r="E792" s="6"/>
      <c r="F792" s="3"/>
      <c r="G792" s="6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5">
      <c r="A793" s="4"/>
      <c r="B793" s="5"/>
      <c r="C793" s="6"/>
      <c r="D793" s="6"/>
      <c r="E793" s="6"/>
      <c r="F793" s="3"/>
      <c r="G793" s="6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5">
      <c r="A794" s="4"/>
      <c r="B794" s="5"/>
      <c r="C794" s="6"/>
      <c r="D794" s="6"/>
      <c r="E794" s="6"/>
      <c r="F794" s="3"/>
      <c r="G794" s="6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5">
      <c r="A795" s="4"/>
      <c r="B795" s="5"/>
      <c r="C795" s="6"/>
      <c r="D795" s="6"/>
      <c r="E795" s="6"/>
      <c r="F795" s="3"/>
      <c r="G795" s="6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5">
      <c r="A796" s="4"/>
      <c r="B796" s="5"/>
      <c r="C796" s="6"/>
      <c r="D796" s="6"/>
      <c r="E796" s="6"/>
      <c r="F796" s="3"/>
      <c r="G796" s="6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5">
      <c r="A797" s="4"/>
      <c r="B797" s="5"/>
      <c r="C797" s="6"/>
      <c r="D797" s="6"/>
      <c r="E797" s="6"/>
      <c r="F797" s="3"/>
      <c r="G797" s="6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5">
      <c r="A798" s="4"/>
      <c r="B798" s="5"/>
      <c r="C798" s="6"/>
      <c r="D798" s="6"/>
      <c r="E798" s="6"/>
      <c r="F798" s="3"/>
      <c r="G798" s="6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5">
      <c r="A799" s="4"/>
      <c r="B799" s="5"/>
      <c r="C799" s="6"/>
      <c r="D799" s="6"/>
      <c r="E799" s="6"/>
      <c r="F799" s="3"/>
      <c r="G799" s="6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5">
      <c r="A800" s="4"/>
      <c r="B800" s="5"/>
      <c r="C800" s="6"/>
      <c r="D800" s="6"/>
      <c r="E800" s="6"/>
      <c r="F800" s="3"/>
      <c r="G800" s="6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5">
      <c r="A801" s="4"/>
      <c r="B801" s="5"/>
      <c r="C801" s="6"/>
      <c r="D801" s="6"/>
      <c r="E801" s="6"/>
      <c r="F801" s="3"/>
      <c r="G801" s="6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5">
      <c r="A802" s="4"/>
      <c r="B802" s="5"/>
      <c r="C802" s="6"/>
      <c r="D802" s="6"/>
      <c r="E802" s="6"/>
      <c r="F802" s="3"/>
      <c r="G802" s="6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5">
      <c r="A803" s="4"/>
      <c r="B803" s="5"/>
      <c r="C803" s="6"/>
      <c r="D803" s="6"/>
      <c r="E803" s="6"/>
      <c r="F803" s="3"/>
      <c r="G803" s="6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5">
      <c r="A804" s="4"/>
      <c r="B804" s="5"/>
      <c r="C804" s="6"/>
      <c r="D804" s="6"/>
      <c r="E804" s="6"/>
      <c r="F804" s="3"/>
      <c r="G804" s="6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5">
      <c r="A805" s="4"/>
      <c r="B805" s="5"/>
      <c r="C805" s="6"/>
      <c r="D805" s="6"/>
      <c r="E805" s="6"/>
      <c r="F805" s="3"/>
      <c r="G805" s="6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5">
      <c r="A806" s="4"/>
      <c r="B806" s="5"/>
      <c r="C806" s="6"/>
      <c r="D806" s="6"/>
      <c r="E806" s="6"/>
      <c r="F806" s="3"/>
      <c r="G806" s="6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5">
      <c r="A807" s="4"/>
      <c r="B807" s="5"/>
      <c r="C807" s="6"/>
      <c r="D807" s="6"/>
      <c r="E807" s="6"/>
      <c r="F807" s="3"/>
      <c r="G807" s="6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5">
      <c r="A808" s="4"/>
      <c r="B808" s="5"/>
      <c r="C808" s="6"/>
      <c r="D808" s="6"/>
      <c r="E808" s="6"/>
      <c r="F808" s="3"/>
      <c r="G808" s="6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5">
      <c r="A809" s="4"/>
      <c r="B809" s="5"/>
      <c r="C809" s="6"/>
      <c r="D809" s="6"/>
      <c r="E809" s="6"/>
      <c r="F809" s="3"/>
      <c r="G809" s="6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5">
      <c r="A810" s="4"/>
      <c r="B810" s="5"/>
      <c r="C810" s="6"/>
      <c r="D810" s="6"/>
      <c r="E810" s="6"/>
      <c r="F810" s="3"/>
      <c r="G810" s="6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5">
      <c r="A811" s="4"/>
      <c r="B811" s="5"/>
      <c r="C811" s="6"/>
      <c r="D811" s="6"/>
      <c r="E811" s="6"/>
      <c r="F811" s="3"/>
      <c r="G811" s="6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5">
      <c r="A812" s="4"/>
      <c r="B812" s="5"/>
      <c r="C812" s="6"/>
      <c r="D812" s="6"/>
      <c r="E812" s="6"/>
      <c r="F812" s="3"/>
      <c r="G812" s="6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5">
      <c r="A813" s="4"/>
      <c r="B813" s="5"/>
      <c r="C813" s="6"/>
      <c r="D813" s="6"/>
      <c r="E813" s="6"/>
      <c r="F813" s="3"/>
      <c r="G813" s="6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5">
      <c r="A814" s="4"/>
      <c r="B814" s="5"/>
      <c r="C814" s="6"/>
      <c r="D814" s="6"/>
      <c r="E814" s="6"/>
      <c r="F814" s="3"/>
      <c r="G814" s="6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5">
      <c r="A815" s="4"/>
      <c r="B815" s="5"/>
      <c r="C815" s="6"/>
      <c r="D815" s="6"/>
      <c r="E815" s="6"/>
      <c r="F815" s="3"/>
      <c r="G815" s="6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5">
      <c r="A816" s="4"/>
      <c r="B816" s="5"/>
      <c r="C816" s="6"/>
      <c r="D816" s="6"/>
      <c r="E816" s="6"/>
      <c r="F816" s="3"/>
      <c r="G816" s="6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5">
      <c r="A817" s="4"/>
      <c r="B817" s="5"/>
      <c r="C817" s="6"/>
      <c r="D817" s="6"/>
      <c r="E817" s="6"/>
      <c r="F817" s="3"/>
      <c r="G817" s="6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5">
      <c r="A818" s="4"/>
      <c r="B818" s="5"/>
      <c r="C818" s="6"/>
      <c r="D818" s="6"/>
      <c r="E818" s="6"/>
      <c r="F818" s="3"/>
      <c r="G818" s="6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5">
      <c r="A819" s="4"/>
      <c r="B819" s="5"/>
      <c r="C819" s="6"/>
      <c r="D819" s="6"/>
      <c r="E819" s="6"/>
      <c r="F819" s="3"/>
      <c r="G819" s="6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5">
      <c r="A820" s="4"/>
      <c r="B820" s="5"/>
      <c r="C820" s="6"/>
      <c r="D820" s="6"/>
      <c r="E820" s="6"/>
      <c r="F820" s="3"/>
      <c r="G820" s="6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5">
      <c r="A821" s="4"/>
      <c r="B821" s="5"/>
      <c r="C821" s="6"/>
      <c r="D821" s="6"/>
      <c r="E821" s="6"/>
      <c r="F821" s="3"/>
      <c r="G821" s="6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5">
      <c r="A822" s="4"/>
      <c r="B822" s="5"/>
      <c r="C822" s="6"/>
      <c r="D822" s="6"/>
      <c r="E822" s="6"/>
      <c r="F822" s="3"/>
      <c r="G822" s="6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5">
      <c r="A823" s="4"/>
      <c r="B823" s="5"/>
      <c r="C823" s="6"/>
      <c r="D823" s="6"/>
      <c r="E823" s="6"/>
      <c r="F823" s="3"/>
      <c r="G823" s="6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5">
      <c r="A824" s="4"/>
      <c r="B824" s="5"/>
      <c r="C824" s="6"/>
      <c r="D824" s="6"/>
      <c r="E824" s="6"/>
      <c r="F824" s="3"/>
      <c r="G824" s="6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5">
      <c r="A825" s="4"/>
      <c r="B825" s="5"/>
      <c r="C825" s="6"/>
      <c r="D825" s="6"/>
      <c r="E825" s="6"/>
      <c r="F825" s="3"/>
      <c r="G825" s="6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5">
      <c r="A826" s="4"/>
      <c r="B826" s="5"/>
      <c r="C826" s="6"/>
      <c r="D826" s="6"/>
      <c r="E826" s="6"/>
      <c r="F826" s="3"/>
      <c r="G826" s="6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5">
      <c r="A827" s="4"/>
      <c r="B827" s="5"/>
      <c r="C827" s="6"/>
      <c r="D827" s="6"/>
      <c r="E827" s="6"/>
      <c r="F827" s="3"/>
      <c r="G827" s="6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5">
      <c r="A828" s="4"/>
      <c r="B828" s="5"/>
      <c r="C828" s="6"/>
      <c r="D828" s="6"/>
      <c r="E828" s="6"/>
      <c r="F828" s="3"/>
      <c r="G828" s="6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5">
      <c r="A829" s="4"/>
      <c r="B829" s="5"/>
      <c r="C829" s="6"/>
      <c r="D829" s="6"/>
      <c r="E829" s="6"/>
      <c r="F829" s="3"/>
      <c r="G829" s="6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5">
      <c r="A830" s="4"/>
      <c r="B830" s="5"/>
      <c r="C830" s="6"/>
      <c r="D830" s="6"/>
      <c r="E830" s="6"/>
      <c r="F830" s="3"/>
      <c r="G830" s="6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5">
      <c r="A831" s="4"/>
      <c r="B831" s="5"/>
      <c r="C831" s="6"/>
      <c r="D831" s="6"/>
      <c r="E831" s="6"/>
      <c r="F831" s="3"/>
      <c r="G831" s="6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5">
      <c r="A832" s="4"/>
      <c r="B832" s="5"/>
      <c r="C832" s="6"/>
      <c r="D832" s="6"/>
      <c r="E832" s="6"/>
      <c r="F832" s="3"/>
      <c r="G832" s="6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5">
      <c r="A833" s="4"/>
      <c r="B833" s="5"/>
      <c r="C833" s="6"/>
      <c r="D833" s="6"/>
      <c r="E833" s="6"/>
      <c r="F833" s="3"/>
      <c r="G833" s="6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5">
      <c r="A834" s="4"/>
      <c r="B834" s="5"/>
      <c r="C834" s="6"/>
      <c r="D834" s="6"/>
      <c r="E834" s="6"/>
      <c r="F834" s="3"/>
      <c r="G834" s="6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5">
      <c r="A835" s="4"/>
      <c r="B835" s="5"/>
      <c r="C835" s="6"/>
      <c r="D835" s="6"/>
      <c r="E835" s="6"/>
      <c r="F835" s="3"/>
      <c r="G835" s="6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5">
      <c r="A836" s="4"/>
      <c r="B836" s="5"/>
      <c r="C836" s="6"/>
      <c r="D836" s="6"/>
      <c r="E836" s="6"/>
      <c r="F836" s="3"/>
      <c r="G836" s="6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5">
      <c r="A837" s="4"/>
      <c r="B837" s="5"/>
      <c r="C837" s="6"/>
      <c r="D837" s="6"/>
      <c r="E837" s="6"/>
      <c r="F837" s="3"/>
      <c r="G837" s="6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5">
      <c r="A838" s="4"/>
      <c r="B838" s="5"/>
      <c r="C838" s="6"/>
      <c r="D838" s="6"/>
      <c r="E838" s="6"/>
      <c r="F838" s="3"/>
      <c r="G838" s="6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5">
      <c r="A839" s="4"/>
      <c r="B839" s="5"/>
      <c r="C839" s="6"/>
      <c r="D839" s="6"/>
      <c r="E839" s="6"/>
      <c r="F839" s="3"/>
      <c r="G839" s="6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5">
      <c r="A840" s="4"/>
      <c r="B840" s="5"/>
      <c r="C840" s="6"/>
      <c r="D840" s="6"/>
      <c r="E840" s="6"/>
      <c r="F840" s="3"/>
      <c r="G840" s="6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5">
      <c r="A841" s="4"/>
      <c r="B841" s="5"/>
      <c r="C841" s="6"/>
      <c r="D841" s="6"/>
      <c r="E841" s="6"/>
      <c r="F841" s="3"/>
      <c r="G841" s="6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5">
      <c r="A842" s="4"/>
      <c r="B842" s="5"/>
      <c r="C842" s="6"/>
      <c r="D842" s="6"/>
      <c r="E842" s="6"/>
      <c r="F842" s="3"/>
      <c r="G842" s="6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5">
      <c r="A843" s="4"/>
      <c r="B843" s="5"/>
      <c r="C843" s="6"/>
      <c r="D843" s="6"/>
      <c r="E843" s="6"/>
      <c r="F843" s="3"/>
      <c r="G843" s="6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5">
      <c r="A844" s="4"/>
      <c r="B844" s="5"/>
      <c r="C844" s="6"/>
      <c r="D844" s="6"/>
      <c r="E844" s="6"/>
      <c r="F844" s="3"/>
      <c r="G844" s="6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5">
      <c r="A845" s="4"/>
      <c r="B845" s="5"/>
      <c r="C845" s="6"/>
      <c r="D845" s="6"/>
      <c r="E845" s="6"/>
      <c r="F845" s="3"/>
      <c r="G845" s="6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5">
      <c r="A846" s="4"/>
      <c r="B846" s="5"/>
      <c r="C846" s="6"/>
      <c r="D846" s="6"/>
      <c r="E846" s="6"/>
      <c r="F846" s="3"/>
      <c r="G846" s="6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5">
      <c r="A847" s="4"/>
      <c r="B847" s="5"/>
      <c r="C847" s="6"/>
      <c r="D847" s="6"/>
      <c r="E847" s="6"/>
      <c r="F847" s="3"/>
      <c r="G847" s="6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5">
      <c r="A848" s="4"/>
      <c r="B848" s="5"/>
      <c r="C848" s="6"/>
      <c r="D848" s="6"/>
      <c r="E848" s="6"/>
      <c r="F848" s="3"/>
      <c r="G848" s="6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5">
      <c r="A849" s="4"/>
      <c r="B849" s="5"/>
      <c r="C849" s="6"/>
      <c r="D849" s="6"/>
      <c r="E849" s="6"/>
      <c r="F849" s="3"/>
      <c r="G849" s="6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5">
      <c r="A850" s="4"/>
      <c r="B850" s="5"/>
      <c r="C850" s="6"/>
      <c r="D850" s="6"/>
      <c r="E850" s="6"/>
      <c r="F850" s="3"/>
      <c r="G850" s="6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5">
      <c r="A851" s="4"/>
      <c r="B851" s="5"/>
      <c r="C851" s="6"/>
      <c r="D851" s="6"/>
      <c r="E851" s="6"/>
      <c r="F851" s="3"/>
      <c r="G851" s="6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5">
      <c r="A852" s="4"/>
      <c r="B852" s="5"/>
      <c r="C852" s="6"/>
      <c r="D852" s="6"/>
      <c r="E852" s="6"/>
      <c r="F852" s="3"/>
      <c r="G852" s="6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5">
      <c r="A853" s="4"/>
      <c r="B853" s="5"/>
      <c r="C853" s="6"/>
      <c r="D853" s="6"/>
      <c r="E853" s="6"/>
      <c r="F853" s="3"/>
      <c r="G853" s="6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5">
      <c r="A854" s="4"/>
      <c r="B854" s="5"/>
      <c r="C854" s="6"/>
      <c r="D854" s="6"/>
      <c r="E854" s="6"/>
      <c r="F854" s="3"/>
      <c r="G854" s="6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5">
      <c r="A855" s="4"/>
      <c r="B855" s="5"/>
      <c r="C855" s="6"/>
      <c r="D855" s="6"/>
      <c r="E855" s="6"/>
      <c r="F855" s="3"/>
      <c r="G855" s="6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5">
      <c r="A856" s="4"/>
      <c r="B856" s="5"/>
      <c r="C856" s="6"/>
      <c r="D856" s="6"/>
      <c r="E856" s="6"/>
      <c r="F856" s="3"/>
      <c r="G856" s="6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5">
      <c r="A857" s="4"/>
      <c r="B857" s="5"/>
      <c r="C857" s="6"/>
      <c r="D857" s="6"/>
      <c r="E857" s="6"/>
      <c r="F857" s="3"/>
      <c r="G857" s="6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5">
      <c r="A858" s="4"/>
      <c r="B858" s="5"/>
      <c r="C858" s="6"/>
      <c r="D858" s="6"/>
      <c r="E858" s="6"/>
      <c r="F858" s="3"/>
      <c r="G858" s="6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5">
      <c r="A859" s="4"/>
      <c r="B859" s="5"/>
      <c r="C859" s="6"/>
      <c r="D859" s="6"/>
      <c r="E859" s="6"/>
      <c r="F859" s="3"/>
      <c r="G859" s="6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5">
      <c r="A860" s="4"/>
      <c r="B860" s="5"/>
      <c r="C860" s="6"/>
      <c r="D860" s="6"/>
      <c r="E860" s="6"/>
      <c r="F860" s="3"/>
      <c r="G860" s="6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5">
      <c r="A861" s="4"/>
      <c r="B861" s="5"/>
      <c r="C861" s="6"/>
      <c r="D861" s="6"/>
      <c r="E861" s="6"/>
      <c r="F861" s="3"/>
      <c r="G861" s="6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5">
      <c r="A862" s="4"/>
      <c r="B862" s="5"/>
      <c r="C862" s="6"/>
      <c r="D862" s="6"/>
      <c r="E862" s="6"/>
      <c r="F862" s="3"/>
      <c r="G862" s="6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5">
      <c r="A863" s="4"/>
      <c r="B863" s="5"/>
      <c r="C863" s="6"/>
      <c r="D863" s="6"/>
      <c r="E863" s="6"/>
      <c r="F863" s="3"/>
      <c r="G863" s="6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5">
      <c r="A864" s="4"/>
      <c r="B864" s="5"/>
      <c r="C864" s="6"/>
      <c r="D864" s="6"/>
      <c r="E864" s="6"/>
      <c r="F864" s="3"/>
      <c r="G864" s="6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5">
      <c r="A865" s="4"/>
      <c r="B865" s="5"/>
      <c r="C865" s="6"/>
      <c r="D865" s="6"/>
      <c r="E865" s="6"/>
      <c r="F865" s="3"/>
      <c r="G865" s="6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5">
      <c r="A866" s="4"/>
      <c r="B866" s="5"/>
      <c r="C866" s="6"/>
      <c r="D866" s="6"/>
      <c r="E866" s="6"/>
      <c r="F866" s="3"/>
      <c r="G866" s="6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5">
      <c r="A867" s="4"/>
      <c r="B867" s="5"/>
      <c r="C867" s="6"/>
      <c r="D867" s="6"/>
      <c r="E867" s="6"/>
      <c r="F867" s="3"/>
      <c r="G867" s="6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5">
      <c r="A868" s="4"/>
      <c r="B868" s="5"/>
      <c r="C868" s="6"/>
      <c r="D868" s="6"/>
      <c r="E868" s="6"/>
      <c r="F868" s="3"/>
      <c r="G868" s="6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5">
      <c r="A869" s="4"/>
      <c r="B869" s="5"/>
      <c r="C869" s="6"/>
      <c r="D869" s="6"/>
      <c r="E869" s="6"/>
      <c r="F869" s="3"/>
      <c r="G869" s="6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5">
      <c r="A870" s="4"/>
      <c r="B870" s="5"/>
      <c r="C870" s="6"/>
      <c r="D870" s="6"/>
      <c r="E870" s="6"/>
      <c r="F870" s="3"/>
      <c r="G870" s="6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5">
      <c r="A871" s="4"/>
      <c r="B871" s="5"/>
      <c r="C871" s="6"/>
      <c r="D871" s="6"/>
      <c r="E871" s="6"/>
      <c r="F871" s="3"/>
      <c r="G871" s="6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5">
      <c r="A872" s="4"/>
      <c r="B872" s="5"/>
      <c r="C872" s="6"/>
      <c r="D872" s="6"/>
      <c r="E872" s="6"/>
      <c r="F872" s="3"/>
      <c r="G872" s="6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5">
      <c r="A873" s="4"/>
      <c r="B873" s="5"/>
      <c r="C873" s="6"/>
      <c r="D873" s="6"/>
      <c r="E873" s="6"/>
      <c r="F873" s="3"/>
      <c r="G873" s="6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5">
      <c r="A874" s="4"/>
      <c r="B874" s="5"/>
      <c r="C874" s="6"/>
      <c r="D874" s="6"/>
      <c r="E874" s="6"/>
      <c r="F874" s="3"/>
      <c r="G874" s="6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5">
      <c r="A875" s="4"/>
      <c r="B875" s="5"/>
      <c r="C875" s="6"/>
      <c r="D875" s="6"/>
      <c r="E875" s="6"/>
      <c r="F875" s="3"/>
      <c r="G875" s="6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5">
      <c r="A876" s="4"/>
      <c r="B876" s="5"/>
      <c r="C876" s="6"/>
      <c r="D876" s="6"/>
      <c r="E876" s="6"/>
      <c r="F876" s="3"/>
      <c r="G876" s="6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5">
      <c r="A877" s="4"/>
      <c r="B877" s="5"/>
      <c r="C877" s="6"/>
      <c r="D877" s="6"/>
      <c r="E877" s="6"/>
      <c r="F877" s="3"/>
      <c r="G877" s="6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5">
      <c r="A878" s="4"/>
      <c r="B878" s="5"/>
      <c r="C878" s="6"/>
      <c r="D878" s="6"/>
      <c r="E878" s="6"/>
      <c r="F878" s="3"/>
      <c r="G878" s="6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5">
      <c r="A879" s="4"/>
      <c r="B879" s="5"/>
      <c r="C879" s="6"/>
      <c r="D879" s="6"/>
      <c r="E879" s="6"/>
      <c r="F879" s="3"/>
      <c r="G879" s="6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5">
      <c r="A880" s="4"/>
      <c r="B880" s="5"/>
      <c r="C880" s="6"/>
      <c r="D880" s="6"/>
      <c r="E880" s="6"/>
      <c r="F880" s="3"/>
      <c r="G880" s="6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5">
      <c r="A881" s="4"/>
      <c r="B881" s="5"/>
      <c r="C881" s="6"/>
      <c r="D881" s="6"/>
      <c r="E881" s="6"/>
      <c r="F881" s="3"/>
      <c r="G881" s="6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5">
      <c r="A882" s="4"/>
      <c r="B882" s="5"/>
      <c r="C882" s="6"/>
      <c r="D882" s="6"/>
      <c r="E882" s="6"/>
      <c r="F882" s="3"/>
      <c r="G882" s="6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5">
      <c r="A883" s="4"/>
      <c r="B883" s="5"/>
      <c r="C883" s="6"/>
      <c r="D883" s="6"/>
      <c r="E883" s="6"/>
      <c r="F883" s="3"/>
      <c r="G883" s="6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5">
      <c r="A884" s="4"/>
      <c r="B884" s="5"/>
      <c r="C884" s="6"/>
      <c r="D884" s="6"/>
      <c r="E884" s="6"/>
      <c r="F884" s="3"/>
      <c r="G884" s="6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5">
      <c r="A885" s="4"/>
      <c r="B885" s="5"/>
      <c r="C885" s="6"/>
      <c r="D885" s="6"/>
      <c r="E885" s="6"/>
      <c r="F885" s="3"/>
      <c r="G885" s="6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5">
      <c r="A886" s="4"/>
      <c r="B886" s="5"/>
      <c r="C886" s="6"/>
      <c r="D886" s="6"/>
      <c r="E886" s="6"/>
      <c r="F886" s="3"/>
      <c r="G886" s="6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5">
      <c r="A887" s="4"/>
      <c r="B887" s="5"/>
      <c r="C887" s="6"/>
      <c r="D887" s="6"/>
      <c r="E887" s="6"/>
      <c r="F887" s="3"/>
      <c r="G887" s="6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5">
      <c r="A888" s="4"/>
      <c r="B888" s="5"/>
      <c r="C888" s="6"/>
      <c r="D888" s="6"/>
      <c r="E888" s="6"/>
      <c r="F888" s="3"/>
      <c r="G888" s="6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5">
      <c r="A889" s="4"/>
      <c r="B889" s="5"/>
      <c r="C889" s="6"/>
      <c r="D889" s="6"/>
      <c r="E889" s="6"/>
      <c r="F889" s="3"/>
      <c r="G889" s="6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5">
      <c r="A890" s="4"/>
      <c r="B890" s="5"/>
      <c r="C890" s="6"/>
      <c r="D890" s="6"/>
      <c r="E890" s="6"/>
      <c r="F890" s="3"/>
      <c r="G890" s="6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5">
      <c r="A891" s="4"/>
      <c r="B891" s="5"/>
      <c r="C891" s="6"/>
      <c r="D891" s="6"/>
      <c r="E891" s="6"/>
      <c r="F891" s="3"/>
      <c r="G891" s="6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5">
      <c r="A892" s="4"/>
      <c r="B892" s="5"/>
      <c r="C892" s="6"/>
      <c r="D892" s="6"/>
      <c r="E892" s="6"/>
      <c r="F892" s="3"/>
      <c r="G892" s="6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5">
      <c r="A893" s="4"/>
      <c r="B893" s="5"/>
      <c r="C893" s="6"/>
      <c r="D893" s="6"/>
      <c r="E893" s="6"/>
      <c r="F893" s="3"/>
      <c r="G893" s="6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5">
      <c r="A894" s="4"/>
      <c r="B894" s="5"/>
      <c r="C894" s="6"/>
      <c r="D894" s="6"/>
      <c r="E894" s="6"/>
      <c r="F894" s="3"/>
      <c r="G894" s="6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5">
      <c r="A895" s="4"/>
      <c r="B895" s="5"/>
      <c r="C895" s="6"/>
      <c r="D895" s="6"/>
      <c r="E895" s="6"/>
      <c r="F895" s="3"/>
      <c r="G895" s="6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5">
      <c r="A896" s="4"/>
      <c r="B896" s="5"/>
      <c r="C896" s="6"/>
      <c r="D896" s="6"/>
      <c r="E896" s="6"/>
      <c r="F896" s="3"/>
      <c r="G896" s="6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5">
      <c r="A897" s="4"/>
      <c r="B897" s="5"/>
      <c r="C897" s="6"/>
      <c r="D897" s="6"/>
      <c r="E897" s="6"/>
      <c r="F897" s="3"/>
      <c r="G897" s="6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5">
      <c r="A898" s="4"/>
      <c r="B898" s="5"/>
      <c r="C898" s="6"/>
      <c r="D898" s="6"/>
      <c r="E898" s="6"/>
      <c r="F898" s="3"/>
      <c r="G898" s="6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5">
      <c r="A899" s="4"/>
      <c r="B899" s="5"/>
      <c r="C899" s="6"/>
      <c r="D899" s="6"/>
      <c r="E899" s="6"/>
      <c r="F899" s="3"/>
      <c r="G899" s="6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5">
      <c r="A900" s="4"/>
      <c r="B900" s="5"/>
      <c r="C900" s="6"/>
      <c r="D900" s="6"/>
      <c r="E900" s="6"/>
      <c r="F900" s="3"/>
      <c r="G900" s="6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5">
      <c r="A901" s="4"/>
      <c r="B901" s="5"/>
      <c r="C901" s="6"/>
      <c r="D901" s="6"/>
      <c r="E901" s="6"/>
      <c r="F901" s="3"/>
      <c r="G901" s="6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5">
      <c r="A902" s="4"/>
      <c r="B902" s="5"/>
      <c r="C902" s="6"/>
      <c r="D902" s="6"/>
      <c r="E902" s="6"/>
      <c r="F902" s="3"/>
      <c r="G902" s="6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5">
      <c r="A903" s="4"/>
      <c r="B903" s="5"/>
      <c r="C903" s="6"/>
      <c r="D903" s="6"/>
      <c r="E903" s="6"/>
      <c r="F903" s="3"/>
      <c r="G903" s="6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5">
      <c r="A904" s="4"/>
      <c r="B904" s="5"/>
      <c r="C904" s="6"/>
      <c r="D904" s="6"/>
      <c r="E904" s="6"/>
      <c r="F904" s="3"/>
      <c r="G904" s="6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5">
      <c r="A905" s="4"/>
      <c r="B905" s="5"/>
      <c r="C905" s="6"/>
      <c r="D905" s="6"/>
      <c r="E905" s="6"/>
      <c r="F905" s="3"/>
      <c r="G905" s="6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5">
      <c r="A906" s="4"/>
      <c r="B906" s="5"/>
      <c r="C906" s="6"/>
      <c r="D906" s="6"/>
      <c r="E906" s="6"/>
      <c r="F906" s="3"/>
      <c r="G906" s="6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5">
      <c r="A907" s="4"/>
      <c r="B907" s="5"/>
      <c r="C907" s="6"/>
      <c r="D907" s="6"/>
      <c r="E907" s="6"/>
      <c r="F907" s="3"/>
      <c r="G907" s="6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5">
      <c r="A908" s="4"/>
      <c r="B908" s="5"/>
      <c r="C908" s="6"/>
      <c r="D908" s="6"/>
      <c r="E908" s="6"/>
      <c r="F908" s="3"/>
      <c r="G908" s="6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5">
      <c r="A909" s="4"/>
      <c r="B909" s="5"/>
      <c r="C909" s="6"/>
      <c r="D909" s="6"/>
      <c r="E909" s="6"/>
      <c r="F909" s="3"/>
      <c r="G909" s="6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5">
      <c r="A910" s="4"/>
      <c r="B910" s="5"/>
      <c r="C910" s="6"/>
      <c r="D910" s="6"/>
      <c r="E910" s="6"/>
      <c r="F910" s="3"/>
      <c r="G910" s="6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5">
      <c r="A911" s="4"/>
      <c r="B911" s="5"/>
      <c r="C911" s="6"/>
      <c r="D911" s="6"/>
      <c r="E911" s="6"/>
      <c r="F911" s="3"/>
      <c r="G911" s="6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5">
      <c r="A912" s="4"/>
      <c r="B912" s="5"/>
      <c r="C912" s="6"/>
      <c r="D912" s="6"/>
      <c r="E912" s="6"/>
      <c r="F912" s="3"/>
      <c r="G912" s="6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5">
      <c r="A913" s="4"/>
      <c r="B913" s="5"/>
      <c r="C913" s="6"/>
      <c r="D913" s="6"/>
      <c r="E913" s="6"/>
      <c r="F913" s="3"/>
      <c r="G913" s="6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5">
      <c r="A914" s="4"/>
      <c r="B914" s="5"/>
      <c r="C914" s="6"/>
      <c r="D914" s="6"/>
      <c r="E914" s="6"/>
      <c r="F914" s="3"/>
      <c r="G914" s="6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5">
      <c r="A915" s="4"/>
      <c r="B915" s="5"/>
      <c r="C915" s="6"/>
      <c r="D915" s="6"/>
      <c r="E915" s="6"/>
      <c r="F915" s="3"/>
      <c r="G915" s="6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5">
      <c r="A916" s="4"/>
      <c r="B916" s="5"/>
      <c r="C916" s="6"/>
      <c r="D916" s="6"/>
      <c r="E916" s="6"/>
      <c r="F916" s="3"/>
      <c r="G916" s="6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5">
      <c r="A917" s="4"/>
      <c r="B917" s="5"/>
      <c r="C917" s="6"/>
      <c r="D917" s="6"/>
      <c r="E917" s="6"/>
      <c r="F917" s="3"/>
      <c r="G917" s="6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5">
      <c r="A918" s="4"/>
      <c r="B918" s="5"/>
      <c r="C918" s="6"/>
      <c r="D918" s="6"/>
      <c r="E918" s="6"/>
      <c r="F918" s="3"/>
      <c r="G918" s="6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5">
      <c r="A919" s="4"/>
      <c r="B919" s="5"/>
      <c r="C919" s="6"/>
      <c r="D919" s="6"/>
      <c r="E919" s="6"/>
      <c r="F919" s="3"/>
      <c r="G919" s="6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5">
      <c r="A920" s="4"/>
      <c r="B920" s="5"/>
      <c r="C920" s="6"/>
      <c r="D920" s="6"/>
      <c r="E920" s="6"/>
      <c r="F920" s="3"/>
      <c r="G920" s="6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5">
      <c r="A921" s="4"/>
      <c r="B921" s="5"/>
      <c r="C921" s="6"/>
      <c r="D921" s="6"/>
      <c r="E921" s="6"/>
      <c r="F921" s="3"/>
      <c r="G921" s="6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5">
      <c r="A922" s="4"/>
      <c r="B922" s="5"/>
      <c r="C922" s="6"/>
      <c r="D922" s="6"/>
      <c r="E922" s="6"/>
      <c r="F922" s="3"/>
      <c r="G922" s="6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5">
      <c r="A923" s="4"/>
      <c r="B923" s="5"/>
      <c r="C923" s="6"/>
      <c r="D923" s="6"/>
      <c r="E923" s="6"/>
      <c r="F923" s="3"/>
      <c r="G923" s="6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5">
      <c r="A924" s="4"/>
      <c r="B924" s="5"/>
      <c r="C924" s="6"/>
      <c r="D924" s="6"/>
      <c r="E924" s="6"/>
      <c r="F924" s="3"/>
      <c r="G924" s="6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5">
      <c r="A925" s="4"/>
      <c r="B925" s="5"/>
      <c r="C925" s="6"/>
      <c r="D925" s="6"/>
      <c r="E925" s="6"/>
      <c r="F925" s="3"/>
      <c r="G925" s="6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5">
      <c r="A926" s="4"/>
      <c r="B926" s="5"/>
      <c r="C926" s="6"/>
      <c r="D926" s="6"/>
      <c r="E926" s="6"/>
      <c r="F926" s="3"/>
      <c r="G926" s="6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5">
      <c r="A927" s="4"/>
      <c r="B927" s="5"/>
      <c r="C927" s="6"/>
      <c r="D927" s="6"/>
      <c r="E927" s="6"/>
      <c r="F927" s="3"/>
      <c r="G927" s="6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5">
      <c r="A928" s="4"/>
      <c r="B928" s="5"/>
      <c r="C928" s="6"/>
      <c r="D928" s="6"/>
      <c r="E928" s="6"/>
      <c r="F928" s="3"/>
      <c r="G928" s="6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5">
      <c r="A929" s="4"/>
      <c r="B929" s="5"/>
      <c r="C929" s="6"/>
      <c r="D929" s="6"/>
      <c r="E929" s="6"/>
      <c r="F929" s="3"/>
      <c r="G929" s="6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5">
      <c r="A930" s="4"/>
      <c r="B930" s="5"/>
      <c r="C930" s="6"/>
      <c r="D930" s="6"/>
      <c r="E930" s="6"/>
      <c r="F930" s="3"/>
      <c r="G930" s="6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5">
      <c r="A931" s="4"/>
      <c r="B931" s="5"/>
      <c r="C931" s="6"/>
      <c r="D931" s="6"/>
      <c r="E931" s="6"/>
      <c r="F931" s="3"/>
      <c r="G931" s="6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5">
      <c r="A932" s="4"/>
      <c r="B932" s="5"/>
      <c r="C932" s="6"/>
      <c r="D932" s="6"/>
      <c r="E932" s="6"/>
      <c r="F932" s="3"/>
      <c r="G932" s="6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5">
      <c r="A933" s="4"/>
      <c r="B933" s="5"/>
      <c r="C933" s="6"/>
      <c r="D933" s="6"/>
      <c r="E933" s="6"/>
      <c r="F933" s="3"/>
      <c r="G933" s="6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5">
      <c r="A934" s="4"/>
      <c r="B934" s="5"/>
      <c r="C934" s="6"/>
      <c r="D934" s="6"/>
      <c r="E934" s="6"/>
      <c r="F934" s="3"/>
      <c r="G934" s="6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5">
      <c r="A935" s="4"/>
      <c r="B935" s="5"/>
      <c r="C935" s="6"/>
      <c r="D935" s="6"/>
      <c r="E935" s="6"/>
      <c r="F935" s="3"/>
      <c r="G935" s="6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5">
      <c r="A936" s="4"/>
      <c r="B936" s="5"/>
      <c r="C936" s="6"/>
      <c r="D936" s="6"/>
      <c r="E936" s="6"/>
      <c r="F936" s="3"/>
      <c r="G936" s="6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5">
      <c r="A937" s="4"/>
      <c r="B937" s="5"/>
      <c r="C937" s="6"/>
      <c r="D937" s="6"/>
      <c r="E937" s="6"/>
      <c r="F937" s="3"/>
      <c r="G937" s="6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5">
      <c r="A938" s="4"/>
      <c r="B938" s="5"/>
      <c r="C938" s="6"/>
      <c r="D938" s="6"/>
      <c r="E938" s="6"/>
      <c r="F938" s="3"/>
      <c r="G938" s="6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5">
      <c r="A939" s="4"/>
      <c r="B939" s="5"/>
      <c r="C939" s="6"/>
      <c r="D939" s="6"/>
      <c r="E939" s="6"/>
      <c r="F939" s="3"/>
      <c r="G939" s="6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5">
      <c r="A940" s="4"/>
      <c r="B940" s="5"/>
      <c r="C940" s="6"/>
      <c r="D940" s="6"/>
      <c r="E940" s="6"/>
      <c r="F940" s="3"/>
      <c r="G940" s="6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5">
      <c r="A941" s="4"/>
      <c r="B941" s="5"/>
      <c r="C941" s="6"/>
      <c r="D941" s="6"/>
      <c r="E941" s="6"/>
      <c r="F941" s="3"/>
      <c r="G941" s="6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5">
      <c r="A942" s="4"/>
      <c r="B942" s="5"/>
      <c r="C942" s="6"/>
      <c r="D942" s="6"/>
      <c r="E942" s="6"/>
      <c r="F942" s="3"/>
      <c r="G942" s="6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5">
      <c r="A943" s="4"/>
      <c r="B943" s="5"/>
      <c r="C943" s="6"/>
      <c r="D943" s="6"/>
      <c r="E943" s="6"/>
      <c r="F943" s="3"/>
      <c r="G943" s="6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5">
      <c r="A944" s="4"/>
      <c r="B944" s="5"/>
      <c r="C944" s="6"/>
      <c r="D944" s="6"/>
      <c r="E944" s="6"/>
      <c r="F944" s="3"/>
      <c r="G944" s="6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5">
      <c r="A945" s="4"/>
      <c r="B945" s="5"/>
      <c r="C945" s="6"/>
      <c r="D945" s="6"/>
      <c r="E945" s="6"/>
      <c r="F945" s="3"/>
      <c r="G945" s="6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5">
      <c r="A946" s="4"/>
      <c r="B946" s="5"/>
      <c r="C946" s="6"/>
      <c r="D946" s="6"/>
      <c r="E946" s="6"/>
      <c r="F946" s="3"/>
      <c r="G946" s="6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5">
      <c r="A947" s="4"/>
      <c r="B947" s="5"/>
      <c r="C947" s="6"/>
      <c r="D947" s="6"/>
      <c r="E947" s="6"/>
      <c r="F947" s="3"/>
      <c r="G947" s="6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5">
      <c r="A948" s="4"/>
      <c r="B948" s="5"/>
      <c r="C948" s="6"/>
      <c r="D948" s="6"/>
      <c r="E948" s="6"/>
      <c r="F948" s="3"/>
      <c r="G948" s="6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5">
      <c r="A949" s="4"/>
      <c r="B949" s="5"/>
      <c r="C949" s="6"/>
      <c r="D949" s="6"/>
      <c r="E949" s="6"/>
      <c r="F949" s="3"/>
      <c r="G949" s="6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5">
      <c r="A950" s="4"/>
      <c r="B950" s="5"/>
      <c r="C950" s="6"/>
      <c r="D950" s="6"/>
      <c r="E950" s="6"/>
      <c r="F950" s="3"/>
      <c r="G950" s="6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5">
      <c r="A951" s="4"/>
      <c r="B951" s="5"/>
      <c r="C951" s="6"/>
      <c r="D951" s="6"/>
      <c r="E951" s="6"/>
      <c r="F951" s="3"/>
      <c r="G951" s="6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5">
      <c r="A952" s="4"/>
      <c r="B952" s="5"/>
      <c r="C952" s="6"/>
      <c r="D952" s="6"/>
      <c r="E952" s="6"/>
      <c r="F952" s="3"/>
      <c r="G952" s="6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5">
      <c r="A953" s="4"/>
      <c r="B953" s="5"/>
      <c r="C953" s="6"/>
      <c r="D953" s="6"/>
      <c r="E953" s="6"/>
      <c r="F953" s="3"/>
      <c r="G953" s="6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5">
      <c r="A954" s="4"/>
      <c r="B954" s="5"/>
      <c r="C954" s="6"/>
      <c r="D954" s="6"/>
      <c r="E954" s="6"/>
      <c r="F954" s="3"/>
      <c r="G954" s="6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5">
      <c r="A955" s="4"/>
      <c r="B955" s="5"/>
      <c r="C955" s="6"/>
      <c r="D955" s="6"/>
      <c r="E955" s="6"/>
      <c r="F955" s="3"/>
      <c r="G955" s="6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5">
      <c r="A956" s="4"/>
      <c r="B956" s="5"/>
      <c r="C956" s="6"/>
      <c r="D956" s="6"/>
      <c r="E956" s="6"/>
      <c r="F956" s="3"/>
      <c r="G956" s="6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5">
      <c r="A957" s="4"/>
      <c r="B957" s="5"/>
      <c r="C957" s="6"/>
      <c r="D957" s="6"/>
      <c r="E957" s="6"/>
      <c r="F957" s="3"/>
      <c r="G957" s="6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5">
      <c r="A958" s="4"/>
      <c r="B958" s="5"/>
      <c r="C958" s="6"/>
      <c r="D958" s="6"/>
      <c r="E958" s="6"/>
      <c r="F958" s="3"/>
      <c r="G958" s="6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5">
      <c r="A959" s="4"/>
      <c r="B959" s="5"/>
      <c r="C959" s="6"/>
      <c r="D959" s="6"/>
      <c r="E959" s="6"/>
      <c r="F959" s="3"/>
      <c r="G959" s="6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5">
      <c r="A960" s="4"/>
      <c r="B960" s="5"/>
      <c r="C960" s="6"/>
      <c r="D960" s="6"/>
      <c r="E960" s="6"/>
      <c r="F960" s="3"/>
      <c r="G960" s="6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5">
      <c r="A961" s="4"/>
      <c r="B961" s="5"/>
      <c r="C961" s="6"/>
      <c r="D961" s="6"/>
      <c r="E961" s="6"/>
      <c r="F961" s="3"/>
      <c r="G961" s="6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5">
      <c r="A962" s="4"/>
      <c r="B962" s="5"/>
      <c r="C962" s="6"/>
      <c r="D962" s="6"/>
      <c r="E962" s="6"/>
      <c r="F962" s="3"/>
      <c r="G962" s="6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5">
      <c r="A963" s="4"/>
      <c r="B963" s="5"/>
      <c r="C963" s="6"/>
      <c r="D963" s="6"/>
      <c r="E963" s="6"/>
      <c r="F963" s="3"/>
      <c r="G963" s="6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5">
      <c r="A964" s="4"/>
      <c r="B964" s="5"/>
      <c r="C964" s="6"/>
      <c r="D964" s="6"/>
      <c r="E964" s="6"/>
      <c r="F964" s="3"/>
      <c r="G964" s="6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5">
      <c r="A965" s="4"/>
      <c r="B965" s="5"/>
      <c r="C965" s="6"/>
      <c r="D965" s="6"/>
      <c r="E965" s="6"/>
      <c r="F965" s="3"/>
      <c r="G965" s="6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5">
      <c r="A966" s="4"/>
      <c r="B966" s="5"/>
      <c r="C966" s="6"/>
      <c r="D966" s="6"/>
      <c r="E966" s="6"/>
      <c r="F966" s="3"/>
      <c r="G966" s="6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5">
      <c r="A967" s="4"/>
      <c r="B967" s="5"/>
      <c r="C967" s="6"/>
      <c r="D967" s="6"/>
      <c r="E967" s="6"/>
      <c r="F967" s="3"/>
      <c r="G967" s="6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5">
      <c r="A968" s="4"/>
      <c r="B968" s="5"/>
      <c r="C968" s="6"/>
      <c r="D968" s="6"/>
      <c r="E968" s="6"/>
      <c r="F968" s="3"/>
      <c r="G968" s="6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5">
      <c r="A969" s="4"/>
      <c r="B969" s="5"/>
      <c r="C969" s="6"/>
      <c r="D969" s="6"/>
      <c r="E969" s="6"/>
      <c r="F969" s="3"/>
      <c r="G969" s="6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5">
      <c r="A970" s="4"/>
      <c r="B970" s="5"/>
      <c r="C970" s="6"/>
      <c r="D970" s="6"/>
      <c r="E970" s="6"/>
      <c r="F970" s="3"/>
      <c r="G970" s="6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5">
      <c r="A971" s="4"/>
      <c r="B971" s="5"/>
      <c r="C971" s="6"/>
      <c r="D971" s="6"/>
      <c r="E971" s="6"/>
      <c r="F971" s="3"/>
      <c r="G971" s="6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5">
      <c r="A972" s="4"/>
      <c r="B972" s="5"/>
      <c r="C972" s="6"/>
      <c r="D972" s="6"/>
      <c r="E972" s="6"/>
      <c r="F972" s="3"/>
      <c r="G972" s="6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5">
      <c r="A973" s="4"/>
      <c r="B973" s="5"/>
      <c r="C973" s="6"/>
      <c r="D973" s="6"/>
      <c r="E973" s="6"/>
      <c r="F973" s="3"/>
      <c r="G973" s="6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5">
      <c r="A974" s="4"/>
      <c r="B974" s="5"/>
      <c r="C974" s="6"/>
      <c r="D974" s="6"/>
      <c r="E974" s="6"/>
      <c r="F974" s="3"/>
      <c r="G974" s="6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5">
      <c r="A975" s="4"/>
      <c r="B975" s="5"/>
      <c r="C975" s="6"/>
      <c r="D975" s="6"/>
      <c r="E975" s="6"/>
      <c r="F975" s="3"/>
      <c r="G975" s="6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5">
      <c r="A976" s="4"/>
      <c r="B976" s="5"/>
      <c r="C976" s="6"/>
      <c r="D976" s="6"/>
      <c r="E976" s="6"/>
      <c r="F976" s="3"/>
      <c r="G976" s="6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5">
      <c r="A977" s="4"/>
      <c r="B977" s="5"/>
      <c r="C977" s="6"/>
      <c r="D977" s="6"/>
      <c r="E977" s="6"/>
      <c r="F977" s="3"/>
      <c r="G977" s="6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5">
      <c r="A978" s="4"/>
      <c r="B978" s="5"/>
      <c r="C978" s="6"/>
      <c r="D978" s="6"/>
      <c r="E978" s="6"/>
      <c r="F978" s="3"/>
      <c r="G978" s="6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5">
      <c r="A979" s="4"/>
      <c r="B979" s="5"/>
      <c r="C979" s="6"/>
      <c r="D979" s="6"/>
      <c r="E979" s="6"/>
      <c r="F979" s="3"/>
      <c r="G979" s="6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5">
      <c r="A980" s="4"/>
      <c r="B980" s="5"/>
      <c r="C980" s="6"/>
      <c r="D980" s="6"/>
      <c r="E980" s="6"/>
      <c r="F980" s="3"/>
      <c r="G980" s="6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5">
      <c r="A981" s="4"/>
      <c r="B981" s="5"/>
      <c r="C981" s="6"/>
      <c r="D981" s="6"/>
      <c r="E981" s="6"/>
      <c r="F981" s="3"/>
      <c r="G981" s="6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5">
      <c r="A982" s="4"/>
      <c r="B982" s="5"/>
      <c r="C982" s="6"/>
      <c r="D982" s="6"/>
      <c r="E982" s="6"/>
      <c r="F982" s="3"/>
      <c r="G982" s="6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5">
      <c r="A983" s="4"/>
      <c r="B983" s="5"/>
      <c r="C983" s="6"/>
      <c r="D983" s="6"/>
      <c r="E983" s="6"/>
      <c r="F983" s="3"/>
      <c r="G983" s="6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5">
      <c r="A984" s="4"/>
      <c r="B984" s="5"/>
      <c r="C984" s="6"/>
      <c r="D984" s="6"/>
      <c r="E984" s="6"/>
      <c r="F984" s="3"/>
      <c r="G984" s="6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5">
      <c r="A985" s="4"/>
      <c r="B985" s="5"/>
      <c r="C985" s="6"/>
      <c r="D985" s="6"/>
      <c r="E985" s="6"/>
      <c r="F985" s="3"/>
      <c r="G985" s="6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5">
      <c r="A986" s="4"/>
      <c r="B986" s="5"/>
      <c r="C986" s="6"/>
      <c r="D986" s="6"/>
      <c r="E986" s="6"/>
      <c r="F986" s="3"/>
      <c r="G986" s="6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5">
      <c r="A987" s="4"/>
      <c r="B987" s="5"/>
      <c r="C987" s="6"/>
      <c r="D987" s="6"/>
      <c r="E987" s="6"/>
      <c r="F987" s="3"/>
      <c r="G987" s="6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5">
      <c r="A988" s="4"/>
      <c r="B988" s="5"/>
      <c r="C988" s="6"/>
      <c r="D988" s="6"/>
      <c r="E988" s="6"/>
      <c r="F988" s="3"/>
      <c r="G988" s="6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5">
      <c r="A989" s="4"/>
      <c r="B989" s="5"/>
      <c r="C989" s="6"/>
      <c r="D989" s="6"/>
      <c r="E989" s="6"/>
      <c r="F989" s="3"/>
      <c r="G989" s="6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5">
      <c r="A990" s="4"/>
      <c r="B990" s="5"/>
      <c r="C990" s="6"/>
      <c r="D990" s="6"/>
      <c r="E990" s="6"/>
      <c r="F990" s="3"/>
      <c r="G990" s="6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5">
      <c r="A991" s="4"/>
      <c r="B991" s="5"/>
      <c r="C991" s="6"/>
      <c r="D991" s="6"/>
      <c r="E991" s="6"/>
      <c r="F991" s="3"/>
      <c r="G991" s="6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5">
      <c r="A992" s="4"/>
      <c r="B992" s="5"/>
      <c r="C992" s="6"/>
      <c r="D992" s="6"/>
      <c r="E992" s="6"/>
      <c r="F992" s="3"/>
      <c r="G992" s="6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5">
      <c r="A993" s="4"/>
      <c r="B993" s="5"/>
      <c r="C993" s="6"/>
      <c r="D993" s="6"/>
      <c r="E993" s="6"/>
      <c r="F993" s="3"/>
      <c r="G993" s="6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5">
      <c r="A994" s="4"/>
      <c r="B994" s="5"/>
      <c r="C994" s="6"/>
      <c r="D994" s="6"/>
      <c r="E994" s="6"/>
      <c r="F994" s="3"/>
      <c r="G994" s="6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5">
      <c r="A995" s="4"/>
      <c r="B995" s="5"/>
      <c r="C995" s="6"/>
      <c r="D995" s="6"/>
      <c r="E995" s="6"/>
      <c r="F995" s="3"/>
      <c r="G995" s="6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5">
      <c r="A996" s="4"/>
      <c r="B996" s="5"/>
      <c r="C996" s="6"/>
      <c r="D996" s="6"/>
      <c r="E996" s="6"/>
      <c r="F996" s="3"/>
      <c r="G996" s="6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5">
      <c r="A997" s="4"/>
      <c r="B997" s="5"/>
      <c r="C997" s="6"/>
      <c r="D997" s="6"/>
      <c r="E997" s="6"/>
      <c r="F997" s="3"/>
      <c r="G997" s="6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5">
      <c r="A998" s="4"/>
      <c r="B998" s="5"/>
      <c r="C998" s="6"/>
      <c r="D998" s="6"/>
      <c r="E998" s="6"/>
      <c r="F998" s="3"/>
      <c r="G998" s="6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5">
      <c r="A999" s="4"/>
      <c r="B999" s="5"/>
      <c r="C999" s="6"/>
      <c r="D999" s="6"/>
      <c r="E999" s="6"/>
      <c r="F999" s="3"/>
      <c r="G999" s="6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5">
      <c r="A1000" s="4"/>
      <c r="B1000" s="5"/>
      <c r="C1000" s="6"/>
      <c r="D1000" s="6"/>
      <c r="E1000" s="6"/>
      <c r="F1000" s="3"/>
      <c r="G1000" s="6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29:B29"/>
    <mergeCell ref="A32:B32"/>
    <mergeCell ref="A37:B37"/>
    <mergeCell ref="A1:E1"/>
    <mergeCell ref="A3:B3"/>
    <mergeCell ref="A8:B8"/>
    <mergeCell ref="A14:B14"/>
    <mergeCell ref="A17:B17"/>
  </mergeCells>
  <hyperlinks>
    <hyperlink ref="C4" location="'Data-Yearly'!A1" display="Data-Yearly" xr:uid="{00000000-0004-0000-0000-000000000000}"/>
    <hyperlink ref="C5" location="'Yearly Returns Chart'!A1" display="Yearly Returns Chart" xr:uid="{00000000-0004-0000-0000-000001000000}"/>
    <hyperlink ref="C6" location="'Yearly Rescaled Price Chart '!A1" display="Yearly Rescaled Price Chart" xr:uid="{00000000-0004-0000-0000-000002000000}"/>
    <hyperlink ref="C9" location="'Data-Yearly'!B24" display="323%" xr:uid="{00000000-0004-0000-0000-000003000000}"/>
    <hyperlink ref="D9" location="'Data-Yearly'!C24" display="57%" xr:uid="{00000000-0004-0000-0000-000004000000}"/>
    <hyperlink ref="C10" location="'Data-Yearly'!B25" display="7.47%" xr:uid="{00000000-0004-0000-0000-000005000000}"/>
    <hyperlink ref="D10" location="'Data-Yearly'!C25" display="2.29%" xr:uid="{00000000-0004-0000-0000-000006000000}"/>
    <hyperlink ref="C11" location="'Data-Yearly'!B26" display="14" xr:uid="{00000000-0004-0000-0000-000007000000}"/>
    <hyperlink ref="C12" location="'Market Frontier'!A1" display="Market Frontier" xr:uid="{00000000-0004-0000-0000-000008000000}"/>
    <hyperlink ref="C15" location="'Data-Monthly'!A1" display="Data-Monthly" xr:uid="{00000000-0004-0000-0000-000009000000}"/>
    <hyperlink ref="C18" location="'Data-Monthly'!B258" display="1.11%" xr:uid="{00000000-0004-0000-0000-00000A000000}"/>
    <hyperlink ref="D18" location="'Data-Monthly'!C258" display="0.66%" xr:uid="{00000000-0004-0000-0000-00000B000000}"/>
    <hyperlink ref="C19" location="'Data-Monthly'!B259" display="1.16%" xr:uid="{00000000-0004-0000-0000-00000C000000}"/>
    <hyperlink ref="D19" location="'Data-Monthly'!C259" display="0.74%" xr:uid="{00000000-0004-0000-0000-00000D000000}"/>
    <hyperlink ref="C20" location="'Data-Monthly'!B260" display="-36.54%" xr:uid="{00000000-0004-0000-0000-00000E000000}"/>
    <hyperlink ref="D20" location="'Data-Monthly'!C260" display="-39.29%" xr:uid="{00000000-0004-0000-0000-00000F000000}"/>
    <hyperlink ref="C21" location="'Data-Monthly'!B261" display="33.89%" xr:uid="{00000000-0004-0000-0000-000010000000}"/>
    <hyperlink ref="D21" location="'Data-Monthly'!C261" display="31.78%" xr:uid="{00000000-0004-0000-0000-000011000000}"/>
    <hyperlink ref="C22" location="'Data-Monthly'!B262" display="0.0086" xr:uid="{00000000-0004-0000-0000-000012000000}"/>
    <hyperlink ref="D22" location="'Data-Monthly'!C262" display="0.0076" xr:uid="{00000000-0004-0000-0000-000013000000}"/>
    <hyperlink ref="C23" location="'Data-Monthly'!B263" display="9.29%" xr:uid="{00000000-0004-0000-0000-000014000000}"/>
    <hyperlink ref="D23" location="'Data-Monthly'!C263" display="8.70%" xr:uid="{00000000-0004-0000-0000-000015000000}"/>
    <hyperlink ref="C24" location="'Data-Monthly'!B264" display="1.63" xr:uid="{00000000-0004-0000-0000-000016000000}"/>
    <hyperlink ref="D24" location="'Data-Monthly'!C264" display="2.90" xr:uid="{00000000-0004-0000-0000-000017000000}"/>
    <hyperlink ref="C25" location="'Data-Monthly'!B265" display="-0.21" xr:uid="{00000000-0004-0000-0000-000018000000}"/>
    <hyperlink ref="D25" location="'Data-Monthly'!C265" display="-0.15" xr:uid="{00000000-0004-0000-0000-000019000000}"/>
    <hyperlink ref="C26" location="'Data-Monthly'!B266" display="Nov-20" xr:uid="{00000000-0004-0000-0000-00001A000000}"/>
    <hyperlink ref="D26" location="'Data-Monthly'!C266" display="May-09" xr:uid="{00000000-0004-0000-0000-00001B000000}"/>
    <hyperlink ref="C27" location="'Data-Monthly'!B267" display="Aug-22" xr:uid="{00000000-0004-0000-0000-00001C000000}"/>
    <hyperlink ref="D27" location="'Data-Monthly'!C267" display="Oct-08" xr:uid="{00000000-0004-0000-0000-00001D000000}"/>
    <hyperlink ref="C30" location="'Frequency Distributions Charts'!A1" display="Frequency Distributions Charts" xr:uid="{00000000-0004-0000-0000-00001E000000}"/>
    <hyperlink ref="C33" location="'Data-Monthly'!L4" display="'Data-Monthly'!L4" xr:uid="{00000000-0004-0000-0000-00001F000000}"/>
    <hyperlink ref="C34" location="'Data-Monthly'!L5" display="'Data-Monthly'!L5" xr:uid="{00000000-0004-0000-0000-000020000000}"/>
    <hyperlink ref="D34" location="'Data-Monthly'!M5" display="'Data-Monthly'!M5" xr:uid="{00000000-0004-0000-0000-000021000000}"/>
    <hyperlink ref="C35" location="'Data-Monthly'!L6" display="'Data-Monthly'!L6" xr:uid="{00000000-0004-0000-0000-000022000000}"/>
    <hyperlink ref="D35" location="'Data-Monthly'!M6" display="'Data-Monthly'!M6" xr:uid="{00000000-0004-0000-0000-000023000000}"/>
    <hyperlink ref="E35" location="'Data-Monthly'!N6" display="'Data-Monthly'!N6" xr:uid="{00000000-0004-0000-0000-000024000000}"/>
    <hyperlink ref="C38" location="'Data-Monthly'!L9" display="0.001" xr:uid="{00000000-0004-0000-0000-000025000000}"/>
    <hyperlink ref="D38" location="'Data-Monthly'!L33" display="-0.000452" xr:uid="{00000000-0004-0000-0000-000026000000}"/>
    <hyperlink ref="C39" location="'Data-Monthly'!L10" display="1.18" xr:uid="{00000000-0004-0000-0000-000027000000}"/>
    <hyperlink ref="D39" location="'Data-Monthly'!L34" display="0.85" xr:uid="{00000000-0004-0000-0000-000028000000}"/>
    <hyperlink ref="C40" location="'Data-Monthly'!L17" display="0.311" xr:uid="{00000000-0004-0000-0000-000029000000}"/>
    <hyperlink ref="D40" location="'Data-Monthly'!L41" display="0.182" xr:uid="{00000000-0004-0000-0000-00002A000000}"/>
    <hyperlink ref="D33" location="'Data-Monthly'!M4" display="'Data-Monthly'!M4" xr:uid="{807F910D-18FF-4476-AD05-104E07B6F418}"/>
    <hyperlink ref="E33" location="'Data-Monthly'!N4" display="'Data-Monthly'!N4" xr:uid="{092BFD31-F10A-4755-B70D-9B2FCECAEF43}"/>
    <hyperlink ref="E34" location="'Data-Monthly'!N5" display="'Data-Monthly'!N5" xr:uid="{8A8E3D37-57D0-4526-A274-A13C04768477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53125" defaultRowHeight="15" customHeight="1" x14ac:dyDescent="0.35"/>
  <cols>
    <col min="1" max="1" width="8.54296875" customWidth="1"/>
    <col min="2" max="2" width="6.26953125" customWidth="1"/>
    <col min="3" max="3" width="7.54296875" customWidth="1"/>
    <col min="4" max="26" width="6.26953125" customWidth="1"/>
  </cols>
  <sheetData>
    <row r="1" spans="1:8" ht="14.25" customHeight="1" x14ac:dyDescent="0.35">
      <c r="A1" s="38" t="s">
        <v>53</v>
      </c>
      <c r="B1" s="39" t="s">
        <v>54</v>
      </c>
      <c r="C1" s="38" t="s">
        <v>55</v>
      </c>
      <c r="D1" s="40" t="s">
        <v>56</v>
      </c>
      <c r="E1" s="40" t="s">
        <v>57</v>
      </c>
      <c r="F1" s="41" t="s">
        <v>58</v>
      </c>
      <c r="G1" s="41" t="s">
        <v>59</v>
      </c>
      <c r="H1" s="42"/>
    </row>
    <row r="2" spans="1:8" ht="14.25" customHeight="1" x14ac:dyDescent="0.35">
      <c r="A2" s="43">
        <v>2005</v>
      </c>
      <c r="B2" s="44">
        <v>18.469999313354489</v>
      </c>
      <c r="C2" s="44">
        <v>56.610000610351563</v>
      </c>
      <c r="D2" s="45"/>
      <c r="E2" s="45"/>
      <c r="F2" s="46">
        <f t="shared" ref="F2:G2" si="0">100</f>
        <v>100</v>
      </c>
      <c r="G2" s="46">
        <f t="shared" si="0"/>
        <v>100</v>
      </c>
    </row>
    <row r="3" spans="1:8" ht="14.25" customHeight="1" x14ac:dyDescent="0.35">
      <c r="A3" s="43">
        <v>2006</v>
      </c>
      <c r="B3" s="44">
        <v>12.25</v>
      </c>
      <c r="C3" s="44">
        <v>72.510002136230469</v>
      </c>
      <c r="D3" s="47">
        <f t="shared" ref="D3:E3" si="1">(B3/B2)-1</f>
        <v>-0.33676229261455359</v>
      </c>
      <c r="E3" s="47">
        <f t="shared" si="1"/>
        <v>0.28086912832450084</v>
      </c>
      <c r="F3" s="46">
        <f t="shared" ref="F3:F22" si="2">100*(B3/$B$2)</f>
        <v>66.323770738544638</v>
      </c>
      <c r="G3" s="46">
        <f t="shared" ref="G3:G22" si="3">100*(C3/$C$2)</f>
        <v>128.08691283245008</v>
      </c>
    </row>
    <row r="4" spans="1:8" ht="14.25" customHeight="1" x14ac:dyDescent="0.35">
      <c r="A4" s="43">
        <v>2007</v>
      </c>
      <c r="B4" s="44">
        <v>14.36999988555908</v>
      </c>
      <c r="C4" s="44">
        <v>116.4100036621094</v>
      </c>
      <c r="D4" s="47">
        <f t="shared" ref="D4:E4" si="4">(B4/B3)-1</f>
        <v>0.17306121514768003</v>
      </c>
      <c r="E4" s="47">
        <f t="shared" si="4"/>
        <v>0.60543373648507703</v>
      </c>
      <c r="F4" s="46">
        <f t="shared" si="2"/>
        <v>77.801843095733318</v>
      </c>
      <c r="G4" s="46">
        <f t="shared" si="3"/>
        <v>205.63505106343874</v>
      </c>
    </row>
    <row r="5" spans="1:8" ht="14.25" customHeight="1" x14ac:dyDescent="0.35">
      <c r="A5" s="43">
        <v>2008</v>
      </c>
      <c r="B5" s="44">
        <v>13.329999923706049</v>
      </c>
      <c r="C5" s="44">
        <v>51.770000457763672</v>
      </c>
      <c r="D5" s="47">
        <f t="shared" ref="D5:E5" si="5">(B5/B4)-1</f>
        <v>-7.2372997225849889E-2</v>
      </c>
      <c r="E5" s="47">
        <f t="shared" si="5"/>
        <v>-0.55527876617862848</v>
      </c>
      <c r="F5" s="46">
        <f t="shared" si="2"/>
        <v>72.171090521199801</v>
      </c>
      <c r="G5" s="46">
        <f t="shared" si="3"/>
        <v>91.450273625853214</v>
      </c>
    </row>
    <row r="6" spans="1:8" ht="14.25" customHeight="1" x14ac:dyDescent="0.35">
      <c r="A6" s="43">
        <v>2009</v>
      </c>
      <c r="B6" s="44">
        <v>16.930000305175781</v>
      </c>
      <c r="C6" s="44">
        <v>63.830001831054688</v>
      </c>
      <c r="D6" s="47">
        <f t="shared" ref="D6:E6" si="6">(B6/B5)-1</f>
        <v>0.27006754704232949</v>
      </c>
      <c r="E6" s="47">
        <f t="shared" si="6"/>
        <v>0.23295347240976194</v>
      </c>
      <c r="F6" s="46">
        <f t="shared" si="2"/>
        <v>91.662159905630148</v>
      </c>
      <c r="G6" s="46">
        <f t="shared" si="3"/>
        <v>112.7539324198186</v>
      </c>
    </row>
    <row r="7" spans="1:8" ht="14.25" customHeight="1" x14ac:dyDescent="0.35">
      <c r="A7" s="43">
        <v>2010</v>
      </c>
      <c r="B7" s="44">
        <v>19.819999694824219</v>
      </c>
      <c r="C7" s="44">
        <v>65.519996643066406</v>
      </c>
      <c r="D7" s="47">
        <f t="shared" ref="D7:E7" si="7">(B7/B6)-1</f>
        <v>0.17070285514200001</v>
      </c>
      <c r="E7" s="47">
        <f t="shared" si="7"/>
        <v>2.6476496373676994E-2</v>
      </c>
      <c r="F7" s="46">
        <f t="shared" si="2"/>
        <v>107.30915231000378</v>
      </c>
      <c r="G7" s="46">
        <f t="shared" si="3"/>
        <v>115.73926150264973</v>
      </c>
    </row>
    <row r="8" spans="1:8" ht="14.25" customHeight="1" x14ac:dyDescent="0.35">
      <c r="A8" s="43">
        <v>2011</v>
      </c>
      <c r="B8" s="44">
        <v>19.680000305175781</v>
      </c>
      <c r="C8" s="44">
        <v>57.200000762939453</v>
      </c>
      <c r="D8" s="47">
        <f t="shared" ref="D8:E8" si="8">(B8/B7)-1</f>
        <v>-7.0635414633732907E-3</v>
      </c>
      <c r="E8" s="47">
        <f t="shared" si="8"/>
        <v>-0.12698407061056238</v>
      </c>
      <c r="F8" s="46">
        <f t="shared" si="2"/>
        <v>106.55116966326261</v>
      </c>
      <c r="G8" s="46">
        <f t="shared" si="3"/>
        <v>101.04221894758292</v>
      </c>
    </row>
    <row r="9" spans="1:8" ht="14.25" customHeight="1" x14ac:dyDescent="0.35">
      <c r="A9" s="43">
        <v>2012</v>
      </c>
      <c r="B9" s="44">
        <v>27.54000091552734</v>
      </c>
      <c r="C9" s="44">
        <v>72.69000244140625</v>
      </c>
      <c r="D9" s="47">
        <f t="shared" ref="D9:E9" si="9">(B9/B8)-1</f>
        <v>0.39939026872293293</v>
      </c>
      <c r="E9" s="47">
        <f t="shared" si="9"/>
        <v>0.27080422153600647</v>
      </c>
      <c r="F9" s="46">
        <f t="shared" si="2"/>
        <v>149.1066699478159</v>
      </c>
      <c r="G9" s="46">
        <f t="shared" si="3"/>
        <v>128.40487839195384</v>
      </c>
    </row>
    <row r="10" spans="1:8" ht="14.25" customHeight="1" x14ac:dyDescent="0.35">
      <c r="A10" s="43">
        <v>2013</v>
      </c>
      <c r="B10" s="44">
        <v>35.259998321533203</v>
      </c>
      <c r="C10" s="44">
        <v>82.110000610351563</v>
      </c>
      <c r="D10" s="47">
        <f t="shared" ref="D10:E10" si="10">(B10/B9)-1</f>
        <v>0.28031943171262741</v>
      </c>
      <c r="E10" s="47">
        <f t="shared" si="10"/>
        <v>0.12959138605805598</v>
      </c>
      <c r="F10" s="46">
        <f t="shared" si="2"/>
        <v>190.90416693214996</v>
      </c>
      <c r="G10" s="46">
        <f t="shared" si="3"/>
        <v>145.04504455938329</v>
      </c>
    </row>
    <row r="11" spans="1:8" ht="14.25" customHeight="1" x14ac:dyDescent="0.35">
      <c r="A11" s="43">
        <v>2014</v>
      </c>
      <c r="B11" s="44">
        <v>41.959999084472663</v>
      </c>
      <c r="C11" s="44">
        <v>90.910003662109375</v>
      </c>
      <c r="D11" s="47">
        <f t="shared" ref="D11:E11" si="11">(B11/B10)-1</f>
        <v>0.19001704713206924</v>
      </c>
      <c r="E11" s="47">
        <f t="shared" si="11"/>
        <v>0.10717334047429539</v>
      </c>
      <c r="F11" s="46">
        <f t="shared" si="2"/>
        <v>227.1792130178047</v>
      </c>
      <c r="G11" s="46">
        <f t="shared" si="3"/>
        <v>160.5900065040554</v>
      </c>
    </row>
    <row r="12" spans="1:8" ht="14.25" customHeight="1" x14ac:dyDescent="0.35">
      <c r="A12" s="43">
        <v>2015</v>
      </c>
      <c r="B12" s="44">
        <v>53.680000305175781</v>
      </c>
      <c r="C12" s="44">
        <v>68.279998779296875</v>
      </c>
      <c r="D12" s="47">
        <f t="shared" ref="D12:E12" si="12">(B12/B11)-1</f>
        <v>0.27931366721693074</v>
      </c>
      <c r="E12" s="47">
        <f t="shared" si="12"/>
        <v>-0.24892755440779424</v>
      </c>
      <c r="F12" s="46">
        <f t="shared" si="2"/>
        <v>290.63347212126405</v>
      </c>
      <c r="G12" s="46">
        <f t="shared" si="3"/>
        <v>120.61472892266913</v>
      </c>
    </row>
    <row r="13" spans="1:8" ht="14.25" customHeight="1" x14ac:dyDescent="0.35">
      <c r="A13" s="43">
        <v>2016</v>
      </c>
      <c r="B13" s="44">
        <v>70.199996948242188</v>
      </c>
      <c r="C13" s="44">
        <v>72.239997863769531</v>
      </c>
      <c r="D13" s="47">
        <f t="shared" ref="D13:E13" si="13">(B13/B12)-1</f>
        <v>0.30774956313615309</v>
      </c>
      <c r="E13" s="47">
        <f t="shared" si="13"/>
        <v>5.7996472689940459E-2</v>
      </c>
      <c r="F13" s="46">
        <f t="shared" si="2"/>
        <v>380.07579619932636</v>
      </c>
      <c r="G13" s="46">
        <f t="shared" si="3"/>
        <v>127.60995775463728</v>
      </c>
    </row>
    <row r="14" spans="1:8" ht="14.25" customHeight="1" x14ac:dyDescent="0.35">
      <c r="A14" s="43">
        <v>2017</v>
      </c>
      <c r="B14" s="44">
        <v>72.199996948242188</v>
      </c>
      <c r="C14" s="44">
        <v>67.080001831054688</v>
      </c>
      <c r="D14" s="47">
        <f t="shared" ref="D14:E14" si="14">(B14/B13)-1</f>
        <v>2.8490029728556632E-2</v>
      </c>
      <c r="E14" s="47">
        <f t="shared" si="14"/>
        <v>-7.1428518622683068E-2</v>
      </c>
      <c r="F14" s="46">
        <f t="shared" si="2"/>
        <v>390.90416693214996</v>
      </c>
      <c r="G14" s="46">
        <f t="shared" si="3"/>
        <v>118.49496751072037</v>
      </c>
    </row>
    <row r="15" spans="1:8" ht="14.25" customHeight="1" x14ac:dyDescent="0.35">
      <c r="A15" s="43">
        <v>2018</v>
      </c>
      <c r="B15" s="44">
        <v>102.34999847412109</v>
      </c>
      <c r="C15" s="44">
        <v>53.439998626708977</v>
      </c>
      <c r="D15" s="47">
        <f t="shared" ref="D15:E15" si="15">(B15/B14)-1</f>
        <v>0.41759006648563224</v>
      </c>
      <c r="E15" s="47">
        <f t="shared" si="15"/>
        <v>-0.20333933858110109</v>
      </c>
      <c r="F15" s="46">
        <f t="shared" si="2"/>
        <v>554.14186399085725</v>
      </c>
      <c r="G15" s="46">
        <f t="shared" si="3"/>
        <v>94.400279191901433</v>
      </c>
    </row>
    <row r="16" spans="1:8" ht="14.25" customHeight="1" x14ac:dyDescent="0.35">
      <c r="A16" s="43">
        <v>2019</v>
      </c>
      <c r="B16" s="44">
        <v>114.34999847412109</v>
      </c>
      <c r="C16" s="44">
        <v>57.549999237060547</v>
      </c>
      <c r="D16" s="47">
        <f t="shared" ref="D16:E16" si="16">(B16/B15)-1</f>
        <v>0.11724475016024716</v>
      </c>
      <c r="E16" s="47">
        <f t="shared" si="16"/>
        <v>7.6908696032365054E-2</v>
      </c>
      <c r="F16" s="46">
        <f t="shared" si="2"/>
        <v>619.11208838779896</v>
      </c>
      <c r="G16" s="46">
        <f t="shared" si="3"/>
        <v>101.66048156964177</v>
      </c>
    </row>
    <row r="17" spans="1:7" ht="14.25" customHeight="1" x14ac:dyDescent="0.35">
      <c r="A17" s="43">
        <v>2020</v>
      </c>
      <c r="B17" s="44">
        <v>120.25</v>
      </c>
      <c r="C17" s="44">
        <v>65.580001831054688</v>
      </c>
      <c r="D17" s="47">
        <f t="shared" ref="D17:E17" si="17">(B17/B16)-1</f>
        <v>5.1595991295217747E-2</v>
      </c>
      <c r="E17" s="47">
        <f t="shared" si="17"/>
        <v>0.13953088966894467</v>
      </c>
      <c r="F17" s="46">
        <f t="shared" si="2"/>
        <v>651.0557903110199</v>
      </c>
      <c r="G17" s="46">
        <f t="shared" si="3"/>
        <v>115.84525900722724</v>
      </c>
    </row>
    <row r="18" spans="1:7" ht="14.25" customHeight="1" x14ac:dyDescent="0.35">
      <c r="A18" s="43">
        <v>2021</v>
      </c>
      <c r="B18" s="44">
        <v>95.550003051757813</v>
      </c>
      <c r="C18" s="44">
        <v>93.360000610351563</v>
      </c>
      <c r="D18" s="47">
        <f t="shared" ref="D18:E18" si="18">(B18/B17)-1</f>
        <v>-0.20540538002696207</v>
      </c>
      <c r="E18" s="47">
        <f t="shared" si="18"/>
        <v>0.4236047271066401</v>
      </c>
      <c r="F18" s="46">
        <f t="shared" si="2"/>
        <v>517.32542828343071</v>
      </c>
      <c r="G18" s="46">
        <f t="shared" si="3"/>
        <v>164.91785833558177</v>
      </c>
    </row>
    <row r="19" spans="1:7" ht="14.25" customHeight="1" x14ac:dyDescent="0.35">
      <c r="A19" s="43">
        <v>2022</v>
      </c>
      <c r="B19" s="44">
        <v>81.029998779296875</v>
      </c>
      <c r="C19" s="44">
        <v>99.769996643066406</v>
      </c>
      <c r="D19" s="47">
        <f t="shared" ref="D19:E19" si="19">(B19/B18)-1</f>
        <v>-0.1519623632517908</v>
      </c>
      <c r="E19" s="47">
        <f t="shared" si="19"/>
        <v>6.8658911641053644E-2</v>
      </c>
      <c r="F19" s="46">
        <f t="shared" si="2"/>
        <v>438.71143363123571</v>
      </c>
      <c r="G19" s="46">
        <f t="shared" si="3"/>
        <v>176.24093899907626</v>
      </c>
    </row>
    <row r="20" spans="1:7" ht="14.25" customHeight="1" x14ac:dyDescent="0.35">
      <c r="A20" s="43">
        <v>2023</v>
      </c>
      <c r="B20" s="44">
        <v>93.139999389648438</v>
      </c>
      <c r="C20" s="44">
        <v>100.9499969482422</v>
      </c>
      <c r="D20" s="47">
        <f t="shared" ref="D20:E20" si="20">(B20/B19)-1</f>
        <v>0.14945083046756324</v>
      </c>
      <c r="E20" s="47">
        <f t="shared" si="20"/>
        <v>1.1827206022641423E-2</v>
      </c>
      <c r="F20" s="46">
        <f t="shared" si="2"/>
        <v>504.27722172303919</v>
      </c>
      <c r="G20" s="46">
        <f t="shared" si="3"/>
        <v>178.32537689424214</v>
      </c>
    </row>
    <row r="21" spans="1:7" ht="14.25" customHeight="1" x14ac:dyDescent="0.35">
      <c r="A21" s="43">
        <v>2024</v>
      </c>
      <c r="B21" s="44">
        <v>88.709999084472656</v>
      </c>
      <c r="C21" s="44">
        <v>77.760002136230469</v>
      </c>
      <c r="D21" s="47">
        <f t="shared" ref="D21:E21" si="21">(B21/B20)-1</f>
        <v>-4.7562812263322041E-2</v>
      </c>
      <c r="E21" s="47">
        <f t="shared" si="21"/>
        <v>-0.22971763757359409</v>
      </c>
      <c r="F21" s="46">
        <f t="shared" si="2"/>
        <v>480.29237889755666</v>
      </c>
      <c r="G21" s="46">
        <f t="shared" si="3"/>
        <v>137.36089259467605</v>
      </c>
    </row>
    <row r="22" spans="1:7" ht="14.25" customHeight="1" x14ac:dyDescent="0.35">
      <c r="A22" s="43">
        <v>2025</v>
      </c>
      <c r="B22" s="44">
        <v>78.089996337890597</v>
      </c>
      <c r="C22" s="44">
        <v>89.080001831054688</v>
      </c>
      <c r="D22" s="47">
        <f t="shared" ref="D22:E22" si="22">(B22/B21)-1</f>
        <v>-0.11971596050259603</v>
      </c>
      <c r="E22" s="47">
        <f t="shared" si="22"/>
        <v>0.14557612376337525</v>
      </c>
      <c r="F22" s="46">
        <f t="shared" si="2"/>
        <v>422.79371543575888</v>
      </c>
      <c r="G22" s="46">
        <f t="shared" si="3"/>
        <v>157.35735889528632</v>
      </c>
    </row>
    <row r="23" spans="1:7" ht="14.25" customHeight="1" x14ac:dyDescent="0.35">
      <c r="A23" s="48"/>
      <c r="B23" s="49"/>
      <c r="F23" s="50"/>
      <c r="G23" s="50"/>
    </row>
    <row r="24" spans="1:7" ht="14.25" customHeight="1" x14ac:dyDescent="0.35">
      <c r="A24" s="51" t="s">
        <v>60</v>
      </c>
      <c r="B24" s="52">
        <f t="shared" ref="B24:C24" si="23">(B22-B2)/B2</f>
        <v>3.2279371543575888</v>
      </c>
      <c r="C24" s="52">
        <f t="shared" si="23"/>
        <v>0.57357358895286326</v>
      </c>
      <c r="F24" s="50"/>
      <c r="G24" s="50"/>
    </row>
    <row r="25" spans="1:7" ht="14.25" customHeight="1" x14ac:dyDescent="0.35">
      <c r="A25" s="51" t="s">
        <v>61</v>
      </c>
      <c r="B25" s="53">
        <f t="shared" ref="B25:C25" si="24">(B22/B2)^(1/20)-1</f>
        <v>7.4747456921960609E-2</v>
      </c>
      <c r="C25" s="53">
        <f t="shared" si="24"/>
        <v>2.2926319274171325E-2</v>
      </c>
      <c r="F25" s="50"/>
      <c r="G25" s="50"/>
    </row>
    <row r="26" spans="1:7" ht="14.25" customHeight="1" x14ac:dyDescent="0.35">
      <c r="A26" s="51" t="s">
        <v>62</v>
      </c>
      <c r="B26" s="54">
        <f t="array" ref="B26">+SUMPRODUCT((D3:D22&gt;E3:E22)*1)</f>
        <v>14</v>
      </c>
      <c r="C26" s="55"/>
      <c r="F26" s="50"/>
      <c r="G26" s="50"/>
    </row>
    <row r="27" spans="1:7" ht="14.25" customHeight="1" x14ac:dyDescent="0.35">
      <c r="A27" s="48"/>
      <c r="B27" s="49"/>
      <c r="F27" s="50"/>
      <c r="G27" s="50"/>
    </row>
    <row r="28" spans="1:7" ht="14.25" customHeight="1" x14ac:dyDescent="0.35">
      <c r="A28" s="48"/>
      <c r="B28" s="49"/>
      <c r="F28" s="50"/>
      <c r="G28" s="50"/>
    </row>
    <row r="29" spans="1:7" ht="14.25" customHeight="1" x14ac:dyDescent="0.35">
      <c r="A29" s="48"/>
      <c r="B29" s="49"/>
      <c r="F29" s="50"/>
      <c r="G29" s="50"/>
    </row>
    <row r="30" spans="1:7" ht="14.25" customHeight="1" x14ac:dyDescent="0.35">
      <c r="A30" s="48"/>
      <c r="B30" s="49"/>
      <c r="F30" s="50"/>
      <c r="G30" s="50"/>
    </row>
    <row r="31" spans="1:7" ht="14.25" customHeight="1" x14ac:dyDescent="0.35">
      <c r="A31" s="48"/>
      <c r="B31" s="49"/>
      <c r="F31" s="50"/>
      <c r="G31" s="50"/>
    </row>
    <row r="32" spans="1:7" ht="14.25" customHeight="1" x14ac:dyDescent="0.35">
      <c r="A32" s="48"/>
      <c r="B32" s="49"/>
      <c r="F32" s="50"/>
      <c r="G32" s="50"/>
    </row>
    <row r="33" spans="1:7" ht="14.25" customHeight="1" x14ac:dyDescent="0.35">
      <c r="A33" s="48"/>
      <c r="B33" s="49"/>
      <c r="F33" s="50"/>
      <c r="G33" s="50"/>
    </row>
    <row r="34" spans="1:7" ht="14.25" customHeight="1" x14ac:dyDescent="0.35">
      <c r="A34" s="48"/>
      <c r="B34" s="49"/>
      <c r="F34" s="50"/>
      <c r="G34" s="50"/>
    </row>
    <row r="35" spans="1:7" ht="14.25" customHeight="1" x14ac:dyDescent="0.35">
      <c r="A35" s="48"/>
      <c r="B35" s="49"/>
      <c r="F35" s="50"/>
      <c r="G35" s="50"/>
    </row>
    <row r="36" spans="1:7" ht="14.25" customHeight="1" x14ac:dyDescent="0.35">
      <c r="A36" s="48"/>
      <c r="B36" s="49"/>
      <c r="F36" s="50"/>
      <c r="G36" s="50"/>
    </row>
    <row r="37" spans="1:7" ht="14.25" customHeight="1" x14ac:dyDescent="0.35">
      <c r="A37" s="48"/>
      <c r="B37" s="49"/>
      <c r="F37" s="50"/>
      <c r="G37" s="50"/>
    </row>
    <row r="38" spans="1:7" ht="14.25" customHeight="1" x14ac:dyDescent="0.35">
      <c r="A38" s="48"/>
      <c r="B38" s="49"/>
      <c r="F38" s="50"/>
      <c r="G38" s="50"/>
    </row>
    <row r="39" spans="1:7" ht="14.25" customHeight="1" x14ac:dyDescent="0.35">
      <c r="A39" s="48"/>
      <c r="B39" s="49"/>
      <c r="F39" s="50"/>
      <c r="G39" s="50"/>
    </row>
    <row r="40" spans="1:7" ht="14.25" customHeight="1" x14ac:dyDescent="0.35">
      <c r="A40" s="48"/>
      <c r="B40" s="49"/>
      <c r="F40" s="50"/>
      <c r="G40" s="50"/>
    </row>
    <row r="41" spans="1:7" ht="14.25" customHeight="1" x14ac:dyDescent="0.35">
      <c r="A41" s="48"/>
      <c r="B41" s="49"/>
      <c r="F41" s="50"/>
      <c r="G41" s="50"/>
    </row>
    <row r="42" spans="1:7" ht="14.25" customHeight="1" x14ac:dyDescent="0.35">
      <c r="A42" s="48"/>
      <c r="B42" s="49"/>
      <c r="F42" s="50"/>
      <c r="G42" s="50"/>
    </row>
    <row r="43" spans="1:7" ht="14.25" customHeight="1" x14ac:dyDescent="0.35">
      <c r="A43" s="48"/>
      <c r="B43" s="49"/>
      <c r="F43" s="50"/>
      <c r="G43" s="50"/>
    </row>
    <row r="44" spans="1:7" ht="14.25" customHeight="1" x14ac:dyDescent="0.35">
      <c r="A44" s="48"/>
      <c r="B44" s="49"/>
      <c r="F44" s="50"/>
      <c r="G44" s="50"/>
    </row>
    <row r="45" spans="1:7" ht="14.25" customHeight="1" x14ac:dyDescent="0.35">
      <c r="A45" s="48"/>
      <c r="B45" s="49"/>
      <c r="F45" s="50"/>
      <c r="G45" s="50"/>
    </row>
    <row r="46" spans="1:7" ht="14.25" customHeight="1" x14ac:dyDescent="0.35">
      <c r="A46" s="48"/>
      <c r="B46" s="49"/>
      <c r="F46" s="50"/>
      <c r="G46" s="50"/>
    </row>
    <row r="47" spans="1:7" ht="14.25" customHeight="1" x14ac:dyDescent="0.35">
      <c r="A47" s="48"/>
      <c r="B47" s="49"/>
      <c r="F47" s="50"/>
      <c r="G47" s="50"/>
    </row>
    <row r="48" spans="1:7" ht="14.25" customHeight="1" x14ac:dyDescent="0.35">
      <c r="A48" s="48"/>
      <c r="B48" s="49"/>
      <c r="F48" s="50"/>
      <c r="G48" s="50"/>
    </row>
    <row r="49" spans="1:7" ht="14.25" customHeight="1" x14ac:dyDescent="0.35">
      <c r="A49" s="48"/>
      <c r="B49" s="49"/>
      <c r="F49" s="50"/>
      <c r="G49" s="50"/>
    </row>
    <row r="50" spans="1:7" ht="14.25" customHeight="1" x14ac:dyDescent="0.35">
      <c r="A50" s="48"/>
      <c r="B50" s="49"/>
      <c r="F50" s="50"/>
      <c r="G50" s="50"/>
    </row>
    <row r="51" spans="1:7" ht="14.25" customHeight="1" x14ac:dyDescent="0.35">
      <c r="A51" s="48"/>
      <c r="B51" s="49"/>
      <c r="F51" s="50"/>
      <c r="G51" s="50"/>
    </row>
    <row r="52" spans="1:7" ht="14.25" customHeight="1" x14ac:dyDescent="0.35">
      <c r="A52" s="48"/>
      <c r="B52" s="49"/>
      <c r="F52" s="50"/>
      <c r="G52" s="50"/>
    </row>
    <row r="53" spans="1:7" ht="14.25" customHeight="1" x14ac:dyDescent="0.35">
      <c r="A53" s="48"/>
      <c r="B53" s="49"/>
      <c r="F53" s="50"/>
      <c r="G53" s="50"/>
    </row>
    <row r="54" spans="1:7" ht="14.25" customHeight="1" x14ac:dyDescent="0.35">
      <c r="A54" s="48"/>
      <c r="B54" s="49"/>
      <c r="F54" s="50"/>
      <c r="G54" s="50"/>
    </row>
    <row r="55" spans="1:7" ht="14.25" customHeight="1" x14ac:dyDescent="0.35">
      <c r="A55" s="48"/>
      <c r="B55" s="49"/>
      <c r="F55" s="50"/>
      <c r="G55" s="50"/>
    </row>
    <row r="56" spans="1:7" ht="14.25" customHeight="1" x14ac:dyDescent="0.35">
      <c r="A56" s="48"/>
      <c r="B56" s="49"/>
      <c r="F56" s="50"/>
      <c r="G56" s="50"/>
    </row>
    <row r="57" spans="1:7" ht="14.25" customHeight="1" x14ac:dyDescent="0.35">
      <c r="A57" s="48"/>
      <c r="B57" s="49"/>
      <c r="F57" s="50"/>
      <c r="G57" s="50"/>
    </row>
    <row r="58" spans="1:7" ht="14.25" customHeight="1" x14ac:dyDescent="0.35">
      <c r="A58" s="48"/>
      <c r="B58" s="49"/>
      <c r="F58" s="50"/>
      <c r="G58" s="50"/>
    </row>
    <row r="59" spans="1:7" ht="14.25" customHeight="1" x14ac:dyDescent="0.35">
      <c r="A59" s="48"/>
      <c r="B59" s="49"/>
      <c r="F59" s="50"/>
      <c r="G59" s="50"/>
    </row>
    <row r="60" spans="1:7" ht="14.25" customHeight="1" x14ac:dyDescent="0.35">
      <c r="A60" s="48"/>
      <c r="B60" s="49"/>
      <c r="F60" s="50"/>
      <c r="G60" s="50"/>
    </row>
    <row r="61" spans="1:7" ht="14.25" customHeight="1" x14ac:dyDescent="0.35">
      <c r="A61" s="48"/>
      <c r="B61" s="49"/>
      <c r="F61" s="50"/>
      <c r="G61" s="50"/>
    </row>
    <row r="62" spans="1:7" ht="14.25" customHeight="1" x14ac:dyDescent="0.35">
      <c r="A62" s="48"/>
      <c r="B62" s="49"/>
      <c r="F62" s="50"/>
      <c r="G62" s="50"/>
    </row>
    <row r="63" spans="1:7" ht="14.25" customHeight="1" x14ac:dyDescent="0.35">
      <c r="A63" s="48"/>
      <c r="B63" s="49"/>
      <c r="F63" s="50"/>
      <c r="G63" s="50"/>
    </row>
    <row r="64" spans="1:7" ht="14.25" customHeight="1" x14ac:dyDescent="0.35">
      <c r="A64" s="48"/>
      <c r="B64" s="49"/>
      <c r="F64" s="50"/>
      <c r="G64" s="50"/>
    </row>
    <row r="65" spans="1:7" ht="14.25" customHeight="1" x14ac:dyDescent="0.35">
      <c r="A65" s="48"/>
      <c r="B65" s="49"/>
      <c r="F65" s="50"/>
      <c r="G65" s="50"/>
    </row>
    <row r="66" spans="1:7" ht="14.25" customHeight="1" x14ac:dyDescent="0.35">
      <c r="A66" s="48"/>
      <c r="B66" s="49"/>
      <c r="F66" s="50"/>
      <c r="G66" s="50"/>
    </row>
    <row r="67" spans="1:7" ht="14.25" customHeight="1" x14ac:dyDescent="0.35">
      <c r="A67" s="48"/>
      <c r="B67" s="49"/>
      <c r="F67" s="50"/>
      <c r="G67" s="50"/>
    </row>
    <row r="68" spans="1:7" ht="14.25" customHeight="1" x14ac:dyDescent="0.35">
      <c r="A68" s="48"/>
      <c r="B68" s="49"/>
      <c r="F68" s="50"/>
      <c r="G68" s="50"/>
    </row>
    <row r="69" spans="1:7" ht="14.25" customHeight="1" x14ac:dyDescent="0.35">
      <c r="A69" s="48"/>
      <c r="B69" s="49"/>
      <c r="F69" s="50"/>
      <c r="G69" s="50"/>
    </row>
    <row r="70" spans="1:7" ht="14.25" customHeight="1" x14ac:dyDescent="0.35">
      <c r="A70" s="48"/>
      <c r="B70" s="49"/>
      <c r="F70" s="50"/>
      <c r="G70" s="50"/>
    </row>
    <row r="71" spans="1:7" ht="14.25" customHeight="1" x14ac:dyDescent="0.35">
      <c r="A71" s="48"/>
      <c r="B71" s="49"/>
      <c r="F71" s="50"/>
      <c r="G71" s="50"/>
    </row>
    <row r="72" spans="1:7" ht="14.25" customHeight="1" x14ac:dyDescent="0.35">
      <c r="A72" s="48"/>
      <c r="B72" s="49"/>
      <c r="F72" s="50"/>
      <c r="G72" s="50"/>
    </row>
    <row r="73" spans="1:7" ht="14.25" customHeight="1" x14ac:dyDescent="0.35">
      <c r="A73" s="48"/>
      <c r="B73" s="49"/>
      <c r="F73" s="50"/>
      <c r="G73" s="50"/>
    </row>
    <row r="74" spans="1:7" ht="14.25" customHeight="1" x14ac:dyDescent="0.35">
      <c r="A74" s="48"/>
      <c r="B74" s="49"/>
      <c r="F74" s="50"/>
      <c r="G74" s="50"/>
    </row>
    <row r="75" spans="1:7" ht="14.25" customHeight="1" x14ac:dyDescent="0.35">
      <c r="A75" s="48"/>
      <c r="B75" s="49"/>
      <c r="F75" s="50"/>
      <c r="G75" s="50"/>
    </row>
    <row r="76" spans="1:7" ht="14.25" customHeight="1" x14ac:dyDescent="0.35">
      <c r="A76" s="48"/>
      <c r="B76" s="49"/>
      <c r="F76" s="50"/>
      <c r="G76" s="50"/>
    </row>
    <row r="77" spans="1:7" ht="14.25" customHeight="1" x14ac:dyDescent="0.35">
      <c r="A77" s="48"/>
      <c r="B77" s="49"/>
      <c r="F77" s="50"/>
      <c r="G77" s="50"/>
    </row>
    <row r="78" spans="1:7" ht="14.25" customHeight="1" x14ac:dyDescent="0.35">
      <c r="A78" s="48"/>
      <c r="B78" s="49"/>
      <c r="F78" s="50"/>
      <c r="G78" s="50"/>
    </row>
    <row r="79" spans="1:7" ht="14.25" customHeight="1" x14ac:dyDescent="0.35">
      <c r="A79" s="48"/>
      <c r="B79" s="49"/>
      <c r="F79" s="50"/>
      <c r="G79" s="50"/>
    </row>
    <row r="80" spans="1:7" ht="14.25" customHeight="1" x14ac:dyDescent="0.35">
      <c r="A80" s="48"/>
      <c r="B80" s="49"/>
      <c r="F80" s="50"/>
      <c r="G80" s="50"/>
    </row>
    <row r="81" spans="1:7" ht="14.25" customHeight="1" x14ac:dyDescent="0.35">
      <c r="A81" s="48"/>
      <c r="B81" s="49"/>
      <c r="F81" s="50"/>
      <c r="G81" s="50"/>
    </row>
    <row r="82" spans="1:7" ht="14.25" customHeight="1" x14ac:dyDescent="0.35">
      <c r="A82" s="48"/>
      <c r="B82" s="49"/>
      <c r="F82" s="50"/>
      <c r="G82" s="50"/>
    </row>
    <row r="83" spans="1:7" ht="14.25" customHeight="1" x14ac:dyDescent="0.35">
      <c r="A83" s="48"/>
      <c r="B83" s="49"/>
      <c r="F83" s="50"/>
      <c r="G83" s="50"/>
    </row>
    <row r="84" spans="1:7" ht="14.25" customHeight="1" x14ac:dyDescent="0.35">
      <c r="A84" s="48"/>
      <c r="B84" s="49"/>
      <c r="F84" s="50"/>
      <c r="G84" s="50"/>
    </row>
    <row r="85" spans="1:7" ht="14.25" customHeight="1" x14ac:dyDescent="0.35">
      <c r="A85" s="48"/>
      <c r="B85" s="49"/>
      <c r="F85" s="50"/>
      <c r="G85" s="50"/>
    </row>
    <row r="86" spans="1:7" ht="14.25" customHeight="1" x14ac:dyDescent="0.35">
      <c r="A86" s="48"/>
      <c r="B86" s="49"/>
      <c r="F86" s="50"/>
      <c r="G86" s="50"/>
    </row>
    <row r="87" spans="1:7" ht="14.25" customHeight="1" x14ac:dyDescent="0.35">
      <c r="A87" s="48"/>
      <c r="B87" s="49"/>
      <c r="F87" s="50"/>
      <c r="G87" s="50"/>
    </row>
    <row r="88" spans="1:7" ht="14.25" customHeight="1" x14ac:dyDescent="0.35">
      <c r="A88" s="48"/>
      <c r="B88" s="49"/>
      <c r="F88" s="50"/>
      <c r="G88" s="50"/>
    </row>
    <row r="89" spans="1:7" ht="14.25" customHeight="1" x14ac:dyDescent="0.35">
      <c r="A89" s="48"/>
      <c r="B89" s="49"/>
      <c r="F89" s="50"/>
      <c r="G89" s="50"/>
    </row>
    <row r="90" spans="1:7" ht="14.25" customHeight="1" x14ac:dyDescent="0.35">
      <c r="A90" s="48"/>
      <c r="B90" s="49"/>
      <c r="F90" s="50"/>
      <c r="G90" s="50"/>
    </row>
    <row r="91" spans="1:7" ht="14.25" customHeight="1" x14ac:dyDescent="0.35">
      <c r="A91" s="48"/>
      <c r="B91" s="49"/>
      <c r="F91" s="50"/>
      <c r="G91" s="50"/>
    </row>
    <row r="92" spans="1:7" ht="14.25" customHeight="1" x14ac:dyDescent="0.35">
      <c r="A92" s="48"/>
      <c r="B92" s="49"/>
      <c r="F92" s="50"/>
      <c r="G92" s="50"/>
    </row>
    <row r="93" spans="1:7" ht="14.25" customHeight="1" x14ac:dyDescent="0.35">
      <c r="A93" s="48"/>
      <c r="B93" s="49"/>
      <c r="F93" s="50"/>
      <c r="G93" s="50"/>
    </row>
    <row r="94" spans="1:7" ht="14.25" customHeight="1" x14ac:dyDescent="0.35">
      <c r="A94" s="48"/>
      <c r="B94" s="49"/>
      <c r="F94" s="50"/>
      <c r="G94" s="50"/>
    </row>
    <row r="95" spans="1:7" ht="14.25" customHeight="1" x14ac:dyDescent="0.35">
      <c r="A95" s="48"/>
      <c r="B95" s="49"/>
      <c r="F95" s="50"/>
      <c r="G95" s="50"/>
    </row>
    <row r="96" spans="1:7" ht="14.25" customHeight="1" x14ac:dyDescent="0.35">
      <c r="A96" s="48"/>
      <c r="B96" s="49"/>
      <c r="F96" s="50"/>
      <c r="G96" s="50"/>
    </row>
    <row r="97" spans="1:7" ht="14.25" customHeight="1" x14ac:dyDescent="0.35">
      <c r="A97" s="48"/>
      <c r="B97" s="49"/>
      <c r="F97" s="50"/>
      <c r="G97" s="50"/>
    </row>
    <row r="98" spans="1:7" ht="14.25" customHeight="1" x14ac:dyDescent="0.35">
      <c r="A98" s="48"/>
      <c r="B98" s="49"/>
      <c r="F98" s="50"/>
      <c r="G98" s="50"/>
    </row>
    <row r="99" spans="1:7" ht="14.25" customHeight="1" x14ac:dyDescent="0.35">
      <c r="A99" s="48"/>
      <c r="B99" s="49"/>
      <c r="F99" s="50"/>
      <c r="G99" s="50"/>
    </row>
    <row r="100" spans="1:7" ht="14.25" customHeight="1" x14ac:dyDescent="0.35">
      <c r="A100" s="48"/>
      <c r="B100" s="49"/>
      <c r="F100" s="50"/>
      <c r="G100" s="50"/>
    </row>
    <row r="101" spans="1:7" ht="14.25" customHeight="1" x14ac:dyDescent="0.35">
      <c r="A101" s="48"/>
      <c r="B101" s="49"/>
      <c r="F101" s="50"/>
      <c r="G101" s="50"/>
    </row>
    <row r="102" spans="1:7" ht="14.25" customHeight="1" x14ac:dyDescent="0.35">
      <c r="A102" s="48"/>
      <c r="B102" s="49"/>
      <c r="F102" s="50"/>
      <c r="G102" s="50"/>
    </row>
    <row r="103" spans="1:7" ht="14.25" customHeight="1" x14ac:dyDescent="0.35">
      <c r="A103" s="48"/>
      <c r="B103" s="49"/>
      <c r="F103" s="50"/>
      <c r="G103" s="50"/>
    </row>
    <row r="104" spans="1:7" ht="14.25" customHeight="1" x14ac:dyDescent="0.35">
      <c r="A104" s="48"/>
      <c r="B104" s="49"/>
      <c r="F104" s="50"/>
      <c r="G104" s="50"/>
    </row>
    <row r="105" spans="1:7" ht="14.25" customHeight="1" x14ac:dyDescent="0.35">
      <c r="A105" s="48"/>
      <c r="B105" s="49"/>
      <c r="F105" s="50"/>
      <c r="G105" s="50"/>
    </row>
    <row r="106" spans="1:7" ht="14.25" customHeight="1" x14ac:dyDescent="0.35">
      <c r="A106" s="48"/>
      <c r="B106" s="49"/>
      <c r="F106" s="50"/>
      <c r="G106" s="50"/>
    </row>
    <row r="107" spans="1:7" ht="14.25" customHeight="1" x14ac:dyDescent="0.35">
      <c r="A107" s="48"/>
      <c r="B107" s="49"/>
      <c r="F107" s="50"/>
      <c r="G107" s="50"/>
    </row>
    <row r="108" spans="1:7" ht="14.25" customHeight="1" x14ac:dyDescent="0.35">
      <c r="A108" s="48"/>
      <c r="B108" s="49"/>
      <c r="F108" s="50"/>
      <c r="G108" s="50"/>
    </row>
    <row r="109" spans="1:7" ht="14.25" customHeight="1" x14ac:dyDescent="0.35">
      <c r="A109" s="48"/>
      <c r="B109" s="49"/>
      <c r="F109" s="50"/>
      <c r="G109" s="50"/>
    </row>
    <row r="110" spans="1:7" ht="14.25" customHeight="1" x14ac:dyDescent="0.35">
      <c r="A110" s="48"/>
      <c r="B110" s="49"/>
      <c r="F110" s="50"/>
      <c r="G110" s="50"/>
    </row>
    <row r="111" spans="1:7" ht="14.25" customHeight="1" x14ac:dyDescent="0.35">
      <c r="A111" s="48"/>
      <c r="B111" s="49"/>
      <c r="F111" s="50"/>
      <c r="G111" s="50"/>
    </row>
    <row r="112" spans="1:7" ht="14.25" customHeight="1" x14ac:dyDescent="0.35">
      <c r="A112" s="48"/>
      <c r="B112" s="49"/>
      <c r="F112" s="50"/>
      <c r="G112" s="50"/>
    </row>
    <row r="113" spans="1:7" ht="14.25" customHeight="1" x14ac:dyDescent="0.35">
      <c r="A113" s="48"/>
      <c r="B113" s="49"/>
      <c r="F113" s="50"/>
      <c r="G113" s="50"/>
    </row>
    <row r="114" spans="1:7" ht="14.25" customHeight="1" x14ac:dyDescent="0.35">
      <c r="A114" s="48"/>
      <c r="B114" s="49"/>
      <c r="F114" s="50"/>
      <c r="G114" s="50"/>
    </row>
    <row r="115" spans="1:7" ht="14.25" customHeight="1" x14ac:dyDescent="0.35">
      <c r="A115" s="48"/>
      <c r="B115" s="49"/>
      <c r="F115" s="50"/>
      <c r="G115" s="50"/>
    </row>
    <row r="116" spans="1:7" ht="14.25" customHeight="1" x14ac:dyDescent="0.35">
      <c r="A116" s="48"/>
      <c r="B116" s="49"/>
      <c r="F116" s="50"/>
      <c r="G116" s="50"/>
    </row>
    <row r="117" spans="1:7" ht="14.25" customHeight="1" x14ac:dyDescent="0.35">
      <c r="A117" s="48"/>
      <c r="B117" s="49"/>
      <c r="F117" s="50"/>
      <c r="G117" s="50"/>
    </row>
    <row r="118" spans="1:7" ht="14.25" customHeight="1" x14ac:dyDescent="0.35">
      <c r="A118" s="48"/>
      <c r="B118" s="49"/>
      <c r="F118" s="50"/>
      <c r="G118" s="50"/>
    </row>
    <row r="119" spans="1:7" ht="14.25" customHeight="1" x14ac:dyDescent="0.35">
      <c r="A119" s="48"/>
      <c r="B119" s="49"/>
      <c r="F119" s="50"/>
      <c r="G119" s="50"/>
    </row>
    <row r="120" spans="1:7" ht="14.25" customHeight="1" x14ac:dyDescent="0.35">
      <c r="A120" s="48"/>
      <c r="B120" s="49"/>
      <c r="F120" s="50"/>
      <c r="G120" s="50"/>
    </row>
    <row r="121" spans="1:7" ht="14.25" customHeight="1" x14ac:dyDescent="0.35">
      <c r="A121" s="48"/>
      <c r="B121" s="49"/>
      <c r="F121" s="50"/>
      <c r="G121" s="50"/>
    </row>
    <row r="122" spans="1:7" ht="14.25" customHeight="1" x14ac:dyDescent="0.35">
      <c r="A122" s="48"/>
      <c r="B122" s="49"/>
      <c r="F122" s="50"/>
      <c r="G122" s="50"/>
    </row>
    <row r="123" spans="1:7" ht="14.25" customHeight="1" x14ac:dyDescent="0.35">
      <c r="A123" s="48"/>
      <c r="B123" s="49"/>
      <c r="F123" s="50"/>
      <c r="G123" s="50"/>
    </row>
    <row r="124" spans="1:7" ht="14.25" customHeight="1" x14ac:dyDescent="0.35">
      <c r="A124" s="48"/>
      <c r="B124" s="49"/>
      <c r="F124" s="50"/>
      <c r="G124" s="50"/>
    </row>
    <row r="125" spans="1:7" ht="14.25" customHeight="1" x14ac:dyDescent="0.35">
      <c r="A125" s="48"/>
      <c r="B125" s="49"/>
      <c r="F125" s="50"/>
      <c r="G125" s="50"/>
    </row>
    <row r="126" spans="1:7" ht="14.25" customHeight="1" x14ac:dyDescent="0.35">
      <c r="A126" s="48"/>
      <c r="B126" s="49"/>
      <c r="F126" s="50"/>
      <c r="G126" s="50"/>
    </row>
    <row r="127" spans="1:7" ht="14.25" customHeight="1" x14ac:dyDescent="0.35">
      <c r="A127" s="48"/>
      <c r="B127" s="49"/>
      <c r="F127" s="50"/>
      <c r="G127" s="50"/>
    </row>
    <row r="128" spans="1:7" ht="14.25" customHeight="1" x14ac:dyDescent="0.35">
      <c r="A128" s="48"/>
      <c r="B128" s="49"/>
      <c r="F128" s="50"/>
      <c r="G128" s="50"/>
    </row>
    <row r="129" spans="1:7" ht="14.25" customHeight="1" x14ac:dyDescent="0.35">
      <c r="A129" s="48"/>
      <c r="B129" s="49"/>
      <c r="F129" s="50"/>
      <c r="G129" s="50"/>
    </row>
    <row r="130" spans="1:7" ht="14.25" customHeight="1" x14ac:dyDescent="0.35">
      <c r="A130" s="48"/>
      <c r="B130" s="49"/>
      <c r="F130" s="50"/>
      <c r="G130" s="50"/>
    </row>
    <row r="131" spans="1:7" ht="14.25" customHeight="1" x14ac:dyDescent="0.35">
      <c r="A131" s="48"/>
      <c r="B131" s="49"/>
      <c r="F131" s="50"/>
      <c r="G131" s="50"/>
    </row>
    <row r="132" spans="1:7" ht="14.25" customHeight="1" x14ac:dyDescent="0.35">
      <c r="A132" s="48"/>
      <c r="B132" s="49"/>
      <c r="F132" s="50"/>
      <c r="G132" s="50"/>
    </row>
    <row r="133" spans="1:7" ht="14.25" customHeight="1" x14ac:dyDescent="0.35">
      <c r="A133" s="48"/>
      <c r="B133" s="49"/>
      <c r="F133" s="50"/>
      <c r="G133" s="50"/>
    </row>
    <row r="134" spans="1:7" ht="14.25" customHeight="1" x14ac:dyDescent="0.35">
      <c r="A134" s="48"/>
      <c r="B134" s="49"/>
      <c r="F134" s="50"/>
      <c r="G134" s="50"/>
    </row>
    <row r="135" spans="1:7" ht="14.25" customHeight="1" x14ac:dyDescent="0.35">
      <c r="A135" s="48"/>
      <c r="B135" s="49"/>
      <c r="F135" s="50"/>
      <c r="G135" s="50"/>
    </row>
    <row r="136" spans="1:7" ht="14.25" customHeight="1" x14ac:dyDescent="0.35">
      <c r="A136" s="48"/>
      <c r="B136" s="49"/>
      <c r="F136" s="50"/>
      <c r="G136" s="50"/>
    </row>
    <row r="137" spans="1:7" ht="14.25" customHeight="1" x14ac:dyDescent="0.35">
      <c r="A137" s="48"/>
      <c r="B137" s="49"/>
      <c r="F137" s="50"/>
      <c r="G137" s="50"/>
    </row>
    <row r="138" spans="1:7" ht="14.25" customHeight="1" x14ac:dyDescent="0.35">
      <c r="A138" s="48"/>
      <c r="B138" s="49"/>
      <c r="F138" s="50"/>
      <c r="G138" s="50"/>
    </row>
    <row r="139" spans="1:7" ht="14.25" customHeight="1" x14ac:dyDescent="0.35">
      <c r="A139" s="48"/>
      <c r="B139" s="49"/>
      <c r="F139" s="50"/>
      <c r="G139" s="50"/>
    </row>
    <row r="140" spans="1:7" ht="14.25" customHeight="1" x14ac:dyDescent="0.35">
      <c r="A140" s="48"/>
      <c r="B140" s="49"/>
      <c r="F140" s="50"/>
      <c r="G140" s="50"/>
    </row>
    <row r="141" spans="1:7" ht="14.25" customHeight="1" x14ac:dyDescent="0.35">
      <c r="A141" s="48"/>
      <c r="B141" s="49"/>
      <c r="F141" s="50"/>
      <c r="G141" s="50"/>
    </row>
    <row r="142" spans="1:7" ht="14.25" customHeight="1" x14ac:dyDescent="0.35">
      <c r="A142" s="48"/>
      <c r="B142" s="49"/>
      <c r="F142" s="50"/>
      <c r="G142" s="50"/>
    </row>
    <row r="143" spans="1:7" ht="14.25" customHeight="1" x14ac:dyDescent="0.35">
      <c r="A143" s="48"/>
      <c r="B143" s="49"/>
      <c r="F143" s="50"/>
      <c r="G143" s="50"/>
    </row>
    <row r="144" spans="1:7" ht="14.25" customHeight="1" x14ac:dyDescent="0.35">
      <c r="A144" s="48"/>
      <c r="B144" s="49"/>
      <c r="F144" s="50"/>
      <c r="G144" s="50"/>
    </row>
    <row r="145" spans="1:7" ht="14.25" customHeight="1" x14ac:dyDescent="0.35">
      <c r="A145" s="48"/>
      <c r="B145" s="49"/>
      <c r="F145" s="50"/>
      <c r="G145" s="50"/>
    </row>
    <row r="146" spans="1:7" ht="14.25" customHeight="1" x14ac:dyDescent="0.35">
      <c r="A146" s="48"/>
      <c r="B146" s="49"/>
      <c r="F146" s="50"/>
      <c r="G146" s="50"/>
    </row>
    <row r="147" spans="1:7" ht="14.25" customHeight="1" x14ac:dyDescent="0.35">
      <c r="A147" s="48"/>
      <c r="B147" s="49"/>
      <c r="F147" s="50"/>
      <c r="G147" s="50"/>
    </row>
    <row r="148" spans="1:7" ht="14.25" customHeight="1" x14ac:dyDescent="0.35">
      <c r="A148" s="48"/>
      <c r="B148" s="49"/>
      <c r="F148" s="50"/>
      <c r="G148" s="50"/>
    </row>
    <row r="149" spans="1:7" ht="14.25" customHeight="1" x14ac:dyDescent="0.35">
      <c r="A149" s="48"/>
      <c r="B149" s="49"/>
      <c r="F149" s="50"/>
      <c r="G149" s="50"/>
    </row>
    <row r="150" spans="1:7" ht="14.25" customHeight="1" x14ac:dyDescent="0.35">
      <c r="A150" s="48"/>
      <c r="B150" s="49"/>
      <c r="F150" s="50"/>
      <c r="G150" s="50"/>
    </row>
    <row r="151" spans="1:7" ht="14.25" customHeight="1" x14ac:dyDescent="0.35">
      <c r="A151" s="48"/>
      <c r="B151" s="49"/>
      <c r="F151" s="50"/>
      <c r="G151" s="50"/>
    </row>
    <row r="152" spans="1:7" ht="14.25" customHeight="1" x14ac:dyDescent="0.35">
      <c r="A152" s="48"/>
      <c r="B152" s="49"/>
      <c r="F152" s="50"/>
      <c r="G152" s="50"/>
    </row>
    <row r="153" spans="1:7" ht="14.25" customHeight="1" x14ac:dyDescent="0.35">
      <c r="A153" s="48"/>
      <c r="B153" s="49"/>
      <c r="F153" s="50"/>
      <c r="G153" s="50"/>
    </row>
    <row r="154" spans="1:7" ht="14.25" customHeight="1" x14ac:dyDescent="0.35">
      <c r="A154" s="48"/>
      <c r="B154" s="49"/>
      <c r="F154" s="50"/>
      <c r="G154" s="50"/>
    </row>
    <row r="155" spans="1:7" ht="14.25" customHeight="1" x14ac:dyDescent="0.35">
      <c r="A155" s="48"/>
      <c r="B155" s="49"/>
      <c r="F155" s="50"/>
      <c r="G155" s="50"/>
    </row>
    <row r="156" spans="1:7" ht="14.25" customHeight="1" x14ac:dyDescent="0.35">
      <c r="A156" s="48"/>
      <c r="B156" s="49"/>
      <c r="F156" s="50"/>
      <c r="G156" s="50"/>
    </row>
    <row r="157" spans="1:7" ht="14.25" customHeight="1" x14ac:dyDescent="0.35">
      <c r="A157" s="48"/>
      <c r="B157" s="49"/>
      <c r="F157" s="50"/>
      <c r="G157" s="50"/>
    </row>
    <row r="158" spans="1:7" ht="14.25" customHeight="1" x14ac:dyDescent="0.35">
      <c r="A158" s="48"/>
      <c r="B158" s="49"/>
      <c r="F158" s="50"/>
      <c r="G158" s="50"/>
    </row>
    <row r="159" spans="1:7" ht="14.25" customHeight="1" x14ac:dyDescent="0.35">
      <c r="A159" s="48"/>
      <c r="B159" s="49"/>
      <c r="F159" s="50"/>
      <c r="G159" s="50"/>
    </row>
    <row r="160" spans="1:7" ht="14.25" customHeight="1" x14ac:dyDescent="0.35">
      <c r="A160" s="48"/>
      <c r="B160" s="49"/>
      <c r="F160" s="50"/>
      <c r="G160" s="50"/>
    </row>
    <row r="161" spans="1:7" ht="14.25" customHeight="1" x14ac:dyDescent="0.35">
      <c r="A161" s="48"/>
      <c r="B161" s="49"/>
      <c r="F161" s="50"/>
      <c r="G161" s="50"/>
    </row>
    <row r="162" spans="1:7" ht="14.25" customHeight="1" x14ac:dyDescent="0.35">
      <c r="A162" s="48"/>
      <c r="B162" s="49"/>
      <c r="F162" s="50"/>
      <c r="G162" s="50"/>
    </row>
    <row r="163" spans="1:7" ht="14.25" customHeight="1" x14ac:dyDescent="0.35">
      <c r="A163" s="48"/>
      <c r="B163" s="49"/>
      <c r="F163" s="50"/>
      <c r="G163" s="50"/>
    </row>
    <row r="164" spans="1:7" ht="14.25" customHeight="1" x14ac:dyDescent="0.35">
      <c r="A164" s="48"/>
      <c r="B164" s="49"/>
      <c r="F164" s="50"/>
      <c r="G164" s="50"/>
    </row>
    <row r="165" spans="1:7" ht="14.25" customHeight="1" x14ac:dyDescent="0.35">
      <c r="A165" s="48"/>
      <c r="B165" s="49"/>
      <c r="F165" s="50"/>
      <c r="G165" s="50"/>
    </row>
    <row r="166" spans="1:7" ht="14.25" customHeight="1" x14ac:dyDescent="0.35">
      <c r="A166" s="48"/>
      <c r="B166" s="49"/>
      <c r="F166" s="50"/>
      <c r="G166" s="50"/>
    </row>
    <row r="167" spans="1:7" ht="14.25" customHeight="1" x14ac:dyDescent="0.35">
      <c r="A167" s="48"/>
      <c r="B167" s="49"/>
      <c r="F167" s="50"/>
      <c r="G167" s="50"/>
    </row>
    <row r="168" spans="1:7" ht="14.25" customHeight="1" x14ac:dyDescent="0.35">
      <c r="A168" s="48"/>
      <c r="B168" s="49"/>
      <c r="F168" s="50"/>
      <c r="G168" s="50"/>
    </row>
    <row r="169" spans="1:7" ht="14.25" customHeight="1" x14ac:dyDescent="0.35">
      <c r="A169" s="48"/>
      <c r="B169" s="49"/>
      <c r="F169" s="50"/>
      <c r="G169" s="50"/>
    </row>
    <row r="170" spans="1:7" ht="14.25" customHeight="1" x14ac:dyDescent="0.35">
      <c r="A170" s="48"/>
      <c r="B170" s="49"/>
      <c r="F170" s="50"/>
      <c r="G170" s="50"/>
    </row>
    <row r="171" spans="1:7" ht="14.25" customHeight="1" x14ac:dyDescent="0.35">
      <c r="A171" s="48"/>
      <c r="B171" s="49"/>
      <c r="F171" s="50"/>
      <c r="G171" s="50"/>
    </row>
    <row r="172" spans="1:7" ht="14.25" customHeight="1" x14ac:dyDescent="0.35">
      <c r="A172" s="48"/>
      <c r="B172" s="49"/>
      <c r="F172" s="50"/>
      <c r="G172" s="50"/>
    </row>
    <row r="173" spans="1:7" ht="14.25" customHeight="1" x14ac:dyDescent="0.35">
      <c r="A173" s="48"/>
      <c r="B173" s="49"/>
      <c r="F173" s="50"/>
      <c r="G173" s="50"/>
    </row>
    <row r="174" spans="1:7" ht="14.25" customHeight="1" x14ac:dyDescent="0.35">
      <c r="A174" s="48"/>
      <c r="B174" s="49"/>
      <c r="F174" s="50"/>
      <c r="G174" s="50"/>
    </row>
    <row r="175" spans="1:7" ht="14.25" customHeight="1" x14ac:dyDescent="0.35">
      <c r="A175" s="48"/>
      <c r="B175" s="49"/>
      <c r="F175" s="50"/>
      <c r="G175" s="50"/>
    </row>
    <row r="176" spans="1:7" ht="14.25" customHeight="1" x14ac:dyDescent="0.35">
      <c r="A176" s="48"/>
      <c r="B176" s="49"/>
      <c r="F176" s="50"/>
      <c r="G176" s="50"/>
    </row>
    <row r="177" spans="1:7" ht="14.25" customHeight="1" x14ac:dyDescent="0.35">
      <c r="A177" s="48"/>
      <c r="B177" s="49"/>
      <c r="F177" s="50"/>
      <c r="G177" s="50"/>
    </row>
    <row r="178" spans="1:7" ht="14.25" customHeight="1" x14ac:dyDescent="0.35">
      <c r="A178" s="48"/>
      <c r="B178" s="49"/>
      <c r="F178" s="50"/>
      <c r="G178" s="50"/>
    </row>
    <row r="179" spans="1:7" ht="14.25" customHeight="1" x14ac:dyDescent="0.35">
      <c r="A179" s="48"/>
      <c r="B179" s="49"/>
      <c r="F179" s="50"/>
      <c r="G179" s="50"/>
    </row>
    <row r="180" spans="1:7" ht="14.25" customHeight="1" x14ac:dyDescent="0.35">
      <c r="A180" s="48"/>
      <c r="B180" s="49"/>
      <c r="F180" s="50"/>
      <c r="G180" s="50"/>
    </row>
    <row r="181" spans="1:7" ht="14.25" customHeight="1" x14ac:dyDescent="0.35">
      <c r="A181" s="48"/>
      <c r="B181" s="49"/>
      <c r="F181" s="50"/>
      <c r="G181" s="50"/>
    </row>
    <row r="182" spans="1:7" ht="14.25" customHeight="1" x14ac:dyDescent="0.35">
      <c r="A182" s="48"/>
      <c r="B182" s="49"/>
      <c r="F182" s="50"/>
      <c r="G182" s="50"/>
    </row>
    <row r="183" spans="1:7" ht="14.25" customHeight="1" x14ac:dyDescent="0.35">
      <c r="A183" s="48"/>
      <c r="B183" s="49"/>
      <c r="F183" s="50"/>
      <c r="G183" s="50"/>
    </row>
    <row r="184" spans="1:7" ht="14.25" customHeight="1" x14ac:dyDescent="0.35">
      <c r="A184" s="48"/>
      <c r="B184" s="49"/>
      <c r="F184" s="50"/>
      <c r="G184" s="50"/>
    </row>
    <row r="185" spans="1:7" ht="14.25" customHeight="1" x14ac:dyDescent="0.35">
      <c r="A185" s="48"/>
      <c r="B185" s="49"/>
      <c r="F185" s="50"/>
      <c r="G185" s="50"/>
    </row>
    <row r="186" spans="1:7" ht="14.25" customHeight="1" x14ac:dyDescent="0.35">
      <c r="A186" s="48"/>
      <c r="B186" s="49"/>
      <c r="F186" s="50"/>
      <c r="G186" s="50"/>
    </row>
    <row r="187" spans="1:7" ht="14.25" customHeight="1" x14ac:dyDescent="0.35">
      <c r="A187" s="48"/>
      <c r="B187" s="49"/>
      <c r="F187" s="50"/>
      <c r="G187" s="50"/>
    </row>
    <row r="188" spans="1:7" ht="14.25" customHeight="1" x14ac:dyDescent="0.35">
      <c r="A188" s="48"/>
      <c r="B188" s="49"/>
      <c r="F188" s="50"/>
      <c r="G188" s="50"/>
    </row>
    <row r="189" spans="1:7" ht="14.25" customHeight="1" x14ac:dyDescent="0.35">
      <c r="A189" s="48"/>
      <c r="B189" s="49"/>
      <c r="F189" s="50"/>
      <c r="G189" s="50"/>
    </row>
    <row r="190" spans="1:7" ht="14.25" customHeight="1" x14ac:dyDescent="0.35">
      <c r="A190" s="48"/>
      <c r="B190" s="49"/>
      <c r="F190" s="50"/>
      <c r="G190" s="50"/>
    </row>
    <row r="191" spans="1:7" ht="14.25" customHeight="1" x14ac:dyDescent="0.35">
      <c r="A191" s="48"/>
      <c r="B191" s="49"/>
      <c r="F191" s="50"/>
      <c r="G191" s="50"/>
    </row>
    <row r="192" spans="1:7" ht="14.25" customHeight="1" x14ac:dyDescent="0.35">
      <c r="A192" s="48"/>
      <c r="B192" s="49"/>
      <c r="F192" s="50"/>
      <c r="G192" s="50"/>
    </row>
    <row r="193" spans="1:7" ht="14.25" customHeight="1" x14ac:dyDescent="0.35">
      <c r="A193" s="48"/>
      <c r="B193" s="49"/>
      <c r="F193" s="50"/>
      <c r="G193" s="50"/>
    </row>
    <row r="194" spans="1:7" ht="14.25" customHeight="1" x14ac:dyDescent="0.35">
      <c r="A194" s="48"/>
      <c r="B194" s="49"/>
      <c r="F194" s="50"/>
      <c r="G194" s="50"/>
    </row>
    <row r="195" spans="1:7" ht="14.25" customHeight="1" x14ac:dyDescent="0.35">
      <c r="A195" s="48"/>
      <c r="B195" s="49"/>
      <c r="F195" s="50"/>
      <c r="G195" s="50"/>
    </row>
    <row r="196" spans="1:7" ht="14.25" customHeight="1" x14ac:dyDescent="0.35">
      <c r="A196" s="48"/>
      <c r="B196" s="49"/>
      <c r="F196" s="50"/>
      <c r="G196" s="50"/>
    </row>
    <row r="197" spans="1:7" ht="14.25" customHeight="1" x14ac:dyDescent="0.35">
      <c r="A197" s="48"/>
      <c r="B197" s="49"/>
      <c r="F197" s="50"/>
      <c r="G197" s="50"/>
    </row>
    <row r="198" spans="1:7" ht="14.25" customHeight="1" x14ac:dyDescent="0.35">
      <c r="A198" s="48"/>
      <c r="B198" s="49"/>
      <c r="F198" s="50"/>
      <c r="G198" s="50"/>
    </row>
    <row r="199" spans="1:7" ht="14.25" customHeight="1" x14ac:dyDescent="0.35">
      <c r="A199" s="48"/>
      <c r="B199" s="49"/>
      <c r="F199" s="50"/>
      <c r="G199" s="50"/>
    </row>
    <row r="200" spans="1:7" ht="14.25" customHeight="1" x14ac:dyDescent="0.35">
      <c r="A200" s="48"/>
      <c r="B200" s="49"/>
      <c r="F200" s="50"/>
      <c r="G200" s="50"/>
    </row>
    <row r="201" spans="1:7" ht="14.25" customHeight="1" x14ac:dyDescent="0.35">
      <c r="A201" s="48"/>
      <c r="B201" s="49"/>
      <c r="F201" s="50"/>
      <c r="G201" s="50"/>
    </row>
    <row r="202" spans="1:7" ht="14.25" customHeight="1" x14ac:dyDescent="0.35">
      <c r="A202" s="48"/>
      <c r="B202" s="49"/>
      <c r="F202" s="50"/>
      <c r="G202" s="50"/>
    </row>
    <row r="203" spans="1:7" ht="14.25" customHeight="1" x14ac:dyDescent="0.35">
      <c r="A203" s="48"/>
      <c r="B203" s="49"/>
      <c r="F203" s="50"/>
      <c r="G203" s="50"/>
    </row>
    <row r="204" spans="1:7" ht="14.25" customHeight="1" x14ac:dyDescent="0.35">
      <c r="A204" s="48"/>
      <c r="B204" s="49"/>
      <c r="F204" s="50"/>
      <c r="G204" s="50"/>
    </row>
    <row r="205" spans="1:7" ht="14.25" customHeight="1" x14ac:dyDescent="0.35">
      <c r="A205" s="48"/>
      <c r="B205" s="49"/>
      <c r="F205" s="50"/>
      <c r="G205" s="50"/>
    </row>
    <row r="206" spans="1:7" ht="14.25" customHeight="1" x14ac:dyDescent="0.35">
      <c r="A206" s="48"/>
      <c r="B206" s="49"/>
      <c r="F206" s="50"/>
      <c r="G206" s="50"/>
    </row>
    <row r="207" spans="1:7" ht="14.25" customHeight="1" x14ac:dyDescent="0.35">
      <c r="A207" s="48"/>
      <c r="B207" s="49"/>
      <c r="F207" s="50"/>
      <c r="G207" s="50"/>
    </row>
    <row r="208" spans="1:7" ht="14.25" customHeight="1" x14ac:dyDescent="0.35">
      <c r="A208" s="48"/>
      <c r="B208" s="49"/>
      <c r="F208" s="50"/>
      <c r="G208" s="50"/>
    </row>
    <row r="209" spans="1:7" ht="14.25" customHeight="1" x14ac:dyDescent="0.35">
      <c r="A209" s="48"/>
      <c r="B209" s="49"/>
      <c r="F209" s="50"/>
      <c r="G209" s="50"/>
    </row>
    <row r="210" spans="1:7" ht="14.25" customHeight="1" x14ac:dyDescent="0.35">
      <c r="A210" s="48"/>
      <c r="B210" s="49"/>
      <c r="F210" s="50"/>
      <c r="G210" s="50"/>
    </row>
    <row r="211" spans="1:7" ht="14.25" customHeight="1" x14ac:dyDescent="0.35">
      <c r="A211" s="48"/>
      <c r="B211" s="49"/>
      <c r="F211" s="50"/>
      <c r="G211" s="50"/>
    </row>
    <row r="212" spans="1:7" ht="14.25" customHeight="1" x14ac:dyDescent="0.35">
      <c r="A212" s="48"/>
      <c r="B212" s="49"/>
      <c r="F212" s="50"/>
      <c r="G212" s="50"/>
    </row>
    <row r="213" spans="1:7" ht="14.25" customHeight="1" x14ac:dyDescent="0.35">
      <c r="A213" s="48"/>
      <c r="B213" s="49"/>
      <c r="F213" s="50"/>
      <c r="G213" s="50"/>
    </row>
    <row r="214" spans="1:7" ht="14.25" customHeight="1" x14ac:dyDescent="0.35">
      <c r="A214" s="48"/>
      <c r="B214" s="49"/>
      <c r="F214" s="50"/>
      <c r="G214" s="50"/>
    </row>
    <row r="215" spans="1:7" ht="14.25" customHeight="1" x14ac:dyDescent="0.35">
      <c r="A215" s="48"/>
      <c r="B215" s="49"/>
      <c r="F215" s="50"/>
      <c r="G215" s="50"/>
    </row>
    <row r="216" spans="1:7" ht="14.25" customHeight="1" x14ac:dyDescent="0.35">
      <c r="A216" s="48"/>
      <c r="B216" s="49"/>
      <c r="F216" s="50"/>
      <c r="G216" s="50"/>
    </row>
    <row r="217" spans="1:7" ht="14.25" customHeight="1" x14ac:dyDescent="0.35">
      <c r="A217" s="48"/>
      <c r="B217" s="49"/>
      <c r="F217" s="50"/>
      <c r="G217" s="50"/>
    </row>
    <row r="218" spans="1:7" ht="14.25" customHeight="1" x14ac:dyDescent="0.35">
      <c r="A218" s="48"/>
      <c r="B218" s="49"/>
      <c r="F218" s="50"/>
      <c r="G218" s="50"/>
    </row>
    <row r="219" spans="1:7" ht="14.25" customHeight="1" x14ac:dyDescent="0.35">
      <c r="A219" s="48"/>
      <c r="B219" s="49"/>
      <c r="F219" s="50"/>
      <c r="G219" s="50"/>
    </row>
    <row r="220" spans="1:7" ht="14.25" customHeight="1" x14ac:dyDescent="0.35">
      <c r="A220" s="48"/>
      <c r="B220" s="49"/>
      <c r="F220" s="50"/>
      <c r="G220" s="50"/>
    </row>
    <row r="221" spans="1:7" ht="14.25" customHeight="1" x14ac:dyDescent="0.35">
      <c r="A221" s="48"/>
      <c r="B221" s="49"/>
      <c r="F221" s="50"/>
      <c r="G221" s="50"/>
    </row>
    <row r="222" spans="1:7" ht="14.25" customHeight="1" x14ac:dyDescent="0.35">
      <c r="A222" s="48"/>
      <c r="B222" s="49"/>
      <c r="F222" s="50"/>
      <c r="G222" s="50"/>
    </row>
    <row r="223" spans="1:7" ht="14.25" customHeight="1" x14ac:dyDescent="0.35">
      <c r="A223" s="48"/>
      <c r="B223" s="49"/>
      <c r="F223" s="50"/>
      <c r="G223" s="50"/>
    </row>
    <row r="224" spans="1:7" ht="14.25" customHeight="1" x14ac:dyDescent="0.35">
      <c r="A224" s="48"/>
      <c r="B224" s="49"/>
      <c r="F224" s="50"/>
      <c r="G224" s="50"/>
    </row>
    <row r="225" spans="1:7" ht="14.25" customHeight="1" x14ac:dyDescent="0.35">
      <c r="A225" s="48"/>
      <c r="B225" s="49"/>
      <c r="F225" s="50"/>
      <c r="G225" s="50"/>
    </row>
    <row r="226" spans="1:7" ht="14.25" customHeight="1" x14ac:dyDescent="0.35">
      <c r="A226" s="48"/>
      <c r="B226" s="49"/>
      <c r="F226" s="50"/>
      <c r="G226" s="50"/>
    </row>
    <row r="227" spans="1:7" ht="14.25" customHeight="1" x14ac:dyDescent="0.35">
      <c r="A227" s="48"/>
      <c r="B227" s="49"/>
      <c r="F227" s="50"/>
      <c r="G227" s="50"/>
    </row>
    <row r="228" spans="1:7" ht="14.25" customHeight="1" x14ac:dyDescent="0.35">
      <c r="A228" s="48"/>
      <c r="B228" s="49"/>
      <c r="F228" s="50"/>
      <c r="G228" s="50"/>
    </row>
    <row r="229" spans="1:7" ht="14.25" customHeight="1" x14ac:dyDescent="0.35">
      <c r="A229" s="48"/>
      <c r="B229" s="49"/>
      <c r="F229" s="50"/>
      <c r="G229" s="50"/>
    </row>
    <row r="230" spans="1:7" ht="14.25" customHeight="1" x14ac:dyDescent="0.35">
      <c r="A230" s="48"/>
      <c r="B230" s="49"/>
      <c r="F230" s="50"/>
      <c r="G230" s="50"/>
    </row>
    <row r="231" spans="1:7" ht="14.25" customHeight="1" x14ac:dyDescent="0.35">
      <c r="A231" s="48"/>
      <c r="B231" s="49"/>
      <c r="F231" s="50"/>
      <c r="G231" s="50"/>
    </row>
    <row r="232" spans="1:7" ht="14.25" customHeight="1" x14ac:dyDescent="0.35">
      <c r="A232" s="48"/>
      <c r="B232" s="49"/>
      <c r="F232" s="50"/>
      <c r="G232" s="50"/>
    </row>
    <row r="233" spans="1:7" ht="14.25" customHeight="1" x14ac:dyDescent="0.35">
      <c r="A233" s="48"/>
      <c r="B233" s="49"/>
      <c r="F233" s="50"/>
      <c r="G233" s="50"/>
    </row>
    <row r="234" spans="1:7" ht="14.25" customHeight="1" x14ac:dyDescent="0.35">
      <c r="A234" s="48"/>
      <c r="B234" s="49"/>
      <c r="F234" s="50"/>
      <c r="G234" s="50"/>
    </row>
    <row r="235" spans="1:7" ht="14.25" customHeight="1" x14ac:dyDescent="0.35">
      <c r="A235" s="48"/>
      <c r="B235" s="49"/>
      <c r="F235" s="50"/>
      <c r="G235" s="50"/>
    </row>
    <row r="236" spans="1:7" ht="14.25" customHeight="1" x14ac:dyDescent="0.35">
      <c r="A236" s="48"/>
      <c r="B236" s="49"/>
      <c r="F236" s="50"/>
      <c r="G236" s="50"/>
    </row>
    <row r="237" spans="1:7" ht="14.25" customHeight="1" x14ac:dyDescent="0.35">
      <c r="A237" s="48"/>
      <c r="B237" s="49"/>
      <c r="F237" s="50"/>
      <c r="G237" s="50"/>
    </row>
    <row r="238" spans="1:7" ht="14.25" customHeight="1" x14ac:dyDescent="0.35">
      <c r="A238" s="48"/>
      <c r="B238" s="49"/>
      <c r="F238" s="50"/>
      <c r="G238" s="50"/>
    </row>
    <row r="239" spans="1:7" ht="14.25" customHeight="1" x14ac:dyDescent="0.35">
      <c r="A239" s="48"/>
      <c r="B239" s="49"/>
      <c r="F239" s="50"/>
      <c r="G239" s="50"/>
    </row>
    <row r="240" spans="1:7" ht="14.25" customHeight="1" x14ac:dyDescent="0.35">
      <c r="A240" s="48"/>
      <c r="B240" s="49"/>
      <c r="F240" s="50"/>
      <c r="G240" s="50"/>
    </row>
    <row r="241" spans="1:7" ht="14.25" customHeight="1" x14ac:dyDescent="0.35">
      <c r="A241" s="48"/>
      <c r="B241" s="49"/>
      <c r="F241" s="50"/>
      <c r="G241" s="50"/>
    </row>
    <row r="242" spans="1:7" ht="14.25" customHeight="1" x14ac:dyDescent="0.35">
      <c r="A242" s="48"/>
      <c r="B242" s="49"/>
      <c r="F242" s="50"/>
      <c r="G242" s="50"/>
    </row>
    <row r="243" spans="1:7" ht="14.25" customHeight="1" x14ac:dyDescent="0.35">
      <c r="A243" s="48"/>
      <c r="B243" s="49"/>
      <c r="F243" s="50"/>
      <c r="G243" s="50"/>
    </row>
    <row r="244" spans="1:7" ht="14.25" customHeight="1" x14ac:dyDescent="0.35">
      <c r="A244" s="48"/>
      <c r="B244" s="49"/>
      <c r="F244" s="50"/>
      <c r="G244" s="50"/>
    </row>
    <row r="245" spans="1:7" ht="14.25" customHeight="1" x14ac:dyDescent="0.35">
      <c r="A245" s="48"/>
      <c r="B245" s="49"/>
      <c r="F245" s="50"/>
      <c r="G245" s="50"/>
    </row>
    <row r="246" spans="1:7" ht="14.25" customHeight="1" x14ac:dyDescent="0.35">
      <c r="A246" s="48"/>
      <c r="B246" s="49"/>
      <c r="F246" s="50"/>
      <c r="G246" s="50"/>
    </row>
    <row r="247" spans="1:7" ht="14.25" customHeight="1" x14ac:dyDescent="0.35">
      <c r="A247" s="48"/>
      <c r="B247" s="49"/>
      <c r="F247" s="50"/>
      <c r="G247" s="50"/>
    </row>
    <row r="248" spans="1:7" ht="14.25" customHeight="1" x14ac:dyDescent="0.35">
      <c r="A248" s="48"/>
      <c r="B248" s="49"/>
      <c r="F248" s="50"/>
      <c r="G248" s="50"/>
    </row>
    <row r="249" spans="1:7" ht="14.25" customHeight="1" x14ac:dyDescent="0.35">
      <c r="A249" s="48"/>
      <c r="B249" s="49"/>
      <c r="F249" s="50"/>
      <c r="G249" s="50"/>
    </row>
    <row r="250" spans="1:7" ht="14.25" customHeight="1" x14ac:dyDescent="0.35">
      <c r="A250" s="48"/>
      <c r="B250" s="49"/>
      <c r="F250" s="50"/>
      <c r="G250" s="50"/>
    </row>
    <row r="251" spans="1:7" ht="14.25" customHeight="1" x14ac:dyDescent="0.35">
      <c r="A251" s="48"/>
      <c r="B251" s="49"/>
      <c r="F251" s="50"/>
      <c r="G251" s="50"/>
    </row>
    <row r="252" spans="1:7" ht="14.25" customHeight="1" x14ac:dyDescent="0.35">
      <c r="A252" s="48"/>
      <c r="B252" s="49"/>
      <c r="F252" s="50"/>
      <c r="G252" s="50"/>
    </row>
    <row r="253" spans="1:7" ht="14.25" customHeight="1" x14ac:dyDescent="0.35">
      <c r="A253" s="48"/>
      <c r="B253" s="49"/>
      <c r="F253" s="50"/>
      <c r="G253" s="50"/>
    </row>
    <row r="254" spans="1:7" ht="14.25" customHeight="1" x14ac:dyDescent="0.35">
      <c r="A254" s="48"/>
      <c r="B254" s="49"/>
      <c r="F254" s="50"/>
      <c r="G254" s="50"/>
    </row>
    <row r="255" spans="1:7" ht="14.25" customHeight="1" x14ac:dyDescent="0.35">
      <c r="A255" s="48"/>
      <c r="B255" s="49"/>
      <c r="F255" s="50"/>
      <c r="G255" s="50"/>
    </row>
    <row r="256" spans="1:7" ht="14.25" customHeight="1" x14ac:dyDescent="0.35">
      <c r="A256" s="48"/>
      <c r="B256" s="49"/>
      <c r="F256" s="50"/>
      <c r="G256" s="50"/>
    </row>
    <row r="257" spans="1:7" ht="14.25" customHeight="1" x14ac:dyDescent="0.35">
      <c r="A257" s="48"/>
      <c r="B257" s="49"/>
      <c r="F257" s="50"/>
      <c r="G257" s="50"/>
    </row>
    <row r="258" spans="1:7" ht="14.25" customHeight="1" x14ac:dyDescent="0.35">
      <c r="A258" s="48"/>
      <c r="B258" s="49"/>
      <c r="F258" s="50"/>
      <c r="G258" s="50"/>
    </row>
    <row r="259" spans="1:7" ht="14.25" customHeight="1" x14ac:dyDescent="0.35">
      <c r="A259" s="48"/>
      <c r="B259" s="49"/>
      <c r="F259" s="50"/>
      <c r="G259" s="50"/>
    </row>
    <row r="260" spans="1:7" ht="14.25" customHeight="1" x14ac:dyDescent="0.35">
      <c r="A260" s="48"/>
      <c r="B260" s="49"/>
      <c r="F260" s="50"/>
      <c r="G260" s="50"/>
    </row>
    <row r="261" spans="1:7" ht="14.25" customHeight="1" x14ac:dyDescent="0.35">
      <c r="A261" s="48"/>
      <c r="B261" s="49"/>
      <c r="F261" s="50"/>
      <c r="G261" s="50"/>
    </row>
    <row r="262" spans="1:7" ht="14.25" customHeight="1" x14ac:dyDescent="0.35">
      <c r="A262" s="48"/>
      <c r="B262" s="49"/>
      <c r="F262" s="50"/>
      <c r="G262" s="50"/>
    </row>
    <row r="263" spans="1:7" ht="14.25" customHeight="1" x14ac:dyDescent="0.35">
      <c r="A263" s="48"/>
      <c r="B263" s="49"/>
      <c r="F263" s="50"/>
      <c r="G263" s="50"/>
    </row>
    <row r="264" spans="1:7" ht="14.25" customHeight="1" x14ac:dyDescent="0.35">
      <c r="A264" s="48"/>
      <c r="B264" s="49"/>
      <c r="F264" s="50"/>
      <c r="G264" s="50"/>
    </row>
    <row r="265" spans="1:7" ht="14.25" customHeight="1" x14ac:dyDescent="0.35">
      <c r="A265" s="48"/>
      <c r="B265" s="49"/>
      <c r="F265" s="50"/>
      <c r="G265" s="50"/>
    </row>
    <row r="266" spans="1:7" ht="14.25" customHeight="1" x14ac:dyDescent="0.35">
      <c r="A266" s="48"/>
      <c r="B266" s="49"/>
      <c r="F266" s="50"/>
      <c r="G266" s="50"/>
    </row>
    <row r="267" spans="1:7" ht="14.25" customHeight="1" x14ac:dyDescent="0.35">
      <c r="A267" s="48"/>
      <c r="B267" s="49"/>
      <c r="F267" s="50"/>
      <c r="G267" s="50"/>
    </row>
    <row r="268" spans="1:7" ht="14.25" customHeight="1" x14ac:dyDescent="0.35">
      <c r="A268" s="48"/>
      <c r="B268" s="49"/>
      <c r="F268" s="50"/>
      <c r="G268" s="50"/>
    </row>
    <row r="269" spans="1:7" ht="14.25" customHeight="1" x14ac:dyDescent="0.35">
      <c r="A269" s="48"/>
      <c r="B269" s="49"/>
      <c r="F269" s="50"/>
      <c r="G269" s="50"/>
    </row>
    <row r="270" spans="1:7" ht="14.25" customHeight="1" x14ac:dyDescent="0.35">
      <c r="A270" s="48"/>
      <c r="B270" s="49"/>
      <c r="F270" s="50"/>
      <c r="G270" s="50"/>
    </row>
    <row r="271" spans="1:7" ht="14.25" customHeight="1" x14ac:dyDescent="0.35">
      <c r="A271" s="48"/>
      <c r="B271" s="49"/>
      <c r="F271" s="50"/>
      <c r="G271" s="50"/>
    </row>
    <row r="272" spans="1:7" ht="14.25" customHeight="1" x14ac:dyDescent="0.35">
      <c r="A272" s="48"/>
      <c r="B272" s="49"/>
      <c r="F272" s="50"/>
      <c r="G272" s="50"/>
    </row>
    <row r="273" spans="1:7" ht="14.25" customHeight="1" x14ac:dyDescent="0.35">
      <c r="A273" s="48"/>
      <c r="B273" s="49"/>
      <c r="F273" s="50"/>
      <c r="G273" s="50"/>
    </row>
    <row r="274" spans="1:7" ht="14.25" customHeight="1" x14ac:dyDescent="0.35">
      <c r="A274" s="48"/>
      <c r="B274" s="49"/>
      <c r="F274" s="50"/>
      <c r="G274" s="50"/>
    </row>
    <row r="275" spans="1:7" ht="14.25" customHeight="1" x14ac:dyDescent="0.35">
      <c r="A275" s="48"/>
      <c r="B275" s="49"/>
      <c r="F275" s="50"/>
      <c r="G275" s="50"/>
    </row>
    <row r="276" spans="1:7" ht="14.25" customHeight="1" x14ac:dyDescent="0.35">
      <c r="A276" s="48"/>
      <c r="B276" s="49"/>
      <c r="F276" s="50"/>
      <c r="G276" s="50"/>
    </row>
    <row r="277" spans="1:7" ht="14.25" customHeight="1" x14ac:dyDescent="0.35">
      <c r="A277" s="48"/>
      <c r="B277" s="49"/>
      <c r="F277" s="50"/>
      <c r="G277" s="50"/>
    </row>
    <row r="278" spans="1:7" ht="14.25" customHeight="1" x14ac:dyDescent="0.35">
      <c r="A278" s="48"/>
      <c r="B278" s="49"/>
      <c r="F278" s="50"/>
      <c r="G278" s="50"/>
    </row>
    <row r="279" spans="1:7" ht="14.25" customHeight="1" x14ac:dyDescent="0.35">
      <c r="A279" s="48"/>
      <c r="B279" s="49"/>
      <c r="F279" s="50"/>
      <c r="G279" s="50"/>
    </row>
    <row r="280" spans="1:7" ht="14.25" customHeight="1" x14ac:dyDescent="0.35">
      <c r="A280" s="48"/>
      <c r="B280" s="49"/>
      <c r="F280" s="50"/>
      <c r="G280" s="50"/>
    </row>
    <row r="281" spans="1:7" ht="14.25" customHeight="1" x14ac:dyDescent="0.35">
      <c r="A281" s="48"/>
      <c r="B281" s="49"/>
      <c r="F281" s="50"/>
      <c r="G281" s="50"/>
    </row>
    <row r="282" spans="1:7" ht="14.25" customHeight="1" x14ac:dyDescent="0.35">
      <c r="A282" s="48"/>
      <c r="B282" s="49"/>
      <c r="F282" s="50"/>
      <c r="G282" s="50"/>
    </row>
    <row r="283" spans="1:7" ht="14.25" customHeight="1" x14ac:dyDescent="0.35">
      <c r="A283" s="48"/>
      <c r="B283" s="49"/>
      <c r="F283" s="50"/>
      <c r="G283" s="50"/>
    </row>
    <row r="284" spans="1:7" ht="14.25" customHeight="1" x14ac:dyDescent="0.35">
      <c r="A284" s="48"/>
      <c r="B284" s="49"/>
      <c r="F284" s="50"/>
      <c r="G284" s="50"/>
    </row>
    <row r="285" spans="1:7" ht="14.25" customHeight="1" x14ac:dyDescent="0.35">
      <c r="A285" s="48"/>
      <c r="B285" s="49"/>
      <c r="F285" s="50"/>
      <c r="G285" s="50"/>
    </row>
    <row r="286" spans="1:7" ht="14.25" customHeight="1" x14ac:dyDescent="0.35">
      <c r="A286" s="48"/>
      <c r="B286" s="49"/>
      <c r="F286" s="50"/>
      <c r="G286" s="50"/>
    </row>
    <row r="287" spans="1:7" ht="14.25" customHeight="1" x14ac:dyDescent="0.35">
      <c r="A287" s="48"/>
      <c r="B287" s="49"/>
      <c r="F287" s="50"/>
      <c r="G287" s="50"/>
    </row>
    <row r="288" spans="1:7" ht="14.25" customHeight="1" x14ac:dyDescent="0.35">
      <c r="A288" s="48"/>
      <c r="B288" s="49"/>
      <c r="F288" s="50"/>
      <c r="G288" s="50"/>
    </row>
    <row r="289" spans="1:7" ht="14.25" customHeight="1" x14ac:dyDescent="0.35">
      <c r="A289" s="48"/>
      <c r="B289" s="49"/>
      <c r="F289" s="50"/>
      <c r="G289" s="50"/>
    </row>
    <row r="290" spans="1:7" ht="14.25" customHeight="1" x14ac:dyDescent="0.35">
      <c r="A290" s="48"/>
      <c r="B290" s="49"/>
      <c r="F290" s="50"/>
      <c r="G290" s="50"/>
    </row>
    <row r="291" spans="1:7" ht="14.25" customHeight="1" x14ac:dyDescent="0.35">
      <c r="A291" s="48"/>
      <c r="B291" s="49"/>
      <c r="F291" s="50"/>
      <c r="G291" s="50"/>
    </row>
    <row r="292" spans="1:7" ht="14.25" customHeight="1" x14ac:dyDescent="0.35">
      <c r="A292" s="48"/>
      <c r="B292" s="49"/>
      <c r="F292" s="50"/>
      <c r="G292" s="50"/>
    </row>
    <row r="293" spans="1:7" ht="14.25" customHeight="1" x14ac:dyDescent="0.35">
      <c r="A293" s="48"/>
      <c r="B293" s="49"/>
      <c r="F293" s="50"/>
      <c r="G293" s="50"/>
    </row>
    <row r="294" spans="1:7" ht="14.25" customHeight="1" x14ac:dyDescent="0.35">
      <c r="A294" s="48"/>
      <c r="B294" s="49"/>
      <c r="F294" s="50"/>
      <c r="G294" s="50"/>
    </row>
    <row r="295" spans="1:7" ht="14.25" customHeight="1" x14ac:dyDescent="0.35">
      <c r="A295" s="48"/>
      <c r="B295" s="49"/>
      <c r="F295" s="50"/>
      <c r="G295" s="50"/>
    </row>
    <row r="296" spans="1:7" ht="14.25" customHeight="1" x14ac:dyDescent="0.35">
      <c r="A296" s="48"/>
      <c r="B296" s="49"/>
      <c r="F296" s="50"/>
      <c r="G296" s="50"/>
    </row>
    <row r="297" spans="1:7" ht="14.25" customHeight="1" x14ac:dyDescent="0.35">
      <c r="A297" s="48"/>
      <c r="B297" s="49"/>
      <c r="F297" s="50"/>
      <c r="G297" s="50"/>
    </row>
    <row r="298" spans="1:7" ht="14.25" customHeight="1" x14ac:dyDescent="0.35">
      <c r="A298" s="48"/>
      <c r="B298" s="49"/>
      <c r="F298" s="50"/>
      <c r="G298" s="50"/>
    </row>
    <row r="299" spans="1:7" ht="14.25" customHeight="1" x14ac:dyDescent="0.35">
      <c r="A299" s="48"/>
      <c r="B299" s="49"/>
      <c r="F299" s="50"/>
      <c r="G299" s="50"/>
    </row>
    <row r="300" spans="1:7" ht="14.25" customHeight="1" x14ac:dyDescent="0.35">
      <c r="A300" s="48"/>
      <c r="B300" s="49"/>
      <c r="F300" s="50"/>
      <c r="G300" s="50"/>
    </row>
    <row r="301" spans="1:7" ht="14.25" customHeight="1" x14ac:dyDescent="0.35">
      <c r="A301" s="48"/>
      <c r="B301" s="49"/>
      <c r="F301" s="50"/>
      <c r="G301" s="50"/>
    </row>
    <row r="302" spans="1:7" ht="14.25" customHeight="1" x14ac:dyDescent="0.35">
      <c r="A302" s="48"/>
      <c r="B302" s="49"/>
      <c r="F302" s="50"/>
      <c r="G302" s="50"/>
    </row>
    <row r="303" spans="1:7" ht="14.25" customHeight="1" x14ac:dyDescent="0.35">
      <c r="A303" s="48"/>
      <c r="B303" s="49"/>
      <c r="F303" s="50"/>
      <c r="G303" s="50"/>
    </row>
    <row r="304" spans="1:7" ht="14.25" customHeight="1" x14ac:dyDescent="0.35">
      <c r="A304" s="48"/>
      <c r="B304" s="49"/>
      <c r="F304" s="50"/>
      <c r="G304" s="50"/>
    </row>
    <row r="305" spans="1:7" ht="14.25" customHeight="1" x14ac:dyDescent="0.35">
      <c r="A305" s="48"/>
      <c r="B305" s="49"/>
      <c r="F305" s="50"/>
      <c r="G305" s="50"/>
    </row>
    <row r="306" spans="1:7" ht="14.25" customHeight="1" x14ac:dyDescent="0.35">
      <c r="A306" s="48"/>
      <c r="B306" s="49"/>
      <c r="F306" s="50"/>
      <c r="G306" s="50"/>
    </row>
    <row r="307" spans="1:7" ht="14.25" customHeight="1" x14ac:dyDescent="0.35">
      <c r="A307" s="48"/>
      <c r="B307" s="49"/>
      <c r="F307" s="50"/>
      <c r="G307" s="50"/>
    </row>
    <row r="308" spans="1:7" ht="14.25" customHeight="1" x14ac:dyDescent="0.35">
      <c r="A308" s="48"/>
      <c r="B308" s="49"/>
      <c r="F308" s="50"/>
      <c r="G308" s="50"/>
    </row>
    <row r="309" spans="1:7" ht="14.25" customHeight="1" x14ac:dyDescent="0.35">
      <c r="A309" s="48"/>
      <c r="B309" s="49"/>
      <c r="F309" s="50"/>
      <c r="G309" s="50"/>
    </row>
    <row r="310" spans="1:7" ht="14.25" customHeight="1" x14ac:dyDescent="0.35">
      <c r="A310" s="48"/>
      <c r="B310" s="49"/>
      <c r="F310" s="50"/>
      <c r="G310" s="50"/>
    </row>
    <row r="311" spans="1:7" ht="14.25" customHeight="1" x14ac:dyDescent="0.35">
      <c r="A311" s="48"/>
      <c r="B311" s="49"/>
      <c r="F311" s="50"/>
      <c r="G311" s="50"/>
    </row>
    <row r="312" spans="1:7" ht="14.25" customHeight="1" x14ac:dyDescent="0.35">
      <c r="A312" s="48"/>
      <c r="B312" s="49"/>
      <c r="F312" s="50"/>
      <c r="G312" s="50"/>
    </row>
    <row r="313" spans="1:7" ht="14.25" customHeight="1" x14ac:dyDescent="0.35">
      <c r="A313" s="48"/>
      <c r="B313" s="49"/>
      <c r="F313" s="50"/>
      <c r="G313" s="50"/>
    </row>
    <row r="314" spans="1:7" ht="14.25" customHeight="1" x14ac:dyDescent="0.35">
      <c r="A314" s="48"/>
      <c r="B314" s="49"/>
      <c r="F314" s="50"/>
      <c r="G314" s="50"/>
    </row>
    <row r="315" spans="1:7" ht="14.25" customHeight="1" x14ac:dyDescent="0.35">
      <c r="A315" s="48"/>
      <c r="B315" s="49"/>
      <c r="F315" s="50"/>
      <c r="G315" s="50"/>
    </row>
    <row r="316" spans="1:7" ht="14.25" customHeight="1" x14ac:dyDescent="0.35">
      <c r="A316" s="48"/>
      <c r="B316" s="49"/>
      <c r="F316" s="50"/>
      <c r="G316" s="50"/>
    </row>
    <row r="317" spans="1:7" ht="14.25" customHeight="1" x14ac:dyDescent="0.35">
      <c r="A317" s="48"/>
      <c r="B317" s="49"/>
      <c r="F317" s="50"/>
      <c r="G317" s="50"/>
    </row>
    <row r="318" spans="1:7" ht="14.25" customHeight="1" x14ac:dyDescent="0.35">
      <c r="A318" s="48"/>
      <c r="B318" s="49"/>
      <c r="F318" s="50"/>
      <c r="G318" s="50"/>
    </row>
    <row r="319" spans="1:7" ht="14.25" customHeight="1" x14ac:dyDescent="0.35">
      <c r="A319" s="48"/>
      <c r="B319" s="49"/>
      <c r="F319" s="50"/>
      <c r="G319" s="50"/>
    </row>
    <row r="320" spans="1:7" ht="14.25" customHeight="1" x14ac:dyDescent="0.35">
      <c r="A320" s="48"/>
      <c r="B320" s="49"/>
      <c r="F320" s="50"/>
      <c r="G320" s="50"/>
    </row>
    <row r="321" spans="1:7" ht="14.25" customHeight="1" x14ac:dyDescent="0.35">
      <c r="A321" s="48"/>
      <c r="B321" s="49"/>
      <c r="F321" s="50"/>
      <c r="G321" s="50"/>
    </row>
    <row r="322" spans="1:7" ht="14.25" customHeight="1" x14ac:dyDescent="0.35">
      <c r="A322" s="48"/>
      <c r="B322" s="49"/>
      <c r="F322" s="50"/>
      <c r="G322" s="50"/>
    </row>
    <row r="323" spans="1:7" ht="14.25" customHeight="1" x14ac:dyDescent="0.35">
      <c r="A323" s="48"/>
      <c r="B323" s="49"/>
      <c r="F323" s="50"/>
      <c r="G323" s="50"/>
    </row>
    <row r="324" spans="1:7" ht="14.25" customHeight="1" x14ac:dyDescent="0.35">
      <c r="A324" s="48"/>
      <c r="B324" s="49"/>
      <c r="F324" s="50"/>
      <c r="G324" s="50"/>
    </row>
    <row r="325" spans="1:7" ht="14.25" customHeight="1" x14ac:dyDescent="0.35">
      <c r="A325" s="48"/>
      <c r="B325" s="49"/>
      <c r="F325" s="50"/>
      <c r="G325" s="50"/>
    </row>
    <row r="326" spans="1:7" ht="14.25" customHeight="1" x14ac:dyDescent="0.35">
      <c r="A326" s="48"/>
      <c r="B326" s="49"/>
      <c r="F326" s="50"/>
      <c r="G326" s="50"/>
    </row>
    <row r="327" spans="1:7" ht="14.25" customHeight="1" x14ac:dyDescent="0.35">
      <c r="A327" s="48"/>
      <c r="B327" s="49"/>
      <c r="F327" s="50"/>
      <c r="G327" s="50"/>
    </row>
    <row r="328" spans="1:7" ht="14.25" customHeight="1" x14ac:dyDescent="0.35">
      <c r="A328" s="48"/>
      <c r="B328" s="49"/>
      <c r="F328" s="50"/>
      <c r="G328" s="50"/>
    </row>
    <row r="329" spans="1:7" ht="14.25" customHeight="1" x14ac:dyDescent="0.35">
      <c r="A329" s="48"/>
      <c r="B329" s="49"/>
      <c r="F329" s="50"/>
      <c r="G329" s="50"/>
    </row>
    <row r="330" spans="1:7" ht="14.25" customHeight="1" x14ac:dyDescent="0.35">
      <c r="A330" s="48"/>
      <c r="B330" s="49"/>
      <c r="F330" s="50"/>
      <c r="G330" s="50"/>
    </row>
    <row r="331" spans="1:7" ht="14.25" customHeight="1" x14ac:dyDescent="0.35">
      <c r="A331" s="48"/>
      <c r="B331" s="49"/>
      <c r="F331" s="50"/>
      <c r="G331" s="50"/>
    </row>
    <row r="332" spans="1:7" ht="14.25" customHeight="1" x14ac:dyDescent="0.35">
      <c r="A332" s="48"/>
      <c r="B332" s="49"/>
      <c r="F332" s="50"/>
      <c r="G332" s="50"/>
    </row>
    <row r="333" spans="1:7" ht="14.25" customHeight="1" x14ac:dyDescent="0.35">
      <c r="A333" s="48"/>
      <c r="B333" s="49"/>
      <c r="F333" s="50"/>
      <c r="G333" s="50"/>
    </row>
    <row r="334" spans="1:7" ht="14.25" customHeight="1" x14ac:dyDescent="0.35">
      <c r="A334" s="48"/>
      <c r="B334" s="49"/>
      <c r="F334" s="50"/>
      <c r="G334" s="50"/>
    </row>
    <row r="335" spans="1:7" ht="14.25" customHeight="1" x14ac:dyDescent="0.35">
      <c r="A335" s="48"/>
      <c r="B335" s="49"/>
      <c r="F335" s="50"/>
      <c r="G335" s="50"/>
    </row>
    <row r="336" spans="1:7" ht="14.25" customHeight="1" x14ac:dyDescent="0.35">
      <c r="A336" s="48"/>
      <c r="B336" s="49"/>
      <c r="F336" s="50"/>
      <c r="G336" s="50"/>
    </row>
    <row r="337" spans="1:7" ht="14.25" customHeight="1" x14ac:dyDescent="0.35">
      <c r="A337" s="48"/>
      <c r="B337" s="49"/>
      <c r="F337" s="50"/>
      <c r="G337" s="50"/>
    </row>
    <row r="338" spans="1:7" ht="14.25" customHeight="1" x14ac:dyDescent="0.35">
      <c r="A338" s="48"/>
      <c r="B338" s="49"/>
      <c r="F338" s="50"/>
      <c r="G338" s="50"/>
    </row>
    <row r="339" spans="1:7" ht="14.25" customHeight="1" x14ac:dyDescent="0.35">
      <c r="A339" s="48"/>
      <c r="B339" s="49"/>
      <c r="F339" s="50"/>
      <c r="G339" s="50"/>
    </row>
    <row r="340" spans="1:7" ht="14.25" customHeight="1" x14ac:dyDescent="0.35">
      <c r="A340" s="48"/>
      <c r="B340" s="49"/>
      <c r="F340" s="50"/>
      <c r="G340" s="50"/>
    </row>
    <row r="341" spans="1:7" ht="14.25" customHeight="1" x14ac:dyDescent="0.35">
      <c r="A341" s="48"/>
      <c r="B341" s="49"/>
      <c r="F341" s="50"/>
      <c r="G341" s="50"/>
    </row>
    <row r="342" spans="1:7" ht="14.25" customHeight="1" x14ac:dyDescent="0.35">
      <c r="A342" s="48"/>
      <c r="B342" s="49"/>
      <c r="F342" s="50"/>
      <c r="G342" s="50"/>
    </row>
    <row r="343" spans="1:7" ht="14.25" customHeight="1" x14ac:dyDescent="0.35">
      <c r="A343" s="48"/>
      <c r="B343" s="49"/>
      <c r="F343" s="50"/>
      <c r="G343" s="50"/>
    </row>
    <row r="344" spans="1:7" ht="14.25" customHeight="1" x14ac:dyDescent="0.35">
      <c r="A344" s="48"/>
      <c r="B344" s="49"/>
      <c r="F344" s="50"/>
      <c r="G344" s="50"/>
    </row>
    <row r="345" spans="1:7" ht="14.25" customHeight="1" x14ac:dyDescent="0.35">
      <c r="A345" s="48"/>
      <c r="B345" s="49"/>
      <c r="F345" s="50"/>
      <c r="G345" s="50"/>
    </row>
    <row r="346" spans="1:7" ht="14.25" customHeight="1" x14ac:dyDescent="0.35">
      <c r="A346" s="48"/>
      <c r="B346" s="49"/>
      <c r="F346" s="50"/>
      <c r="G346" s="50"/>
    </row>
    <row r="347" spans="1:7" ht="14.25" customHeight="1" x14ac:dyDescent="0.35">
      <c r="A347" s="48"/>
      <c r="B347" s="49"/>
      <c r="F347" s="50"/>
      <c r="G347" s="50"/>
    </row>
    <row r="348" spans="1:7" ht="14.25" customHeight="1" x14ac:dyDescent="0.35">
      <c r="A348" s="48"/>
      <c r="B348" s="49"/>
      <c r="F348" s="50"/>
      <c r="G348" s="50"/>
    </row>
    <row r="349" spans="1:7" ht="14.25" customHeight="1" x14ac:dyDescent="0.35">
      <c r="A349" s="48"/>
      <c r="B349" s="49"/>
      <c r="F349" s="50"/>
      <c r="G349" s="50"/>
    </row>
    <row r="350" spans="1:7" ht="14.25" customHeight="1" x14ac:dyDescent="0.35">
      <c r="A350" s="48"/>
      <c r="B350" s="49"/>
      <c r="F350" s="50"/>
      <c r="G350" s="50"/>
    </row>
    <row r="351" spans="1:7" ht="14.25" customHeight="1" x14ac:dyDescent="0.35">
      <c r="A351" s="48"/>
      <c r="B351" s="49"/>
      <c r="F351" s="50"/>
      <c r="G351" s="50"/>
    </row>
    <row r="352" spans="1:7" ht="14.25" customHeight="1" x14ac:dyDescent="0.35">
      <c r="A352" s="48"/>
      <c r="B352" s="49"/>
      <c r="F352" s="50"/>
      <c r="G352" s="50"/>
    </row>
    <row r="353" spans="1:7" ht="14.25" customHeight="1" x14ac:dyDescent="0.35">
      <c r="A353" s="48"/>
      <c r="B353" s="49"/>
      <c r="F353" s="50"/>
      <c r="G353" s="50"/>
    </row>
    <row r="354" spans="1:7" ht="14.25" customHeight="1" x14ac:dyDescent="0.35">
      <c r="A354" s="48"/>
      <c r="B354" s="49"/>
      <c r="F354" s="50"/>
      <c r="G354" s="50"/>
    </row>
    <row r="355" spans="1:7" ht="14.25" customHeight="1" x14ac:dyDescent="0.35">
      <c r="A355" s="48"/>
      <c r="B355" s="49"/>
      <c r="F355" s="50"/>
      <c r="G355" s="50"/>
    </row>
    <row r="356" spans="1:7" ht="14.25" customHeight="1" x14ac:dyDescent="0.35">
      <c r="A356" s="48"/>
      <c r="B356" s="49"/>
      <c r="F356" s="50"/>
      <c r="G356" s="50"/>
    </row>
    <row r="357" spans="1:7" ht="14.25" customHeight="1" x14ac:dyDescent="0.35">
      <c r="A357" s="48"/>
      <c r="B357" s="49"/>
      <c r="F357" s="50"/>
      <c r="G357" s="50"/>
    </row>
    <row r="358" spans="1:7" ht="14.25" customHeight="1" x14ac:dyDescent="0.35">
      <c r="A358" s="48"/>
      <c r="B358" s="49"/>
      <c r="F358" s="50"/>
      <c r="G358" s="50"/>
    </row>
    <row r="359" spans="1:7" ht="14.25" customHeight="1" x14ac:dyDescent="0.35">
      <c r="A359" s="48"/>
      <c r="B359" s="49"/>
      <c r="F359" s="50"/>
      <c r="G359" s="50"/>
    </row>
    <row r="360" spans="1:7" ht="14.25" customHeight="1" x14ac:dyDescent="0.35">
      <c r="A360" s="48"/>
      <c r="B360" s="49"/>
      <c r="F360" s="50"/>
      <c r="G360" s="50"/>
    </row>
    <row r="361" spans="1:7" ht="14.25" customHeight="1" x14ac:dyDescent="0.35">
      <c r="A361" s="48"/>
      <c r="B361" s="49"/>
      <c r="F361" s="50"/>
      <c r="G361" s="50"/>
    </row>
    <row r="362" spans="1:7" ht="14.25" customHeight="1" x14ac:dyDescent="0.35">
      <c r="A362" s="48"/>
      <c r="B362" s="49"/>
      <c r="F362" s="50"/>
      <c r="G362" s="50"/>
    </row>
    <row r="363" spans="1:7" ht="14.25" customHeight="1" x14ac:dyDescent="0.35">
      <c r="A363" s="48"/>
      <c r="B363" s="49"/>
      <c r="F363" s="50"/>
      <c r="G363" s="50"/>
    </row>
    <row r="364" spans="1:7" ht="14.25" customHeight="1" x14ac:dyDescent="0.35">
      <c r="A364" s="48"/>
      <c r="B364" s="49"/>
      <c r="F364" s="50"/>
      <c r="G364" s="50"/>
    </row>
    <row r="365" spans="1:7" ht="14.25" customHeight="1" x14ac:dyDescent="0.35">
      <c r="A365" s="48"/>
      <c r="B365" s="49"/>
      <c r="F365" s="50"/>
      <c r="G365" s="50"/>
    </row>
    <row r="366" spans="1:7" ht="14.25" customHeight="1" x14ac:dyDescent="0.35">
      <c r="A366" s="48"/>
      <c r="B366" s="49"/>
      <c r="F366" s="50"/>
      <c r="G366" s="50"/>
    </row>
    <row r="367" spans="1:7" ht="14.25" customHeight="1" x14ac:dyDescent="0.35">
      <c r="A367" s="48"/>
      <c r="B367" s="49"/>
      <c r="F367" s="50"/>
      <c r="G367" s="50"/>
    </row>
    <row r="368" spans="1:7" ht="14.25" customHeight="1" x14ac:dyDescent="0.35">
      <c r="A368" s="48"/>
      <c r="B368" s="49"/>
      <c r="F368" s="50"/>
      <c r="G368" s="50"/>
    </row>
    <row r="369" spans="1:7" ht="14.25" customHeight="1" x14ac:dyDescent="0.35">
      <c r="A369" s="48"/>
      <c r="B369" s="49"/>
      <c r="F369" s="50"/>
      <c r="G369" s="50"/>
    </row>
    <row r="370" spans="1:7" ht="14.25" customHeight="1" x14ac:dyDescent="0.35">
      <c r="A370" s="48"/>
      <c r="B370" s="49"/>
      <c r="F370" s="50"/>
      <c r="G370" s="50"/>
    </row>
    <row r="371" spans="1:7" ht="14.25" customHeight="1" x14ac:dyDescent="0.35">
      <c r="A371" s="48"/>
      <c r="B371" s="49"/>
      <c r="F371" s="50"/>
      <c r="G371" s="50"/>
    </row>
    <row r="372" spans="1:7" ht="14.25" customHeight="1" x14ac:dyDescent="0.35">
      <c r="A372" s="48"/>
      <c r="B372" s="49"/>
      <c r="F372" s="50"/>
      <c r="G372" s="50"/>
    </row>
    <row r="373" spans="1:7" ht="14.25" customHeight="1" x14ac:dyDescent="0.35">
      <c r="A373" s="48"/>
      <c r="B373" s="49"/>
      <c r="F373" s="50"/>
      <c r="G373" s="50"/>
    </row>
    <row r="374" spans="1:7" ht="14.25" customHeight="1" x14ac:dyDescent="0.35">
      <c r="A374" s="48"/>
      <c r="B374" s="49"/>
      <c r="F374" s="50"/>
      <c r="G374" s="50"/>
    </row>
    <row r="375" spans="1:7" ht="14.25" customHeight="1" x14ac:dyDescent="0.35">
      <c r="A375" s="48"/>
      <c r="B375" s="49"/>
      <c r="F375" s="50"/>
      <c r="G375" s="50"/>
    </row>
    <row r="376" spans="1:7" ht="14.25" customHeight="1" x14ac:dyDescent="0.35">
      <c r="A376" s="48"/>
      <c r="B376" s="49"/>
      <c r="F376" s="50"/>
      <c r="G376" s="50"/>
    </row>
    <row r="377" spans="1:7" ht="14.25" customHeight="1" x14ac:dyDescent="0.35">
      <c r="A377" s="48"/>
      <c r="B377" s="49"/>
      <c r="F377" s="50"/>
      <c r="G377" s="50"/>
    </row>
    <row r="378" spans="1:7" ht="14.25" customHeight="1" x14ac:dyDescent="0.35">
      <c r="A378" s="48"/>
      <c r="B378" s="49"/>
      <c r="F378" s="50"/>
      <c r="G378" s="50"/>
    </row>
    <row r="379" spans="1:7" ht="14.25" customHeight="1" x14ac:dyDescent="0.35">
      <c r="A379" s="48"/>
      <c r="B379" s="49"/>
      <c r="F379" s="50"/>
      <c r="G379" s="50"/>
    </row>
    <row r="380" spans="1:7" ht="14.25" customHeight="1" x14ac:dyDescent="0.35">
      <c r="A380" s="48"/>
      <c r="B380" s="49"/>
      <c r="F380" s="50"/>
      <c r="G380" s="50"/>
    </row>
    <row r="381" spans="1:7" ht="14.25" customHeight="1" x14ac:dyDescent="0.35">
      <c r="A381" s="48"/>
      <c r="B381" s="49"/>
      <c r="F381" s="50"/>
      <c r="G381" s="50"/>
    </row>
    <row r="382" spans="1:7" ht="14.25" customHeight="1" x14ac:dyDescent="0.35">
      <c r="A382" s="48"/>
      <c r="B382" s="49"/>
      <c r="F382" s="50"/>
      <c r="G382" s="50"/>
    </row>
    <row r="383" spans="1:7" ht="14.25" customHeight="1" x14ac:dyDescent="0.35">
      <c r="A383" s="48"/>
      <c r="B383" s="49"/>
      <c r="F383" s="50"/>
      <c r="G383" s="50"/>
    </row>
    <row r="384" spans="1:7" ht="14.25" customHeight="1" x14ac:dyDescent="0.35">
      <c r="A384" s="48"/>
      <c r="B384" s="49"/>
      <c r="F384" s="50"/>
      <c r="G384" s="50"/>
    </row>
    <row r="385" spans="1:7" ht="14.25" customHeight="1" x14ac:dyDescent="0.35">
      <c r="A385" s="48"/>
      <c r="B385" s="49"/>
      <c r="F385" s="50"/>
      <c r="G385" s="50"/>
    </row>
    <row r="386" spans="1:7" ht="14.25" customHeight="1" x14ac:dyDescent="0.35">
      <c r="A386" s="48"/>
      <c r="B386" s="49"/>
      <c r="F386" s="50"/>
      <c r="G386" s="50"/>
    </row>
    <row r="387" spans="1:7" ht="14.25" customHeight="1" x14ac:dyDescent="0.35">
      <c r="A387" s="48"/>
      <c r="B387" s="49"/>
      <c r="F387" s="50"/>
      <c r="G387" s="50"/>
    </row>
    <row r="388" spans="1:7" ht="14.25" customHeight="1" x14ac:dyDescent="0.35">
      <c r="A388" s="48"/>
      <c r="B388" s="49"/>
      <c r="F388" s="50"/>
      <c r="G388" s="50"/>
    </row>
    <row r="389" spans="1:7" ht="14.25" customHeight="1" x14ac:dyDescent="0.35">
      <c r="A389" s="48"/>
      <c r="B389" s="49"/>
      <c r="F389" s="50"/>
      <c r="G389" s="50"/>
    </row>
    <row r="390" spans="1:7" ht="14.25" customHeight="1" x14ac:dyDescent="0.35">
      <c r="A390" s="48"/>
      <c r="B390" s="49"/>
      <c r="F390" s="50"/>
      <c r="G390" s="50"/>
    </row>
    <row r="391" spans="1:7" ht="14.25" customHeight="1" x14ac:dyDescent="0.35">
      <c r="A391" s="48"/>
      <c r="B391" s="49"/>
      <c r="F391" s="50"/>
      <c r="G391" s="50"/>
    </row>
    <row r="392" spans="1:7" ht="14.25" customHeight="1" x14ac:dyDescent="0.35">
      <c r="A392" s="48"/>
      <c r="B392" s="49"/>
      <c r="F392" s="50"/>
      <c r="G392" s="50"/>
    </row>
    <row r="393" spans="1:7" ht="14.25" customHeight="1" x14ac:dyDescent="0.35">
      <c r="A393" s="48"/>
      <c r="B393" s="49"/>
      <c r="F393" s="50"/>
      <c r="G393" s="50"/>
    </row>
    <row r="394" spans="1:7" ht="14.25" customHeight="1" x14ac:dyDescent="0.35">
      <c r="A394" s="48"/>
      <c r="B394" s="49"/>
      <c r="F394" s="50"/>
      <c r="G394" s="50"/>
    </row>
    <row r="395" spans="1:7" ht="14.25" customHeight="1" x14ac:dyDescent="0.35">
      <c r="A395" s="48"/>
      <c r="B395" s="49"/>
      <c r="F395" s="50"/>
      <c r="G395" s="50"/>
    </row>
    <row r="396" spans="1:7" ht="14.25" customHeight="1" x14ac:dyDescent="0.35">
      <c r="A396" s="48"/>
      <c r="B396" s="49"/>
      <c r="F396" s="50"/>
      <c r="G396" s="50"/>
    </row>
    <row r="397" spans="1:7" ht="14.25" customHeight="1" x14ac:dyDescent="0.35">
      <c r="A397" s="48"/>
      <c r="B397" s="49"/>
      <c r="F397" s="50"/>
      <c r="G397" s="50"/>
    </row>
    <row r="398" spans="1:7" ht="14.25" customHeight="1" x14ac:dyDescent="0.35">
      <c r="A398" s="48"/>
      <c r="B398" s="49"/>
      <c r="F398" s="50"/>
      <c r="G398" s="50"/>
    </row>
    <row r="399" spans="1:7" ht="14.25" customHeight="1" x14ac:dyDescent="0.35">
      <c r="A399" s="48"/>
      <c r="B399" s="49"/>
      <c r="F399" s="50"/>
      <c r="G399" s="50"/>
    </row>
    <row r="400" spans="1:7" ht="14.25" customHeight="1" x14ac:dyDescent="0.35">
      <c r="A400" s="48"/>
      <c r="B400" s="49"/>
      <c r="F400" s="50"/>
      <c r="G400" s="50"/>
    </row>
    <row r="401" spans="1:7" ht="14.25" customHeight="1" x14ac:dyDescent="0.35">
      <c r="A401" s="48"/>
      <c r="B401" s="49"/>
      <c r="F401" s="50"/>
      <c r="G401" s="50"/>
    </row>
    <row r="402" spans="1:7" ht="14.25" customHeight="1" x14ac:dyDescent="0.35">
      <c r="A402" s="48"/>
      <c r="B402" s="49"/>
      <c r="F402" s="50"/>
      <c r="G402" s="50"/>
    </row>
    <row r="403" spans="1:7" ht="14.25" customHeight="1" x14ac:dyDescent="0.35">
      <c r="A403" s="48"/>
      <c r="B403" s="49"/>
      <c r="F403" s="50"/>
      <c r="G403" s="50"/>
    </row>
    <row r="404" spans="1:7" ht="14.25" customHeight="1" x14ac:dyDescent="0.35">
      <c r="A404" s="48"/>
      <c r="B404" s="49"/>
      <c r="F404" s="50"/>
      <c r="G404" s="50"/>
    </row>
    <row r="405" spans="1:7" ht="14.25" customHeight="1" x14ac:dyDescent="0.35">
      <c r="A405" s="48"/>
      <c r="B405" s="49"/>
      <c r="F405" s="50"/>
      <c r="G405" s="50"/>
    </row>
    <row r="406" spans="1:7" ht="14.25" customHeight="1" x14ac:dyDescent="0.35">
      <c r="A406" s="48"/>
      <c r="B406" s="49"/>
      <c r="F406" s="50"/>
      <c r="G406" s="50"/>
    </row>
    <row r="407" spans="1:7" ht="14.25" customHeight="1" x14ac:dyDescent="0.35">
      <c r="A407" s="48"/>
      <c r="B407" s="49"/>
      <c r="F407" s="50"/>
      <c r="G407" s="50"/>
    </row>
    <row r="408" spans="1:7" ht="14.25" customHeight="1" x14ac:dyDescent="0.35">
      <c r="A408" s="48"/>
      <c r="B408" s="49"/>
      <c r="F408" s="50"/>
      <c r="G408" s="50"/>
    </row>
    <row r="409" spans="1:7" ht="14.25" customHeight="1" x14ac:dyDescent="0.35">
      <c r="A409" s="48"/>
      <c r="B409" s="49"/>
      <c r="F409" s="50"/>
      <c r="G409" s="50"/>
    </row>
    <row r="410" spans="1:7" ht="14.25" customHeight="1" x14ac:dyDescent="0.35">
      <c r="A410" s="48"/>
      <c r="B410" s="49"/>
      <c r="F410" s="50"/>
      <c r="G410" s="50"/>
    </row>
    <row r="411" spans="1:7" ht="14.25" customHeight="1" x14ac:dyDescent="0.35">
      <c r="A411" s="48"/>
      <c r="B411" s="49"/>
      <c r="F411" s="50"/>
      <c r="G411" s="50"/>
    </row>
    <row r="412" spans="1:7" ht="14.25" customHeight="1" x14ac:dyDescent="0.35">
      <c r="A412" s="48"/>
      <c r="B412" s="49"/>
      <c r="F412" s="50"/>
      <c r="G412" s="50"/>
    </row>
    <row r="413" spans="1:7" ht="14.25" customHeight="1" x14ac:dyDescent="0.35">
      <c r="A413" s="48"/>
      <c r="B413" s="49"/>
      <c r="F413" s="50"/>
      <c r="G413" s="50"/>
    </row>
    <row r="414" spans="1:7" ht="14.25" customHeight="1" x14ac:dyDescent="0.35">
      <c r="A414" s="48"/>
      <c r="B414" s="49"/>
      <c r="F414" s="50"/>
      <c r="G414" s="50"/>
    </row>
    <row r="415" spans="1:7" ht="14.25" customHeight="1" x14ac:dyDescent="0.35">
      <c r="A415" s="48"/>
      <c r="B415" s="49"/>
      <c r="F415" s="50"/>
      <c r="G415" s="50"/>
    </row>
    <row r="416" spans="1:7" ht="14.25" customHeight="1" x14ac:dyDescent="0.35">
      <c r="A416" s="48"/>
      <c r="B416" s="49"/>
      <c r="F416" s="50"/>
      <c r="G416" s="50"/>
    </row>
    <row r="417" spans="1:7" ht="14.25" customHeight="1" x14ac:dyDescent="0.35">
      <c r="A417" s="48"/>
      <c r="B417" s="49"/>
      <c r="F417" s="50"/>
      <c r="G417" s="50"/>
    </row>
    <row r="418" spans="1:7" ht="14.25" customHeight="1" x14ac:dyDescent="0.35">
      <c r="A418" s="48"/>
      <c r="B418" s="49"/>
      <c r="F418" s="50"/>
      <c r="G418" s="50"/>
    </row>
    <row r="419" spans="1:7" ht="14.25" customHeight="1" x14ac:dyDescent="0.35">
      <c r="A419" s="48"/>
      <c r="B419" s="49"/>
      <c r="F419" s="50"/>
      <c r="G419" s="50"/>
    </row>
    <row r="420" spans="1:7" ht="14.25" customHeight="1" x14ac:dyDescent="0.35">
      <c r="A420" s="48"/>
      <c r="B420" s="49"/>
      <c r="F420" s="50"/>
      <c r="G420" s="50"/>
    </row>
    <row r="421" spans="1:7" ht="14.25" customHeight="1" x14ac:dyDescent="0.35">
      <c r="A421" s="48"/>
      <c r="B421" s="49"/>
      <c r="F421" s="50"/>
      <c r="G421" s="50"/>
    </row>
    <row r="422" spans="1:7" ht="14.25" customHeight="1" x14ac:dyDescent="0.35">
      <c r="A422" s="48"/>
      <c r="B422" s="49"/>
      <c r="F422" s="50"/>
      <c r="G422" s="50"/>
    </row>
    <row r="423" spans="1:7" ht="14.25" customHeight="1" x14ac:dyDescent="0.35">
      <c r="A423" s="48"/>
      <c r="B423" s="49"/>
      <c r="F423" s="50"/>
      <c r="G423" s="50"/>
    </row>
    <row r="424" spans="1:7" ht="14.25" customHeight="1" x14ac:dyDescent="0.35">
      <c r="A424" s="48"/>
      <c r="B424" s="49"/>
      <c r="F424" s="50"/>
      <c r="G424" s="50"/>
    </row>
    <row r="425" spans="1:7" ht="14.25" customHeight="1" x14ac:dyDescent="0.35">
      <c r="A425" s="48"/>
      <c r="B425" s="49"/>
      <c r="F425" s="50"/>
      <c r="G425" s="50"/>
    </row>
    <row r="426" spans="1:7" ht="14.25" customHeight="1" x14ac:dyDescent="0.35">
      <c r="A426" s="48"/>
      <c r="B426" s="49"/>
      <c r="F426" s="50"/>
      <c r="G426" s="50"/>
    </row>
    <row r="427" spans="1:7" ht="14.25" customHeight="1" x14ac:dyDescent="0.35">
      <c r="A427" s="48"/>
      <c r="B427" s="49"/>
      <c r="F427" s="50"/>
      <c r="G427" s="50"/>
    </row>
    <row r="428" spans="1:7" ht="14.25" customHeight="1" x14ac:dyDescent="0.35">
      <c r="A428" s="48"/>
      <c r="B428" s="49"/>
      <c r="F428" s="50"/>
      <c r="G428" s="50"/>
    </row>
    <row r="429" spans="1:7" ht="14.25" customHeight="1" x14ac:dyDescent="0.35">
      <c r="A429" s="48"/>
      <c r="B429" s="49"/>
      <c r="F429" s="50"/>
      <c r="G429" s="50"/>
    </row>
    <row r="430" spans="1:7" ht="14.25" customHeight="1" x14ac:dyDescent="0.35">
      <c r="A430" s="48"/>
      <c r="B430" s="49"/>
      <c r="F430" s="50"/>
      <c r="G430" s="50"/>
    </row>
    <row r="431" spans="1:7" ht="14.25" customHeight="1" x14ac:dyDescent="0.35">
      <c r="A431" s="48"/>
      <c r="B431" s="49"/>
      <c r="F431" s="50"/>
      <c r="G431" s="50"/>
    </row>
    <row r="432" spans="1:7" ht="14.25" customHeight="1" x14ac:dyDescent="0.35">
      <c r="A432" s="48"/>
      <c r="B432" s="49"/>
      <c r="F432" s="50"/>
      <c r="G432" s="50"/>
    </row>
    <row r="433" spans="1:7" ht="14.25" customHeight="1" x14ac:dyDescent="0.35">
      <c r="A433" s="48"/>
      <c r="B433" s="49"/>
      <c r="F433" s="50"/>
      <c r="G433" s="50"/>
    </row>
    <row r="434" spans="1:7" ht="14.25" customHeight="1" x14ac:dyDescent="0.35">
      <c r="A434" s="48"/>
      <c r="B434" s="49"/>
      <c r="F434" s="50"/>
      <c r="G434" s="50"/>
    </row>
    <row r="435" spans="1:7" ht="14.25" customHeight="1" x14ac:dyDescent="0.35">
      <c r="A435" s="48"/>
      <c r="B435" s="49"/>
      <c r="F435" s="50"/>
      <c r="G435" s="50"/>
    </row>
    <row r="436" spans="1:7" ht="14.25" customHeight="1" x14ac:dyDescent="0.35">
      <c r="A436" s="48"/>
      <c r="B436" s="49"/>
      <c r="F436" s="50"/>
      <c r="G436" s="50"/>
    </row>
    <row r="437" spans="1:7" ht="14.25" customHeight="1" x14ac:dyDescent="0.35">
      <c r="A437" s="48"/>
      <c r="B437" s="49"/>
      <c r="F437" s="50"/>
      <c r="G437" s="50"/>
    </row>
    <row r="438" spans="1:7" ht="14.25" customHeight="1" x14ac:dyDescent="0.35">
      <c r="A438" s="48"/>
      <c r="B438" s="49"/>
      <c r="F438" s="50"/>
      <c r="G438" s="50"/>
    </row>
    <row r="439" spans="1:7" ht="14.25" customHeight="1" x14ac:dyDescent="0.35">
      <c r="A439" s="48"/>
      <c r="B439" s="49"/>
      <c r="F439" s="50"/>
      <c r="G439" s="50"/>
    </row>
    <row r="440" spans="1:7" ht="14.25" customHeight="1" x14ac:dyDescent="0.35">
      <c r="A440" s="48"/>
      <c r="B440" s="49"/>
      <c r="F440" s="50"/>
      <c r="G440" s="50"/>
    </row>
    <row r="441" spans="1:7" ht="14.25" customHeight="1" x14ac:dyDescent="0.35">
      <c r="A441" s="48"/>
      <c r="B441" s="49"/>
      <c r="F441" s="50"/>
      <c r="G441" s="50"/>
    </row>
    <row r="442" spans="1:7" ht="14.25" customHeight="1" x14ac:dyDescent="0.35">
      <c r="A442" s="48"/>
      <c r="B442" s="49"/>
      <c r="F442" s="50"/>
      <c r="G442" s="50"/>
    </row>
    <row r="443" spans="1:7" ht="14.25" customHeight="1" x14ac:dyDescent="0.35">
      <c r="A443" s="48"/>
      <c r="B443" s="49"/>
      <c r="F443" s="50"/>
      <c r="G443" s="50"/>
    </row>
    <row r="444" spans="1:7" ht="14.25" customHeight="1" x14ac:dyDescent="0.35">
      <c r="A444" s="48"/>
      <c r="B444" s="49"/>
      <c r="F444" s="50"/>
      <c r="G444" s="50"/>
    </row>
    <row r="445" spans="1:7" ht="14.25" customHeight="1" x14ac:dyDescent="0.35">
      <c r="A445" s="48"/>
      <c r="B445" s="49"/>
      <c r="F445" s="50"/>
      <c r="G445" s="50"/>
    </row>
    <row r="446" spans="1:7" ht="14.25" customHeight="1" x14ac:dyDescent="0.35">
      <c r="A446" s="48"/>
      <c r="B446" s="49"/>
      <c r="F446" s="50"/>
      <c r="G446" s="50"/>
    </row>
    <row r="447" spans="1:7" ht="14.25" customHeight="1" x14ac:dyDescent="0.35">
      <c r="A447" s="48"/>
      <c r="B447" s="49"/>
      <c r="F447" s="50"/>
      <c r="G447" s="50"/>
    </row>
    <row r="448" spans="1:7" ht="14.25" customHeight="1" x14ac:dyDescent="0.35">
      <c r="A448" s="48"/>
      <c r="B448" s="49"/>
      <c r="F448" s="50"/>
      <c r="G448" s="50"/>
    </row>
    <row r="449" spans="1:7" ht="14.25" customHeight="1" x14ac:dyDescent="0.35">
      <c r="A449" s="48"/>
      <c r="B449" s="49"/>
      <c r="F449" s="50"/>
      <c r="G449" s="50"/>
    </row>
    <row r="450" spans="1:7" ht="14.25" customHeight="1" x14ac:dyDescent="0.35">
      <c r="A450" s="48"/>
      <c r="B450" s="49"/>
      <c r="F450" s="50"/>
      <c r="G450" s="50"/>
    </row>
    <row r="451" spans="1:7" ht="14.25" customHeight="1" x14ac:dyDescent="0.35">
      <c r="A451" s="48"/>
      <c r="B451" s="49"/>
      <c r="F451" s="50"/>
      <c r="G451" s="50"/>
    </row>
    <row r="452" spans="1:7" ht="14.25" customHeight="1" x14ac:dyDescent="0.35">
      <c r="A452" s="48"/>
      <c r="B452" s="49"/>
      <c r="F452" s="50"/>
      <c r="G452" s="50"/>
    </row>
    <row r="453" spans="1:7" ht="14.25" customHeight="1" x14ac:dyDescent="0.35">
      <c r="A453" s="48"/>
      <c r="B453" s="49"/>
      <c r="F453" s="50"/>
      <c r="G453" s="50"/>
    </row>
    <row r="454" spans="1:7" ht="14.25" customHeight="1" x14ac:dyDescent="0.35">
      <c r="A454" s="48"/>
      <c r="B454" s="49"/>
      <c r="F454" s="50"/>
      <c r="G454" s="50"/>
    </row>
    <row r="455" spans="1:7" ht="14.25" customHeight="1" x14ac:dyDescent="0.35">
      <c r="A455" s="48"/>
      <c r="B455" s="49"/>
      <c r="F455" s="50"/>
      <c r="G455" s="50"/>
    </row>
    <row r="456" spans="1:7" ht="14.25" customHeight="1" x14ac:dyDescent="0.35">
      <c r="A456" s="48"/>
      <c r="B456" s="49"/>
      <c r="F456" s="50"/>
      <c r="G456" s="50"/>
    </row>
    <row r="457" spans="1:7" ht="14.25" customHeight="1" x14ac:dyDescent="0.35">
      <c r="A457" s="48"/>
      <c r="B457" s="49"/>
      <c r="F457" s="50"/>
      <c r="G457" s="50"/>
    </row>
    <row r="458" spans="1:7" ht="14.25" customHeight="1" x14ac:dyDescent="0.35">
      <c r="A458" s="48"/>
      <c r="B458" s="49"/>
      <c r="F458" s="50"/>
      <c r="G458" s="50"/>
    </row>
    <row r="459" spans="1:7" ht="14.25" customHeight="1" x14ac:dyDescent="0.35">
      <c r="A459" s="48"/>
      <c r="B459" s="49"/>
      <c r="F459" s="50"/>
      <c r="G459" s="50"/>
    </row>
    <row r="460" spans="1:7" ht="14.25" customHeight="1" x14ac:dyDescent="0.35">
      <c r="A460" s="48"/>
      <c r="B460" s="49"/>
      <c r="F460" s="50"/>
      <c r="G460" s="50"/>
    </row>
    <row r="461" spans="1:7" ht="14.25" customHeight="1" x14ac:dyDescent="0.35">
      <c r="A461" s="48"/>
      <c r="B461" s="49"/>
      <c r="F461" s="50"/>
      <c r="G461" s="50"/>
    </row>
    <row r="462" spans="1:7" ht="14.25" customHeight="1" x14ac:dyDescent="0.35">
      <c r="A462" s="48"/>
      <c r="B462" s="49"/>
      <c r="F462" s="50"/>
      <c r="G462" s="50"/>
    </row>
    <row r="463" spans="1:7" ht="14.25" customHeight="1" x14ac:dyDescent="0.35">
      <c r="A463" s="48"/>
      <c r="B463" s="49"/>
      <c r="F463" s="50"/>
      <c r="G463" s="50"/>
    </row>
    <row r="464" spans="1:7" ht="14.25" customHeight="1" x14ac:dyDescent="0.35">
      <c r="A464" s="48"/>
      <c r="B464" s="49"/>
      <c r="F464" s="50"/>
      <c r="G464" s="50"/>
    </row>
    <row r="465" spans="1:7" ht="14.25" customHeight="1" x14ac:dyDescent="0.35">
      <c r="A465" s="48"/>
      <c r="B465" s="49"/>
      <c r="F465" s="50"/>
      <c r="G465" s="50"/>
    </row>
    <row r="466" spans="1:7" ht="14.25" customHeight="1" x14ac:dyDescent="0.35">
      <c r="A466" s="48"/>
      <c r="B466" s="49"/>
      <c r="F466" s="50"/>
      <c r="G466" s="50"/>
    </row>
    <row r="467" spans="1:7" ht="14.25" customHeight="1" x14ac:dyDescent="0.35">
      <c r="A467" s="48"/>
      <c r="B467" s="49"/>
      <c r="F467" s="50"/>
      <c r="G467" s="50"/>
    </row>
    <row r="468" spans="1:7" ht="14.25" customHeight="1" x14ac:dyDescent="0.35">
      <c r="A468" s="48"/>
      <c r="B468" s="49"/>
      <c r="F468" s="50"/>
      <c r="G468" s="50"/>
    </row>
    <row r="469" spans="1:7" ht="14.25" customHeight="1" x14ac:dyDescent="0.35">
      <c r="A469" s="48"/>
      <c r="B469" s="49"/>
      <c r="F469" s="50"/>
      <c r="G469" s="50"/>
    </row>
    <row r="470" spans="1:7" ht="14.25" customHeight="1" x14ac:dyDescent="0.35">
      <c r="A470" s="48"/>
      <c r="B470" s="49"/>
      <c r="F470" s="50"/>
      <c r="G470" s="50"/>
    </row>
    <row r="471" spans="1:7" ht="14.25" customHeight="1" x14ac:dyDescent="0.35">
      <c r="A471" s="48"/>
      <c r="B471" s="49"/>
      <c r="F471" s="50"/>
      <c r="G471" s="50"/>
    </row>
    <row r="472" spans="1:7" ht="14.25" customHeight="1" x14ac:dyDescent="0.35">
      <c r="A472" s="48"/>
      <c r="B472" s="49"/>
      <c r="F472" s="50"/>
      <c r="G472" s="50"/>
    </row>
    <row r="473" spans="1:7" ht="14.25" customHeight="1" x14ac:dyDescent="0.35">
      <c r="A473" s="48"/>
      <c r="B473" s="49"/>
      <c r="F473" s="50"/>
      <c r="G473" s="50"/>
    </row>
    <row r="474" spans="1:7" ht="14.25" customHeight="1" x14ac:dyDescent="0.35">
      <c r="A474" s="48"/>
      <c r="B474" s="49"/>
      <c r="F474" s="50"/>
      <c r="G474" s="50"/>
    </row>
    <row r="475" spans="1:7" ht="14.25" customHeight="1" x14ac:dyDescent="0.35">
      <c r="A475" s="48"/>
      <c r="B475" s="49"/>
      <c r="F475" s="50"/>
      <c r="G475" s="50"/>
    </row>
    <row r="476" spans="1:7" ht="14.25" customHeight="1" x14ac:dyDescent="0.35">
      <c r="A476" s="48"/>
      <c r="B476" s="49"/>
      <c r="F476" s="50"/>
      <c r="G476" s="50"/>
    </row>
    <row r="477" spans="1:7" ht="14.25" customHeight="1" x14ac:dyDescent="0.35">
      <c r="A477" s="48"/>
      <c r="B477" s="49"/>
      <c r="F477" s="50"/>
      <c r="G477" s="50"/>
    </row>
    <row r="478" spans="1:7" ht="14.25" customHeight="1" x14ac:dyDescent="0.35">
      <c r="A478" s="48"/>
      <c r="B478" s="49"/>
      <c r="F478" s="50"/>
      <c r="G478" s="50"/>
    </row>
    <row r="479" spans="1:7" ht="14.25" customHeight="1" x14ac:dyDescent="0.35">
      <c r="A479" s="48"/>
      <c r="B479" s="49"/>
      <c r="F479" s="50"/>
      <c r="G479" s="50"/>
    </row>
    <row r="480" spans="1:7" ht="14.25" customHeight="1" x14ac:dyDescent="0.35">
      <c r="A480" s="48"/>
      <c r="B480" s="49"/>
      <c r="F480" s="50"/>
      <c r="G480" s="50"/>
    </row>
    <row r="481" spans="1:7" ht="14.25" customHeight="1" x14ac:dyDescent="0.35">
      <c r="A481" s="48"/>
      <c r="B481" s="49"/>
      <c r="F481" s="50"/>
      <c r="G481" s="50"/>
    </row>
    <row r="482" spans="1:7" ht="14.25" customHeight="1" x14ac:dyDescent="0.35">
      <c r="A482" s="48"/>
      <c r="B482" s="49"/>
      <c r="F482" s="50"/>
      <c r="G482" s="50"/>
    </row>
    <row r="483" spans="1:7" ht="14.25" customHeight="1" x14ac:dyDescent="0.35">
      <c r="A483" s="48"/>
      <c r="B483" s="49"/>
      <c r="F483" s="50"/>
      <c r="G483" s="50"/>
    </row>
    <row r="484" spans="1:7" ht="14.25" customHeight="1" x14ac:dyDescent="0.35">
      <c r="A484" s="48"/>
      <c r="B484" s="49"/>
      <c r="F484" s="50"/>
      <c r="G484" s="50"/>
    </row>
    <row r="485" spans="1:7" ht="14.25" customHeight="1" x14ac:dyDescent="0.35">
      <c r="A485" s="48"/>
      <c r="B485" s="49"/>
      <c r="F485" s="50"/>
      <c r="G485" s="50"/>
    </row>
    <row r="486" spans="1:7" ht="14.25" customHeight="1" x14ac:dyDescent="0.35">
      <c r="A486" s="48"/>
      <c r="B486" s="49"/>
      <c r="F486" s="50"/>
      <c r="G486" s="50"/>
    </row>
    <row r="487" spans="1:7" ht="14.25" customHeight="1" x14ac:dyDescent="0.35">
      <c r="A487" s="48"/>
      <c r="B487" s="49"/>
      <c r="F487" s="50"/>
      <c r="G487" s="50"/>
    </row>
    <row r="488" spans="1:7" ht="14.25" customHeight="1" x14ac:dyDescent="0.35">
      <c r="A488" s="48"/>
      <c r="B488" s="49"/>
      <c r="F488" s="50"/>
      <c r="G488" s="50"/>
    </row>
    <row r="489" spans="1:7" ht="14.25" customHeight="1" x14ac:dyDescent="0.35">
      <c r="A489" s="48"/>
      <c r="B489" s="49"/>
      <c r="F489" s="50"/>
      <c r="G489" s="50"/>
    </row>
    <row r="490" spans="1:7" ht="14.25" customHeight="1" x14ac:dyDescent="0.35">
      <c r="A490" s="48"/>
      <c r="B490" s="49"/>
      <c r="F490" s="50"/>
      <c r="G490" s="50"/>
    </row>
    <row r="491" spans="1:7" ht="14.25" customHeight="1" x14ac:dyDescent="0.35">
      <c r="A491" s="48"/>
      <c r="B491" s="49"/>
      <c r="F491" s="50"/>
      <c r="G491" s="50"/>
    </row>
    <row r="492" spans="1:7" ht="14.25" customHeight="1" x14ac:dyDescent="0.35">
      <c r="A492" s="48"/>
      <c r="B492" s="49"/>
      <c r="F492" s="50"/>
      <c r="G492" s="50"/>
    </row>
    <row r="493" spans="1:7" ht="14.25" customHeight="1" x14ac:dyDescent="0.35">
      <c r="A493" s="48"/>
      <c r="B493" s="49"/>
      <c r="F493" s="50"/>
      <c r="G493" s="50"/>
    </row>
    <row r="494" spans="1:7" ht="14.25" customHeight="1" x14ac:dyDescent="0.35">
      <c r="A494" s="48"/>
      <c r="B494" s="49"/>
      <c r="F494" s="50"/>
      <c r="G494" s="50"/>
    </row>
    <row r="495" spans="1:7" ht="14.25" customHeight="1" x14ac:dyDescent="0.35">
      <c r="A495" s="48"/>
      <c r="B495" s="49"/>
      <c r="F495" s="50"/>
      <c r="G495" s="50"/>
    </row>
    <row r="496" spans="1:7" ht="14.25" customHeight="1" x14ac:dyDescent="0.35">
      <c r="A496" s="48"/>
      <c r="B496" s="49"/>
      <c r="F496" s="50"/>
      <c r="G496" s="50"/>
    </row>
    <row r="497" spans="1:7" ht="14.25" customHeight="1" x14ac:dyDescent="0.35">
      <c r="A497" s="48"/>
      <c r="B497" s="49"/>
      <c r="F497" s="50"/>
      <c r="G497" s="50"/>
    </row>
    <row r="498" spans="1:7" ht="14.25" customHeight="1" x14ac:dyDescent="0.35">
      <c r="A498" s="48"/>
      <c r="B498" s="49"/>
      <c r="F498" s="50"/>
      <c r="G498" s="50"/>
    </row>
    <row r="499" spans="1:7" ht="14.25" customHeight="1" x14ac:dyDescent="0.35">
      <c r="A499" s="48"/>
      <c r="B499" s="49"/>
      <c r="F499" s="50"/>
      <c r="G499" s="50"/>
    </row>
    <row r="500" spans="1:7" ht="14.25" customHeight="1" x14ac:dyDescent="0.35">
      <c r="A500" s="48"/>
      <c r="B500" s="49"/>
      <c r="F500" s="50"/>
      <c r="G500" s="50"/>
    </row>
    <row r="501" spans="1:7" ht="14.25" customHeight="1" x14ac:dyDescent="0.35">
      <c r="A501" s="48"/>
      <c r="B501" s="49"/>
      <c r="F501" s="50"/>
      <c r="G501" s="50"/>
    </row>
    <row r="502" spans="1:7" ht="14.25" customHeight="1" x14ac:dyDescent="0.35">
      <c r="A502" s="48"/>
      <c r="B502" s="49"/>
      <c r="F502" s="50"/>
      <c r="G502" s="50"/>
    </row>
    <row r="503" spans="1:7" ht="14.25" customHeight="1" x14ac:dyDescent="0.35">
      <c r="A503" s="48"/>
      <c r="B503" s="49"/>
      <c r="F503" s="50"/>
      <c r="G503" s="50"/>
    </row>
    <row r="504" spans="1:7" ht="14.25" customHeight="1" x14ac:dyDescent="0.35">
      <c r="A504" s="48"/>
      <c r="B504" s="49"/>
      <c r="F504" s="50"/>
      <c r="G504" s="50"/>
    </row>
    <row r="505" spans="1:7" ht="14.25" customHeight="1" x14ac:dyDescent="0.35">
      <c r="A505" s="48"/>
      <c r="B505" s="49"/>
      <c r="F505" s="50"/>
      <c r="G505" s="50"/>
    </row>
    <row r="506" spans="1:7" ht="14.25" customHeight="1" x14ac:dyDescent="0.35">
      <c r="A506" s="48"/>
      <c r="B506" s="49"/>
      <c r="F506" s="50"/>
      <c r="G506" s="50"/>
    </row>
    <row r="507" spans="1:7" ht="14.25" customHeight="1" x14ac:dyDescent="0.35">
      <c r="A507" s="48"/>
      <c r="B507" s="49"/>
      <c r="F507" s="50"/>
      <c r="G507" s="50"/>
    </row>
    <row r="508" spans="1:7" ht="14.25" customHeight="1" x14ac:dyDescent="0.35">
      <c r="A508" s="48"/>
      <c r="B508" s="49"/>
      <c r="F508" s="50"/>
      <c r="G508" s="50"/>
    </row>
    <row r="509" spans="1:7" ht="14.25" customHeight="1" x14ac:dyDescent="0.35">
      <c r="A509" s="48"/>
      <c r="B509" s="49"/>
      <c r="F509" s="50"/>
      <c r="G509" s="50"/>
    </row>
    <row r="510" spans="1:7" ht="14.25" customHeight="1" x14ac:dyDescent="0.35">
      <c r="A510" s="48"/>
      <c r="B510" s="49"/>
      <c r="F510" s="50"/>
      <c r="G510" s="50"/>
    </row>
    <row r="511" spans="1:7" ht="14.25" customHeight="1" x14ac:dyDescent="0.35">
      <c r="A511" s="48"/>
      <c r="B511" s="49"/>
      <c r="F511" s="50"/>
      <c r="G511" s="50"/>
    </row>
    <row r="512" spans="1:7" ht="14.25" customHeight="1" x14ac:dyDescent="0.35">
      <c r="A512" s="48"/>
      <c r="B512" s="49"/>
      <c r="F512" s="50"/>
      <c r="G512" s="50"/>
    </row>
    <row r="513" spans="1:7" ht="14.25" customHeight="1" x14ac:dyDescent="0.35">
      <c r="A513" s="48"/>
      <c r="B513" s="49"/>
      <c r="F513" s="50"/>
      <c r="G513" s="50"/>
    </row>
    <row r="514" spans="1:7" ht="14.25" customHeight="1" x14ac:dyDescent="0.35">
      <c r="A514" s="48"/>
      <c r="B514" s="49"/>
      <c r="F514" s="50"/>
      <c r="G514" s="50"/>
    </row>
    <row r="515" spans="1:7" ht="14.25" customHeight="1" x14ac:dyDescent="0.35">
      <c r="A515" s="48"/>
      <c r="B515" s="49"/>
      <c r="F515" s="50"/>
      <c r="G515" s="50"/>
    </row>
    <row r="516" spans="1:7" ht="14.25" customHeight="1" x14ac:dyDescent="0.35">
      <c r="A516" s="48"/>
      <c r="B516" s="49"/>
      <c r="F516" s="50"/>
      <c r="G516" s="50"/>
    </row>
    <row r="517" spans="1:7" ht="14.25" customHeight="1" x14ac:dyDescent="0.35">
      <c r="A517" s="48"/>
      <c r="B517" s="49"/>
      <c r="F517" s="50"/>
      <c r="G517" s="50"/>
    </row>
    <row r="518" spans="1:7" ht="14.25" customHeight="1" x14ac:dyDescent="0.35">
      <c r="A518" s="48"/>
      <c r="B518" s="49"/>
      <c r="F518" s="50"/>
      <c r="G518" s="50"/>
    </row>
    <row r="519" spans="1:7" ht="14.25" customHeight="1" x14ac:dyDescent="0.35">
      <c r="A519" s="48"/>
      <c r="B519" s="49"/>
      <c r="F519" s="50"/>
      <c r="G519" s="50"/>
    </row>
    <row r="520" spans="1:7" ht="14.25" customHeight="1" x14ac:dyDescent="0.35">
      <c r="A520" s="48"/>
      <c r="B520" s="49"/>
      <c r="F520" s="50"/>
      <c r="G520" s="50"/>
    </row>
    <row r="521" spans="1:7" ht="14.25" customHeight="1" x14ac:dyDescent="0.35">
      <c r="A521" s="48"/>
      <c r="B521" s="49"/>
      <c r="F521" s="50"/>
      <c r="G521" s="50"/>
    </row>
    <row r="522" spans="1:7" ht="14.25" customHeight="1" x14ac:dyDescent="0.35">
      <c r="A522" s="48"/>
      <c r="B522" s="49"/>
      <c r="F522" s="50"/>
      <c r="G522" s="50"/>
    </row>
    <row r="523" spans="1:7" ht="14.25" customHeight="1" x14ac:dyDescent="0.35">
      <c r="A523" s="48"/>
      <c r="B523" s="49"/>
      <c r="F523" s="50"/>
      <c r="G523" s="50"/>
    </row>
    <row r="524" spans="1:7" ht="14.25" customHeight="1" x14ac:dyDescent="0.35">
      <c r="A524" s="48"/>
      <c r="B524" s="49"/>
      <c r="F524" s="50"/>
      <c r="G524" s="50"/>
    </row>
    <row r="525" spans="1:7" ht="14.25" customHeight="1" x14ac:dyDescent="0.35">
      <c r="A525" s="48"/>
      <c r="B525" s="49"/>
      <c r="F525" s="50"/>
      <c r="G525" s="50"/>
    </row>
    <row r="526" spans="1:7" ht="14.25" customHeight="1" x14ac:dyDescent="0.35">
      <c r="A526" s="48"/>
      <c r="B526" s="49"/>
      <c r="F526" s="50"/>
      <c r="G526" s="50"/>
    </row>
    <row r="527" spans="1:7" ht="14.25" customHeight="1" x14ac:dyDescent="0.35">
      <c r="A527" s="48"/>
      <c r="B527" s="49"/>
      <c r="F527" s="50"/>
      <c r="G527" s="50"/>
    </row>
    <row r="528" spans="1:7" ht="14.25" customHeight="1" x14ac:dyDescent="0.35">
      <c r="A528" s="48"/>
      <c r="B528" s="49"/>
      <c r="F528" s="50"/>
      <c r="G528" s="50"/>
    </row>
    <row r="529" spans="1:7" ht="14.25" customHeight="1" x14ac:dyDescent="0.35">
      <c r="A529" s="48"/>
      <c r="B529" s="49"/>
      <c r="F529" s="50"/>
      <c r="G529" s="50"/>
    </row>
    <row r="530" spans="1:7" ht="14.25" customHeight="1" x14ac:dyDescent="0.35">
      <c r="A530" s="48"/>
      <c r="B530" s="49"/>
      <c r="F530" s="50"/>
      <c r="G530" s="50"/>
    </row>
    <row r="531" spans="1:7" ht="14.25" customHeight="1" x14ac:dyDescent="0.35">
      <c r="A531" s="48"/>
      <c r="B531" s="49"/>
      <c r="F531" s="50"/>
      <c r="G531" s="50"/>
    </row>
    <row r="532" spans="1:7" ht="14.25" customHeight="1" x14ac:dyDescent="0.35">
      <c r="A532" s="48"/>
      <c r="B532" s="49"/>
      <c r="F532" s="50"/>
      <c r="G532" s="50"/>
    </row>
    <row r="533" spans="1:7" ht="14.25" customHeight="1" x14ac:dyDescent="0.35">
      <c r="A533" s="48"/>
      <c r="B533" s="49"/>
      <c r="F533" s="50"/>
      <c r="G533" s="50"/>
    </row>
    <row r="534" spans="1:7" ht="14.25" customHeight="1" x14ac:dyDescent="0.35">
      <c r="A534" s="48"/>
      <c r="B534" s="49"/>
      <c r="F534" s="50"/>
      <c r="G534" s="50"/>
    </row>
    <row r="535" spans="1:7" ht="14.25" customHeight="1" x14ac:dyDescent="0.35">
      <c r="A535" s="48"/>
      <c r="B535" s="49"/>
      <c r="F535" s="50"/>
      <c r="G535" s="50"/>
    </row>
    <row r="536" spans="1:7" ht="14.25" customHeight="1" x14ac:dyDescent="0.35">
      <c r="A536" s="48"/>
      <c r="B536" s="49"/>
      <c r="F536" s="50"/>
      <c r="G536" s="50"/>
    </row>
    <row r="537" spans="1:7" ht="14.25" customHeight="1" x14ac:dyDescent="0.35">
      <c r="A537" s="48"/>
      <c r="B537" s="49"/>
      <c r="F537" s="50"/>
      <c r="G537" s="50"/>
    </row>
    <row r="538" spans="1:7" ht="14.25" customHeight="1" x14ac:dyDescent="0.35">
      <c r="A538" s="48"/>
      <c r="B538" s="49"/>
      <c r="F538" s="50"/>
      <c r="G538" s="50"/>
    </row>
    <row r="539" spans="1:7" ht="14.25" customHeight="1" x14ac:dyDescent="0.35">
      <c r="A539" s="48"/>
      <c r="B539" s="49"/>
      <c r="F539" s="50"/>
      <c r="G539" s="50"/>
    </row>
    <row r="540" spans="1:7" ht="14.25" customHeight="1" x14ac:dyDescent="0.35">
      <c r="A540" s="48"/>
      <c r="B540" s="49"/>
      <c r="F540" s="50"/>
      <c r="G540" s="50"/>
    </row>
    <row r="541" spans="1:7" ht="14.25" customHeight="1" x14ac:dyDescent="0.35">
      <c r="A541" s="48"/>
      <c r="B541" s="49"/>
      <c r="F541" s="50"/>
      <c r="G541" s="50"/>
    </row>
    <row r="542" spans="1:7" ht="14.25" customHeight="1" x14ac:dyDescent="0.35">
      <c r="A542" s="48"/>
      <c r="B542" s="49"/>
      <c r="F542" s="50"/>
      <c r="G542" s="50"/>
    </row>
    <row r="543" spans="1:7" ht="14.25" customHeight="1" x14ac:dyDescent="0.35">
      <c r="A543" s="48"/>
      <c r="B543" s="49"/>
      <c r="F543" s="50"/>
      <c r="G543" s="50"/>
    </row>
    <row r="544" spans="1:7" ht="14.25" customHeight="1" x14ac:dyDescent="0.35">
      <c r="A544" s="48"/>
      <c r="B544" s="49"/>
      <c r="F544" s="50"/>
      <c r="G544" s="50"/>
    </row>
    <row r="545" spans="1:7" ht="14.25" customHeight="1" x14ac:dyDescent="0.35">
      <c r="A545" s="48"/>
      <c r="B545" s="49"/>
      <c r="F545" s="50"/>
      <c r="G545" s="50"/>
    </row>
    <row r="546" spans="1:7" ht="14.25" customHeight="1" x14ac:dyDescent="0.35">
      <c r="A546" s="48"/>
      <c r="B546" s="49"/>
      <c r="F546" s="50"/>
      <c r="G546" s="50"/>
    </row>
    <row r="547" spans="1:7" ht="14.25" customHeight="1" x14ac:dyDescent="0.35">
      <c r="A547" s="48"/>
      <c r="B547" s="49"/>
      <c r="F547" s="50"/>
      <c r="G547" s="50"/>
    </row>
    <row r="548" spans="1:7" ht="14.25" customHeight="1" x14ac:dyDescent="0.35">
      <c r="A548" s="48"/>
      <c r="B548" s="49"/>
      <c r="F548" s="50"/>
      <c r="G548" s="50"/>
    </row>
    <row r="549" spans="1:7" ht="14.25" customHeight="1" x14ac:dyDescent="0.35">
      <c r="A549" s="48"/>
      <c r="B549" s="49"/>
      <c r="F549" s="50"/>
      <c r="G549" s="50"/>
    </row>
    <row r="550" spans="1:7" ht="14.25" customHeight="1" x14ac:dyDescent="0.35">
      <c r="A550" s="48"/>
      <c r="B550" s="49"/>
      <c r="F550" s="50"/>
      <c r="G550" s="50"/>
    </row>
    <row r="551" spans="1:7" ht="14.25" customHeight="1" x14ac:dyDescent="0.35">
      <c r="A551" s="48"/>
      <c r="B551" s="49"/>
      <c r="F551" s="50"/>
      <c r="G551" s="50"/>
    </row>
    <row r="552" spans="1:7" ht="14.25" customHeight="1" x14ac:dyDescent="0.35">
      <c r="A552" s="48"/>
      <c r="B552" s="49"/>
      <c r="F552" s="50"/>
      <c r="G552" s="50"/>
    </row>
    <row r="553" spans="1:7" ht="14.25" customHeight="1" x14ac:dyDescent="0.35">
      <c r="A553" s="48"/>
      <c r="B553" s="49"/>
      <c r="F553" s="50"/>
      <c r="G553" s="50"/>
    </row>
    <row r="554" spans="1:7" ht="14.25" customHeight="1" x14ac:dyDescent="0.35">
      <c r="A554" s="48"/>
      <c r="B554" s="49"/>
      <c r="F554" s="50"/>
      <c r="G554" s="50"/>
    </row>
    <row r="555" spans="1:7" ht="14.25" customHeight="1" x14ac:dyDescent="0.35">
      <c r="A555" s="48"/>
      <c r="B555" s="49"/>
      <c r="F555" s="50"/>
      <c r="G555" s="50"/>
    </row>
    <row r="556" spans="1:7" ht="14.25" customHeight="1" x14ac:dyDescent="0.35">
      <c r="A556" s="48"/>
      <c r="B556" s="49"/>
      <c r="F556" s="50"/>
      <c r="G556" s="50"/>
    </row>
    <row r="557" spans="1:7" ht="14.25" customHeight="1" x14ac:dyDescent="0.35">
      <c r="A557" s="48"/>
      <c r="B557" s="49"/>
      <c r="F557" s="50"/>
      <c r="G557" s="50"/>
    </row>
    <row r="558" spans="1:7" ht="14.25" customHeight="1" x14ac:dyDescent="0.35">
      <c r="A558" s="48"/>
      <c r="B558" s="49"/>
      <c r="F558" s="50"/>
      <c r="G558" s="50"/>
    </row>
    <row r="559" spans="1:7" ht="14.25" customHeight="1" x14ac:dyDescent="0.35">
      <c r="A559" s="48"/>
      <c r="B559" s="49"/>
      <c r="F559" s="50"/>
      <c r="G559" s="50"/>
    </row>
    <row r="560" spans="1:7" ht="14.25" customHeight="1" x14ac:dyDescent="0.35">
      <c r="A560" s="48"/>
      <c r="B560" s="49"/>
      <c r="F560" s="50"/>
      <c r="G560" s="50"/>
    </row>
    <row r="561" spans="1:7" ht="14.25" customHeight="1" x14ac:dyDescent="0.35">
      <c r="A561" s="48"/>
      <c r="B561" s="49"/>
      <c r="F561" s="50"/>
      <c r="G561" s="50"/>
    </row>
    <row r="562" spans="1:7" ht="14.25" customHeight="1" x14ac:dyDescent="0.35">
      <c r="A562" s="48"/>
      <c r="B562" s="49"/>
      <c r="F562" s="50"/>
      <c r="G562" s="50"/>
    </row>
    <row r="563" spans="1:7" ht="14.25" customHeight="1" x14ac:dyDescent="0.35">
      <c r="A563" s="48"/>
      <c r="B563" s="49"/>
      <c r="F563" s="50"/>
      <c r="G563" s="50"/>
    </row>
    <row r="564" spans="1:7" ht="14.25" customHeight="1" x14ac:dyDescent="0.35">
      <c r="A564" s="48"/>
      <c r="B564" s="49"/>
      <c r="F564" s="50"/>
      <c r="G564" s="50"/>
    </row>
    <row r="565" spans="1:7" ht="14.25" customHeight="1" x14ac:dyDescent="0.35">
      <c r="A565" s="48"/>
      <c r="B565" s="49"/>
      <c r="F565" s="50"/>
      <c r="G565" s="50"/>
    </row>
    <row r="566" spans="1:7" ht="14.25" customHeight="1" x14ac:dyDescent="0.35">
      <c r="A566" s="48"/>
      <c r="B566" s="49"/>
      <c r="F566" s="50"/>
      <c r="G566" s="50"/>
    </row>
    <row r="567" spans="1:7" ht="14.25" customHeight="1" x14ac:dyDescent="0.35">
      <c r="A567" s="48"/>
      <c r="B567" s="49"/>
      <c r="F567" s="50"/>
      <c r="G567" s="50"/>
    </row>
    <row r="568" spans="1:7" ht="14.25" customHeight="1" x14ac:dyDescent="0.35">
      <c r="A568" s="48"/>
      <c r="B568" s="49"/>
      <c r="F568" s="50"/>
      <c r="G568" s="50"/>
    </row>
    <row r="569" spans="1:7" ht="14.25" customHeight="1" x14ac:dyDescent="0.35">
      <c r="A569" s="48"/>
      <c r="B569" s="49"/>
      <c r="F569" s="50"/>
      <c r="G569" s="50"/>
    </row>
    <row r="570" spans="1:7" ht="14.25" customHeight="1" x14ac:dyDescent="0.35">
      <c r="A570" s="48"/>
      <c r="B570" s="49"/>
      <c r="F570" s="50"/>
      <c r="G570" s="50"/>
    </row>
    <row r="571" spans="1:7" ht="14.25" customHeight="1" x14ac:dyDescent="0.35">
      <c r="A571" s="48"/>
      <c r="B571" s="49"/>
      <c r="F571" s="50"/>
      <c r="G571" s="50"/>
    </row>
    <row r="572" spans="1:7" ht="14.25" customHeight="1" x14ac:dyDescent="0.35">
      <c r="A572" s="48"/>
      <c r="B572" s="49"/>
      <c r="F572" s="50"/>
      <c r="G572" s="50"/>
    </row>
    <row r="573" spans="1:7" ht="14.25" customHeight="1" x14ac:dyDescent="0.35">
      <c r="A573" s="48"/>
      <c r="B573" s="49"/>
      <c r="F573" s="50"/>
      <c r="G573" s="50"/>
    </row>
    <row r="574" spans="1:7" ht="14.25" customHeight="1" x14ac:dyDescent="0.35">
      <c r="A574" s="48"/>
      <c r="B574" s="49"/>
      <c r="F574" s="50"/>
      <c r="G574" s="50"/>
    </row>
    <row r="575" spans="1:7" ht="14.25" customHeight="1" x14ac:dyDescent="0.35">
      <c r="A575" s="48"/>
      <c r="B575" s="49"/>
      <c r="F575" s="50"/>
      <c r="G575" s="50"/>
    </row>
    <row r="576" spans="1:7" ht="14.25" customHeight="1" x14ac:dyDescent="0.35">
      <c r="A576" s="48"/>
      <c r="B576" s="49"/>
      <c r="F576" s="50"/>
      <c r="G576" s="50"/>
    </row>
    <row r="577" spans="1:7" ht="14.25" customHeight="1" x14ac:dyDescent="0.35">
      <c r="A577" s="48"/>
      <c r="B577" s="49"/>
      <c r="F577" s="50"/>
      <c r="G577" s="50"/>
    </row>
    <row r="578" spans="1:7" ht="14.25" customHeight="1" x14ac:dyDescent="0.35">
      <c r="A578" s="48"/>
      <c r="B578" s="49"/>
      <c r="F578" s="50"/>
      <c r="G578" s="50"/>
    </row>
    <row r="579" spans="1:7" ht="14.25" customHeight="1" x14ac:dyDescent="0.35">
      <c r="A579" s="48"/>
      <c r="B579" s="49"/>
      <c r="F579" s="50"/>
      <c r="G579" s="50"/>
    </row>
    <row r="580" spans="1:7" ht="14.25" customHeight="1" x14ac:dyDescent="0.35">
      <c r="A580" s="48"/>
      <c r="B580" s="49"/>
      <c r="F580" s="50"/>
      <c r="G580" s="50"/>
    </row>
    <row r="581" spans="1:7" ht="14.25" customHeight="1" x14ac:dyDescent="0.35">
      <c r="A581" s="48"/>
      <c r="B581" s="49"/>
      <c r="F581" s="50"/>
      <c r="G581" s="50"/>
    </row>
    <row r="582" spans="1:7" ht="14.25" customHeight="1" x14ac:dyDescent="0.35">
      <c r="A582" s="48"/>
      <c r="B582" s="49"/>
      <c r="F582" s="50"/>
      <c r="G582" s="50"/>
    </row>
    <row r="583" spans="1:7" ht="14.25" customHeight="1" x14ac:dyDescent="0.35">
      <c r="A583" s="48"/>
      <c r="B583" s="49"/>
      <c r="F583" s="50"/>
      <c r="G583" s="50"/>
    </row>
    <row r="584" spans="1:7" ht="14.25" customHeight="1" x14ac:dyDescent="0.35">
      <c r="A584" s="48"/>
      <c r="B584" s="49"/>
      <c r="F584" s="50"/>
      <c r="G584" s="50"/>
    </row>
    <row r="585" spans="1:7" ht="14.25" customHeight="1" x14ac:dyDescent="0.35">
      <c r="A585" s="48"/>
      <c r="B585" s="49"/>
      <c r="F585" s="50"/>
      <c r="G585" s="50"/>
    </row>
    <row r="586" spans="1:7" ht="14.25" customHeight="1" x14ac:dyDescent="0.35">
      <c r="A586" s="48"/>
      <c r="B586" s="49"/>
      <c r="F586" s="50"/>
      <c r="G586" s="50"/>
    </row>
    <row r="587" spans="1:7" ht="14.25" customHeight="1" x14ac:dyDescent="0.35">
      <c r="A587" s="48"/>
      <c r="B587" s="49"/>
      <c r="F587" s="50"/>
      <c r="G587" s="50"/>
    </row>
    <row r="588" spans="1:7" ht="14.25" customHeight="1" x14ac:dyDescent="0.35">
      <c r="A588" s="48"/>
      <c r="B588" s="49"/>
      <c r="F588" s="50"/>
      <c r="G588" s="50"/>
    </row>
    <row r="589" spans="1:7" ht="14.25" customHeight="1" x14ac:dyDescent="0.35">
      <c r="A589" s="48"/>
      <c r="B589" s="49"/>
      <c r="F589" s="50"/>
      <c r="G589" s="50"/>
    </row>
    <row r="590" spans="1:7" ht="14.25" customHeight="1" x14ac:dyDescent="0.35">
      <c r="A590" s="48"/>
      <c r="B590" s="49"/>
      <c r="F590" s="50"/>
      <c r="G590" s="50"/>
    </row>
    <row r="591" spans="1:7" ht="14.25" customHeight="1" x14ac:dyDescent="0.35">
      <c r="A591" s="48"/>
      <c r="B591" s="49"/>
      <c r="F591" s="50"/>
      <c r="G591" s="50"/>
    </row>
    <row r="592" spans="1:7" ht="14.25" customHeight="1" x14ac:dyDescent="0.35">
      <c r="A592" s="48"/>
      <c r="B592" s="49"/>
      <c r="F592" s="50"/>
      <c r="G592" s="50"/>
    </row>
    <row r="593" spans="1:7" ht="14.25" customHeight="1" x14ac:dyDescent="0.35">
      <c r="A593" s="48"/>
      <c r="B593" s="49"/>
      <c r="F593" s="50"/>
      <c r="G593" s="50"/>
    </row>
    <row r="594" spans="1:7" ht="14.25" customHeight="1" x14ac:dyDescent="0.35">
      <c r="A594" s="48"/>
      <c r="B594" s="49"/>
      <c r="F594" s="50"/>
      <c r="G594" s="50"/>
    </row>
    <row r="595" spans="1:7" ht="14.25" customHeight="1" x14ac:dyDescent="0.35">
      <c r="A595" s="48"/>
      <c r="B595" s="49"/>
      <c r="F595" s="50"/>
      <c r="G595" s="50"/>
    </row>
    <row r="596" spans="1:7" ht="14.25" customHeight="1" x14ac:dyDescent="0.35">
      <c r="A596" s="48"/>
      <c r="B596" s="49"/>
      <c r="F596" s="50"/>
      <c r="G596" s="50"/>
    </row>
    <row r="597" spans="1:7" ht="14.25" customHeight="1" x14ac:dyDescent="0.35">
      <c r="A597" s="48"/>
      <c r="B597" s="49"/>
      <c r="F597" s="50"/>
      <c r="G597" s="50"/>
    </row>
    <row r="598" spans="1:7" ht="14.25" customHeight="1" x14ac:dyDescent="0.35">
      <c r="A598" s="48"/>
      <c r="B598" s="49"/>
      <c r="F598" s="50"/>
      <c r="G598" s="50"/>
    </row>
    <row r="599" spans="1:7" ht="14.25" customHeight="1" x14ac:dyDescent="0.35">
      <c r="A599" s="48"/>
      <c r="B599" s="49"/>
      <c r="F599" s="50"/>
      <c r="G599" s="50"/>
    </row>
    <row r="600" spans="1:7" ht="14.25" customHeight="1" x14ac:dyDescent="0.35">
      <c r="A600" s="48"/>
      <c r="B600" s="49"/>
      <c r="F600" s="50"/>
      <c r="G600" s="50"/>
    </row>
    <row r="601" spans="1:7" ht="14.25" customHeight="1" x14ac:dyDescent="0.35">
      <c r="A601" s="48"/>
      <c r="B601" s="49"/>
      <c r="F601" s="50"/>
      <c r="G601" s="50"/>
    </row>
    <row r="602" spans="1:7" ht="14.25" customHeight="1" x14ac:dyDescent="0.35">
      <c r="A602" s="48"/>
      <c r="B602" s="49"/>
      <c r="F602" s="50"/>
      <c r="G602" s="50"/>
    </row>
    <row r="603" spans="1:7" ht="14.25" customHeight="1" x14ac:dyDescent="0.35">
      <c r="A603" s="48"/>
      <c r="B603" s="49"/>
      <c r="F603" s="50"/>
      <c r="G603" s="50"/>
    </row>
    <row r="604" spans="1:7" ht="14.25" customHeight="1" x14ac:dyDescent="0.35">
      <c r="A604" s="48"/>
      <c r="B604" s="49"/>
      <c r="F604" s="50"/>
      <c r="G604" s="50"/>
    </row>
    <row r="605" spans="1:7" ht="14.25" customHeight="1" x14ac:dyDescent="0.35">
      <c r="A605" s="48"/>
      <c r="B605" s="49"/>
      <c r="F605" s="50"/>
      <c r="G605" s="50"/>
    </row>
    <row r="606" spans="1:7" ht="14.25" customHeight="1" x14ac:dyDescent="0.35">
      <c r="A606" s="48"/>
      <c r="B606" s="49"/>
      <c r="F606" s="50"/>
      <c r="G606" s="50"/>
    </row>
    <row r="607" spans="1:7" ht="14.25" customHeight="1" x14ac:dyDescent="0.35">
      <c r="A607" s="48"/>
      <c r="B607" s="49"/>
      <c r="F607" s="50"/>
      <c r="G607" s="50"/>
    </row>
    <row r="608" spans="1:7" ht="14.25" customHeight="1" x14ac:dyDescent="0.35">
      <c r="A608" s="48"/>
      <c r="B608" s="49"/>
      <c r="F608" s="50"/>
      <c r="G608" s="50"/>
    </row>
    <row r="609" spans="1:7" ht="14.25" customHeight="1" x14ac:dyDescent="0.35">
      <c r="A609" s="48"/>
      <c r="B609" s="49"/>
      <c r="F609" s="50"/>
      <c r="G609" s="50"/>
    </row>
    <row r="610" spans="1:7" ht="14.25" customHeight="1" x14ac:dyDescent="0.35">
      <c r="A610" s="48"/>
      <c r="B610" s="49"/>
      <c r="F610" s="50"/>
      <c r="G610" s="50"/>
    </row>
    <row r="611" spans="1:7" ht="14.25" customHeight="1" x14ac:dyDescent="0.35">
      <c r="A611" s="48"/>
      <c r="B611" s="49"/>
      <c r="F611" s="50"/>
      <c r="G611" s="50"/>
    </row>
    <row r="612" spans="1:7" ht="14.25" customHeight="1" x14ac:dyDescent="0.35">
      <c r="A612" s="48"/>
      <c r="B612" s="49"/>
      <c r="F612" s="50"/>
      <c r="G612" s="50"/>
    </row>
    <row r="613" spans="1:7" ht="14.25" customHeight="1" x14ac:dyDescent="0.35">
      <c r="A613" s="48"/>
      <c r="B613" s="49"/>
      <c r="F613" s="50"/>
      <c r="G613" s="50"/>
    </row>
    <row r="614" spans="1:7" ht="14.25" customHeight="1" x14ac:dyDescent="0.35">
      <c r="A614" s="48"/>
      <c r="B614" s="49"/>
      <c r="F614" s="50"/>
      <c r="G614" s="50"/>
    </row>
    <row r="615" spans="1:7" ht="14.25" customHeight="1" x14ac:dyDescent="0.35">
      <c r="A615" s="48"/>
      <c r="B615" s="49"/>
      <c r="F615" s="50"/>
      <c r="G615" s="50"/>
    </row>
    <row r="616" spans="1:7" ht="14.25" customHeight="1" x14ac:dyDescent="0.35">
      <c r="A616" s="48"/>
      <c r="B616" s="49"/>
      <c r="F616" s="50"/>
      <c r="G616" s="50"/>
    </row>
    <row r="617" spans="1:7" ht="14.25" customHeight="1" x14ac:dyDescent="0.35">
      <c r="A617" s="48"/>
      <c r="B617" s="49"/>
      <c r="F617" s="50"/>
      <c r="G617" s="50"/>
    </row>
    <row r="618" spans="1:7" ht="14.25" customHeight="1" x14ac:dyDescent="0.35">
      <c r="A618" s="48"/>
      <c r="B618" s="49"/>
      <c r="F618" s="50"/>
      <c r="G618" s="50"/>
    </row>
    <row r="619" spans="1:7" ht="14.25" customHeight="1" x14ac:dyDescent="0.35">
      <c r="A619" s="48"/>
      <c r="B619" s="49"/>
      <c r="F619" s="50"/>
      <c r="G619" s="50"/>
    </row>
    <row r="620" spans="1:7" ht="14.25" customHeight="1" x14ac:dyDescent="0.35">
      <c r="A620" s="48"/>
      <c r="B620" s="49"/>
      <c r="F620" s="50"/>
      <c r="G620" s="50"/>
    </row>
    <row r="621" spans="1:7" ht="14.25" customHeight="1" x14ac:dyDescent="0.35">
      <c r="A621" s="48"/>
      <c r="B621" s="49"/>
      <c r="F621" s="50"/>
      <c r="G621" s="50"/>
    </row>
    <row r="622" spans="1:7" ht="14.25" customHeight="1" x14ac:dyDescent="0.35">
      <c r="A622" s="48"/>
      <c r="B622" s="49"/>
      <c r="F622" s="50"/>
      <c r="G622" s="50"/>
    </row>
    <row r="623" spans="1:7" ht="14.25" customHeight="1" x14ac:dyDescent="0.35">
      <c r="A623" s="48"/>
      <c r="B623" s="49"/>
      <c r="F623" s="50"/>
      <c r="G623" s="50"/>
    </row>
    <row r="624" spans="1:7" ht="14.25" customHeight="1" x14ac:dyDescent="0.35">
      <c r="A624" s="48"/>
      <c r="B624" s="49"/>
      <c r="F624" s="50"/>
      <c r="G624" s="50"/>
    </row>
    <row r="625" spans="1:7" ht="14.25" customHeight="1" x14ac:dyDescent="0.35">
      <c r="A625" s="48"/>
      <c r="B625" s="49"/>
      <c r="F625" s="50"/>
      <c r="G625" s="50"/>
    </row>
    <row r="626" spans="1:7" ht="14.25" customHeight="1" x14ac:dyDescent="0.35">
      <c r="A626" s="48"/>
      <c r="B626" s="49"/>
      <c r="F626" s="50"/>
      <c r="G626" s="50"/>
    </row>
    <row r="627" spans="1:7" ht="14.25" customHeight="1" x14ac:dyDescent="0.35">
      <c r="A627" s="48"/>
      <c r="B627" s="49"/>
      <c r="F627" s="50"/>
      <c r="G627" s="50"/>
    </row>
    <row r="628" spans="1:7" ht="14.25" customHeight="1" x14ac:dyDescent="0.35">
      <c r="A628" s="48"/>
      <c r="B628" s="49"/>
      <c r="F628" s="50"/>
      <c r="G628" s="50"/>
    </row>
    <row r="629" spans="1:7" ht="14.25" customHeight="1" x14ac:dyDescent="0.35">
      <c r="A629" s="48"/>
      <c r="B629" s="49"/>
      <c r="F629" s="50"/>
      <c r="G629" s="50"/>
    </row>
    <row r="630" spans="1:7" ht="14.25" customHeight="1" x14ac:dyDescent="0.35">
      <c r="A630" s="48"/>
      <c r="B630" s="49"/>
      <c r="F630" s="50"/>
      <c r="G630" s="50"/>
    </row>
    <row r="631" spans="1:7" ht="14.25" customHeight="1" x14ac:dyDescent="0.35">
      <c r="A631" s="48"/>
      <c r="B631" s="49"/>
      <c r="F631" s="50"/>
      <c r="G631" s="50"/>
    </row>
    <row r="632" spans="1:7" ht="14.25" customHeight="1" x14ac:dyDescent="0.35">
      <c r="A632" s="48"/>
      <c r="B632" s="49"/>
      <c r="F632" s="50"/>
      <c r="G632" s="50"/>
    </row>
    <row r="633" spans="1:7" ht="14.25" customHeight="1" x14ac:dyDescent="0.35">
      <c r="A633" s="48"/>
      <c r="B633" s="49"/>
      <c r="F633" s="50"/>
      <c r="G633" s="50"/>
    </row>
    <row r="634" spans="1:7" ht="14.25" customHeight="1" x14ac:dyDescent="0.35">
      <c r="A634" s="48"/>
      <c r="B634" s="49"/>
      <c r="F634" s="50"/>
      <c r="G634" s="50"/>
    </row>
    <row r="635" spans="1:7" ht="14.25" customHeight="1" x14ac:dyDescent="0.35">
      <c r="A635" s="48"/>
      <c r="B635" s="49"/>
      <c r="F635" s="50"/>
      <c r="G635" s="50"/>
    </row>
    <row r="636" spans="1:7" ht="14.25" customHeight="1" x14ac:dyDescent="0.35">
      <c r="A636" s="48"/>
      <c r="B636" s="49"/>
      <c r="F636" s="50"/>
      <c r="G636" s="50"/>
    </row>
    <row r="637" spans="1:7" ht="14.25" customHeight="1" x14ac:dyDescent="0.35">
      <c r="A637" s="48"/>
      <c r="B637" s="49"/>
      <c r="F637" s="50"/>
      <c r="G637" s="50"/>
    </row>
    <row r="638" spans="1:7" ht="14.25" customHeight="1" x14ac:dyDescent="0.35">
      <c r="A638" s="48"/>
      <c r="B638" s="49"/>
      <c r="F638" s="50"/>
      <c r="G638" s="50"/>
    </row>
    <row r="639" spans="1:7" ht="14.25" customHeight="1" x14ac:dyDescent="0.35">
      <c r="A639" s="48"/>
      <c r="B639" s="49"/>
      <c r="F639" s="50"/>
      <c r="G639" s="50"/>
    </row>
    <row r="640" spans="1:7" ht="14.25" customHeight="1" x14ac:dyDescent="0.35">
      <c r="A640" s="48"/>
      <c r="B640" s="49"/>
      <c r="F640" s="50"/>
      <c r="G640" s="50"/>
    </row>
    <row r="641" spans="1:7" ht="14.25" customHeight="1" x14ac:dyDescent="0.35">
      <c r="A641" s="48"/>
      <c r="B641" s="49"/>
      <c r="F641" s="50"/>
      <c r="G641" s="50"/>
    </row>
    <row r="642" spans="1:7" ht="14.25" customHeight="1" x14ac:dyDescent="0.35">
      <c r="A642" s="48"/>
      <c r="B642" s="49"/>
      <c r="F642" s="50"/>
      <c r="G642" s="50"/>
    </row>
    <row r="643" spans="1:7" ht="14.25" customHeight="1" x14ac:dyDescent="0.35">
      <c r="A643" s="48"/>
      <c r="B643" s="49"/>
      <c r="F643" s="50"/>
      <c r="G643" s="50"/>
    </row>
    <row r="644" spans="1:7" ht="14.25" customHeight="1" x14ac:dyDescent="0.35">
      <c r="A644" s="48"/>
      <c r="B644" s="49"/>
      <c r="F644" s="50"/>
      <c r="G644" s="50"/>
    </row>
    <row r="645" spans="1:7" ht="14.25" customHeight="1" x14ac:dyDescent="0.35">
      <c r="A645" s="48"/>
      <c r="B645" s="49"/>
      <c r="F645" s="50"/>
      <c r="G645" s="50"/>
    </row>
    <row r="646" spans="1:7" ht="14.25" customHeight="1" x14ac:dyDescent="0.35">
      <c r="A646" s="48"/>
      <c r="B646" s="49"/>
      <c r="F646" s="50"/>
      <c r="G646" s="50"/>
    </row>
    <row r="647" spans="1:7" ht="14.25" customHeight="1" x14ac:dyDescent="0.35">
      <c r="A647" s="48"/>
      <c r="B647" s="49"/>
      <c r="F647" s="50"/>
      <c r="G647" s="50"/>
    </row>
    <row r="648" spans="1:7" ht="14.25" customHeight="1" x14ac:dyDescent="0.35">
      <c r="A648" s="48"/>
      <c r="B648" s="49"/>
      <c r="F648" s="50"/>
      <c r="G648" s="50"/>
    </row>
    <row r="649" spans="1:7" ht="14.25" customHeight="1" x14ac:dyDescent="0.35">
      <c r="A649" s="48"/>
      <c r="B649" s="49"/>
      <c r="F649" s="50"/>
      <c r="G649" s="50"/>
    </row>
    <row r="650" spans="1:7" ht="14.25" customHeight="1" x14ac:dyDescent="0.35">
      <c r="A650" s="48"/>
      <c r="B650" s="49"/>
      <c r="F650" s="50"/>
      <c r="G650" s="50"/>
    </row>
    <row r="651" spans="1:7" ht="14.25" customHeight="1" x14ac:dyDescent="0.35">
      <c r="A651" s="48"/>
      <c r="B651" s="49"/>
      <c r="F651" s="50"/>
      <c r="G651" s="50"/>
    </row>
    <row r="652" spans="1:7" ht="14.25" customHeight="1" x14ac:dyDescent="0.35">
      <c r="A652" s="48"/>
      <c r="B652" s="49"/>
      <c r="F652" s="50"/>
      <c r="G652" s="50"/>
    </row>
    <row r="653" spans="1:7" ht="14.25" customHeight="1" x14ac:dyDescent="0.35">
      <c r="A653" s="48"/>
      <c r="B653" s="49"/>
      <c r="F653" s="50"/>
      <c r="G653" s="50"/>
    </row>
    <row r="654" spans="1:7" ht="14.25" customHeight="1" x14ac:dyDescent="0.35">
      <c r="A654" s="48"/>
      <c r="B654" s="49"/>
      <c r="F654" s="50"/>
      <c r="G654" s="50"/>
    </row>
    <row r="655" spans="1:7" ht="14.25" customHeight="1" x14ac:dyDescent="0.35">
      <c r="A655" s="48"/>
      <c r="B655" s="49"/>
      <c r="F655" s="50"/>
      <c r="G655" s="50"/>
    </row>
    <row r="656" spans="1:7" ht="14.25" customHeight="1" x14ac:dyDescent="0.35">
      <c r="A656" s="48"/>
      <c r="B656" s="49"/>
      <c r="F656" s="50"/>
      <c r="G656" s="50"/>
    </row>
    <row r="657" spans="1:7" ht="14.25" customHeight="1" x14ac:dyDescent="0.35">
      <c r="A657" s="48"/>
      <c r="B657" s="49"/>
      <c r="F657" s="50"/>
      <c r="G657" s="50"/>
    </row>
    <row r="658" spans="1:7" ht="14.25" customHeight="1" x14ac:dyDescent="0.35">
      <c r="A658" s="48"/>
      <c r="B658" s="49"/>
      <c r="F658" s="50"/>
      <c r="G658" s="50"/>
    </row>
    <row r="659" spans="1:7" ht="14.25" customHeight="1" x14ac:dyDescent="0.35">
      <c r="A659" s="48"/>
      <c r="B659" s="49"/>
      <c r="F659" s="50"/>
      <c r="G659" s="50"/>
    </row>
    <row r="660" spans="1:7" ht="14.25" customHeight="1" x14ac:dyDescent="0.35">
      <c r="A660" s="48"/>
      <c r="B660" s="49"/>
      <c r="F660" s="50"/>
      <c r="G660" s="50"/>
    </row>
    <row r="661" spans="1:7" ht="14.25" customHeight="1" x14ac:dyDescent="0.35">
      <c r="A661" s="48"/>
      <c r="B661" s="49"/>
      <c r="F661" s="50"/>
      <c r="G661" s="50"/>
    </row>
    <row r="662" spans="1:7" ht="14.25" customHeight="1" x14ac:dyDescent="0.35">
      <c r="A662" s="48"/>
      <c r="B662" s="49"/>
      <c r="F662" s="50"/>
      <c r="G662" s="50"/>
    </row>
    <row r="663" spans="1:7" ht="14.25" customHeight="1" x14ac:dyDescent="0.35">
      <c r="A663" s="48"/>
      <c r="B663" s="49"/>
      <c r="F663" s="50"/>
      <c r="G663" s="50"/>
    </row>
    <row r="664" spans="1:7" ht="14.25" customHeight="1" x14ac:dyDescent="0.35">
      <c r="A664" s="48"/>
      <c r="B664" s="49"/>
      <c r="F664" s="50"/>
      <c r="G664" s="50"/>
    </row>
    <row r="665" spans="1:7" ht="14.25" customHeight="1" x14ac:dyDescent="0.35">
      <c r="A665" s="48"/>
      <c r="B665" s="49"/>
      <c r="F665" s="50"/>
      <c r="G665" s="50"/>
    </row>
    <row r="666" spans="1:7" ht="14.25" customHeight="1" x14ac:dyDescent="0.35">
      <c r="A666" s="48"/>
      <c r="B666" s="49"/>
      <c r="F666" s="50"/>
      <c r="G666" s="50"/>
    </row>
    <row r="667" spans="1:7" ht="14.25" customHeight="1" x14ac:dyDescent="0.35">
      <c r="A667" s="48"/>
      <c r="B667" s="49"/>
      <c r="F667" s="50"/>
      <c r="G667" s="50"/>
    </row>
    <row r="668" spans="1:7" ht="14.25" customHeight="1" x14ac:dyDescent="0.35">
      <c r="A668" s="48"/>
      <c r="B668" s="49"/>
      <c r="F668" s="50"/>
      <c r="G668" s="50"/>
    </row>
    <row r="669" spans="1:7" ht="14.25" customHeight="1" x14ac:dyDescent="0.35">
      <c r="A669" s="48"/>
      <c r="B669" s="49"/>
      <c r="F669" s="50"/>
      <c r="G669" s="50"/>
    </row>
    <row r="670" spans="1:7" ht="14.25" customHeight="1" x14ac:dyDescent="0.35">
      <c r="A670" s="48"/>
      <c r="B670" s="49"/>
      <c r="F670" s="50"/>
      <c r="G670" s="50"/>
    </row>
    <row r="671" spans="1:7" ht="14.25" customHeight="1" x14ac:dyDescent="0.35">
      <c r="A671" s="48"/>
      <c r="B671" s="49"/>
      <c r="F671" s="50"/>
      <c r="G671" s="50"/>
    </row>
    <row r="672" spans="1:7" ht="14.25" customHeight="1" x14ac:dyDescent="0.35">
      <c r="A672" s="48"/>
      <c r="B672" s="49"/>
      <c r="F672" s="50"/>
      <c r="G672" s="50"/>
    </row>
    <row r="673" spans="1:7" ht="14.25" customHeight="1" x14ac:dyDescent="0.35">
      <c r="A673" s="48"/>
      <c r="B673" s="49"/>
      <c r="F673" s="50"/>
      <c r="G673" s="50"/>
    </row>
    <row r="674" spans="1:7" ht="14.25" customHeight="1" x14ac:dyDescent="0.35">
      <c r="A674" s="48"/>
      <c r="B674" s="49"/>
      <c r="F674" s="50"/>
      <c r="G674" s="50"/>
    </row>
    <row r="675" spans="1:7" ht="14.25" customHeight="1" x14ac:dyDescent="0.35">
      <c r="A675" s="48"/>
      <c r="B675" s="49"/>
      <c r="F675" s="50"/>
      <c r="G675" s="50"/>
    </row>
    <row r="676" spans="1:7" ht="14.25" customHeight="1" x14ac:dyDescent="0.35">
      <c r="A676" s="48"/>
      <c r="B676" s="49"/>
      <c r="F676" s="50"/>
      <c r="G676" s="50"/>
    </row>
    <row r="677" spans="1:7" ht="14.25" customHeight="1" x14ac:dyDescent="0.35">
      <c r="A677" s="48"/>
      <c r="B677" s="49"/>
      <c r="F677" s="50"/>
      <c r="G677" s="50"/>
    </row>
    <row r="678" spans="1:7" ht="14.25" customHeight="1" x14ac:dyDescent="0.35">
      <c r="A678" s="48"/>
      <c r="B678" s="49"/>
      <c r="F678" s="50"/>
      <c r="G678" s="50"/>
    </row>
    <row r="679" spans="1:7" ht="14.25" customHeight="1" x14ac:dyDescent="0.35">
      <c r="A679" s="48"/>
      <c r="B679" s="49"/>
      <c r="F679" s="50"/>
      <c r="G679" s="50"/>
    </row>
    <row r="680" spans="1:7" ht="14.25" customHeight="1" x14ac:dyDescent="0.35">
      <c r="A680" s="48"/>
      <c r="B680" s="49"/>
      <c r="F680" s="50"/>
      <c r="G680" s="50"/>
    </row>
    <row r="681" spans="1:7" ht="14.25" customHeight="1" x14ac:dyDescent="0.35">
      <c r="A681" s="48"/>
      <c r="B681" s="49"/>
      <c r="F681" s="50"/>
      <c r="G681" s="50"/>
    </row>
    <row r="682" spans="1:7" ht="14.25" customHeight="1" x14ac:dyDescent="0.35">
      <c r="A682" s="48"/>
      <c r="B682" s="49"/>
      <c r="F682" s="50"/>
      <c r="G682" s="50"/>
    </row>
    <row r="683" spans="1:7" ht="14.25" customHeight="1" x14ac:dyDescent="0.35">
      <c r="A683" s="48"/>
      <c r="B683" s="49"/>
      <c r="F683" s="50"/>
      <c r="G683" s="50"/>
    </row>
    <row r="684" spans="1:7" ht="14.25" customHeight="1" x14ac:dyDescent="0.35">
      <c r="A684" s="48"/>
      <c r="B684" s="49"/>
      <c r="F684" s="50"/>
      <c r="G684" s="50"/>
    </row>
    <row r="685" spans="1:7" ht="14.25" customHeight="1" x14ac:dyDescent="0.35">
      <c r="A685" s="48"/>
      <c r="B685" s="49"/>
      <c r="F685" s="50"/>
      <c r="G685" s="50"/>
    </row>
    <row r="686" spans="1:7" ht="14.25" customHeight="1" x14ac:dyDescent="0.35">
      <c r="A686" s="48"/>
      <c r="B686" s="49"/>
      <c r="F686" s="50"/>
      <c r="G686" s="50"/>
    </row>
    <row r="687" spans="1:7" ht="14.25" customHeight="1" x14ac:dyDescent="0.35">
      <c r="A687" s="48"/>
      <c r="B687" s="49"/>
      <c r="F687" s="50"/>
      <c r="G687" s="50"/>
    </row>
    <row r="688" spans="1:7" ht="14.25" customHeight="1" x14ac:dyDescent="0.35">
      <c r="A688" s="48"/>
      <c r="B688" s="49"/>
      <c r="F688" s="50"/>
      <c r="G688" s="50"/>
    </row>
    <row r="689" spans="1:7" ht="14.25" customHeight="1" x14ac:dyDescent="0.35">
      <c r="A689" s="48"/>
      <c r="B689" s="49"/>
      <c r="F689" s="50"/>
      <c r="G689" s="50"/>
    </row>
    <row r="690" spans="1:7" ht="14.25" customHeight="1" x14ac:dyDescent="0.35">
      <c r="A690" s="48"/>
      <c r="B690" s="49"/>
      <c r="F690" s="50"/>
      <c r="G690" s="50"/>
    </row>
    <row r="691" spans="1:7" ht="14.25" customHeight="1" x14ac:dyDescent="0.35">
      <c r="A691" s="48"/>
      <c r="B691" s="49"/>
      <c r="F691" s="50"/>
      <c r="G691" s="50"/>
    </row>
    <row r="692" spans="1:7" ht="14.25" customHeight="1" x14ac:dyDescent="0.35">
      <c r="A692" s="48"/>
      <c r="B692" s="49"/>
      <c r="F692" s="50"/>
      <c r="G692" s="50"/>
    </row>
    <row r="693" spans="1:7" ht="14.25" customHeight="1" x14ac:dyDescent="0.35">
      <c r="A693" s="48"/>
      <c r="B693" s="49"/>
      <c r="F693" s="50"/>
      <c r="G693" s="50"/>
    </row>
    <row r="694" spans="1:7" ht="14.25" customHeight="1" x14ac:dyDescent="0.35">
      <c r="A694" s="48"/>
      <c r="B694" s="49"/>
      <c r="F694" s="50"/>
      <c r="G694" s="50"/>
    </row>
    <row r="695" spans="1:7" ht="14.25" customHeight="1" x14ac:dyDescent="0.35">
      <c r="A695" s="48"/>
      <c r="B695" s="49"/>
      <c r="F695" s="50"/>
      <c r="G695" s="50"/>
    </row>
    <row r="696" spans="1:7" ht="14.25" customHeight="1" x14ac:dyDescent="0.35">
      <c r="A696" s="48"/>
      <c r="B696" s="49"/>
      <c r="F696" s="50"/>
      <c r="G696" s="50"/>
    </row>
    <row r="697" spans="1:7" ht="14.25" customHeight="1" x14ac:dyDescent="0.35">
      <c r="A697" s="48"/>
      <c r="B697" s="49"/>
      <c r="F697" s="50"/>
      <c r="G697" s="50"/>
    </row>
    <row r="698" spans="1:7" ht="14.25" customHeight="1" x14ac:dyDescent="0.35">
      <c r="A698" s="48"/>
      <c r="B698" s="49"/>
      <c r="F698" s="50"/>
      <c r="G698" s="50"/>
    </row>
    <row r="699" spans="1:7" ht="14.25" customHeight="1" x14ac:dyDescent="0.35">
      <c r="A699" s="48"/>
      <c r="B699" s="49"/>
      <c r="F699" s="50"/>
      <c r="G699" s="50"/>
    </row>
    <row r="700" spans="1:7" ht="14.25" customHeight="1" x14ac:dyDescent="0.35">
      <c r="A700" s="48"/>
      <c r="B700" s="49"/>
      <c r="F700" s="50"/>
      <c r="G700" s="50"/>
    </row>
    <row r="701" spans="1:7" ht="14.25" customHeight="1" x14ac:dyDescent="0.35">
      <c r="A701" s="48"/>
      <c r="B701" s="49"/>
      <c r="F701" s="50"/>
      <c r="G701" s="50"/>
    </row>
    <row r="702" spans="1:7" ht="14.25" customHeight="1" x14ac:dyDescent="0.35">
      <c r="A702" s="48"/>
      <c r="B702" s="49"/>
      <c r="F702" s="50"/>
      <c r="G702" s="50"/>
    </row>
    <row r="703" spans="1:7" ht="14.25" customHeight="1" x14ac:dyDescent="0.35">
      <c r="A703" s="48"/>
      <c r="B703" s="49"/>
      <c r="F703" s="50"/>
      <c r="G703" s="50"/>
    </row>
    <row r="704" spans="1:7" ht="14.25" customHeight="1" x14ac:dyDescent="0.35">
      <c r="A704" s="48"/>
      <c r="B704" s="49"/>
      <c r="F704" s="50"/>
      <c r="G704" s="50"/>
    </row>
    <row r="705" spans="1:7" ht="14.25" customHeight="1" x14ac:dyDescent="0.35">
      <c r="A705" s="48"/>
      <c r="B705" s="49"/>
      <c r="F705" s="50"/>
      <c r="G705" s="50"/>
    </row>
    <row r="706" spans="1:7" ht="14.25" customHeight="1" x14ac:dyDescent="0.35">
      <c r="A706" s="48"/>
      <c r="B706" s="49"/>
      <c r="F706" s="50"/>
      <c r="G706" s="50"/>
    </row>
    <row r="707" spans="1:7" ht="14.25" customHeight="1" x14ac:dyDescent="0.35">
      <c r="A707" s="48"/>
      <c r="B707" s="49"/>
      <c r="F707" s="50"/>
      <c r="G707" s="50"/>
    </row>
    <row r="708" spans="1:7" ht="14.25" customHeight="1" x14ac:dyDescent="0.35">
      <c r="A708" s="48"/>
      <c r="B708" s="49"/>
      <c r="F708" s="50"/>
      <c r="G708" s="50"/>
    </row>
    <row r="709" spans="1:7" ht="14.25" customHeight="1" x14ac:dyDescent="0.35">
      <c r="A709" s="48"/>
      <c r="B709" s="49"/>
      <c r="F709" s="50"/>
      <c r="G709" s="50"/>
    </row>
    <row r="710" spans="1:7" ht="14.25" customHeight="1" x14ac:dyDescent="0.35">
      <c r="A710" s="48"/>
      <c r="B710" s="49"/>
      <c r="F710" s="50"/>
      <c r="G710" s="50"/>
    </row>
    <row r="711" spans="1:7" ht="14.25" customHeight="1" x14ac:dyDescent="0.35">
      <c r="A711" s="48"/>
      <c r="B711" s="49"/>
      <c r="F711" s="50"/>
      <c r="G711" s="50"/>
    </row>
    <row r="712" spans="1:7" ht="14.25" customHeight="1" x14ac:dyDescent="0.35">
      <c r="A712" s="48"/>
      <c r="B712" s="49"/>
      <c r="F712" s="50"/>
      <c r="G712" s="50"/>
    </row>
    <row r="713" spans="1:7" ht="14.25" customHeight="1" x14ac:dyDescent="0.35">
      <c r="A713" s="48"/>
      <c r="B713" s="49"/>
      <c r="F713" s="50"/>
      <c r="G713" s="50"/>
    </row>
    <row r="714" spans="1:7" ht="14.25" customHeight="1" x14ac:dyDescent="0.35">
      <c r="A714" s="48"/>
      <c r="B714" s="49"/>
      <c r="F714" s="50"/>
      <c r="G714" s="50"/>
    </row>
    <row r="715" spans="1:7" ht="14.25" customHeight="1" x14ac:dyDescent="0.35">
      <c r="A715" s="48"/>
      <c r="B715" s="49"/>
      <c r="F715" s="50"/>
      <c r="G715" s="50"/>
    </row>
    <row r="716" spans="1:7" ht="14.25" customHeight="1" x14ac:dyDescent="0.35">
      <c r="A716" s="48"/>
      <c r="B716" s="49"/>
      <c r="F716" s="50"/>
      <c r="G716" s="50"/>
    </row>
    <row r="717" spans="1:7" ht="14.25" customHeight="1" x14ac:dyDescent="0.35">
      <c r="A717" s="48"/>
      <c r="B717" s="49"/>
      <c r="F717" s="50"/>
      <c r="G717" s="50"/>
    </row>
    <row r="718" spans="1:7" ht="14.25" customHeight="1" x14ac:dyDescent="0.35">
      <c r="A718" s="48"/>
      <c r="B718" s="49"/>
      <c r="F718" s="50"/>
      <c r="G718" s="50"/>
    </row>
    <row r="719" spans="1:7" ht="14.25" customHeight="1" x14ac:dyDescent="0.35">
      <c r="A719" s="48"/>
      <c r="B719" s="49"/>
      <c r="F719" s="50"/>
      <c r="G719" s="50"/>
    </row>
    <row r="720" spans="1:7" ht="14.25" customHeight="1" x14ac:dyDescent="0.35">
      <c r="A720" s="48"/>
      <c r="B720" s="49"/>
      <c r="F720" s="50"/>
      <c r="G720" s="50"/>
    </row>
    <row r="721" spans="1:7" ht="14.25" customHeight="1" x14ac:dyDescent="0.35">
      <c r="A721" s="48"/>
      <c r="B721" s="49"/>
      <c r="F721" s="50"/>
      <c r="G721" s="50"/>
    </row>
    <row r="722" spans="1:7" ht="14.25" customHeight="1" x14ac:dyDescent="0.35">
      <c r="A722" s="48"/>
      <c r="B722" s="49"/>
      <c r="F722" s="50"/>
      <c r="G722" s="50"/>
    </row>
    <row r="723" spans="1:7" ht="14.25" customHeight="1" x14ac:dyDescent="0.35">
      <c r="A723" s="48"/>
      <c r="B723" s="49"/>
      <c r="F723" s="50"/>
      <c r="G723" s="50"/>
    </row>
    <row r="724" spans="1:7" ht="14.25" customHeight="1" x14ac:dyDescent="0.35">
      <c r="A724" s="48"/>
      <c r="B724" s="49"/>
      <c r="F724" s="50"/>
      <c r="G724" s="50"/>
    </row>
    <row r="725" spans="1:7" ht="14.25" customHeight="1" x14ac:dyDescent="0.35">
      <c r="A725" s="48"/>
      <c r="B725" s="49"/>
      <c r="F725" s="50"/>
      <c r="G725" s="50"/>
    </row>
    <row r="726" spans="1:7" ht="14.25" customHeight="1" x14ac:dyDescent="0.35">
      <c r="A726" s="48"/>
      <c r="B726" s="49"/>
      <c r="F726" s="50"/>
      <c r="G726" s="50"/>
    </row>
    <row r="727" spans="1:7" ht="14.25" customHeight="1" x14ac:dyDescent="0.35">
      <c r="A727" s="48"/>
      <c r="B727" s="49"/>
      <c r="F727" s="50"/>
      <c r="G727" s="50"/>
    </row>
    <row r="728" spans="1:7" ht="14.25" customHeight="1" x14ac:dyDescent="0.35">
      <c r="A728" s="48"/>
      <c r="B728" s="49"/>
      <c r="F728" s="50"/>
      <c r="G728" s="50"/>
    </row>
    <row r="729" spans="1:7" ht="14.25" customHeight="1" x14ac:dyDescent="0.35">
      <c r="A729" s="48"/>
      <c r="B729" s="49"/>
      <c r="F729" s="50"/>
      <c r="G729" s="50"/>
    </row>
    <row r="730" spans="1:7" ht="14.25" customHeight="1" x14ac:dyDescent="0.35">
      <c r="A730" s="48"/>
      <c r="B730" s="49"/>
      <c r="F730" s="50"/>
      <c r="G730" s="50"/>
    </row>
    <row r="731" spans="1:7" ht="14.25" customHeight="1" x14ac:dyDescent="0.35">
      <c r="A731" s="48"/>
      <c r="B731" s="49"/>
      <c r="F731" s="50"/>
      <c r="G731" s="50"/>
    </row>
    <row r="732" spans="1:7" ht="14.25" customHeight="1" x14ac:dyDescent="0.35">
      <c r="A732" s="48"/>
      <c r="B732" s="49"/>
      <c r="F732" s="50"/>
      <c r="G732" s="50"/>
    </row>
    <row r="733" spans="1:7" ht="14.25" customHeight="1" x14ac:dyDescent="0.35">
      <c r="A733" s="48"/>
      <c r="B733" s="49"/>
      <c r="F733" s="50"/>
      <c r="G733" s="50"/>
    </row>
    <row r="734" spans="1:7" ht="14.25" customHeight="1" x14ac:dyDescent="0.35">
      <c r="A734" s="48"/>
      <c r="B734" s="49"/>
      <c r="F734" s="50"/>
      <c r="G734" s="50"/>
    </row>
    <row r="735" spans="1:7" ht="14.25" customHeight="1" x14ac:dyDescent="0.35">
      <c r="A735" s="48"/>
      <c r="B735" s="49"/>
      <c r="F735" s="50"/>
      <c r="G735" s="50"/>
    </row>
    <row r="736" spans="1:7" ht="14.25" customHeight="1" x14ac:dyDescent="0.35">
      <c r="A736" s="48"/>
      <c r="B736" s="49"/>
      <c r="F736" s="50"/>
      <c r="G736" s="50"/>
    </row>
    <row r="737" spans="1:7" ht="14.25" customHeight="1" x14ac:dyDescent="0.35">
      <c r="A737" s="48"/>
      <c r="B737" s="49"/>
      <c r="F737" s="50"/>
      <c r="G737" s="50"/>
    </row>
    <row r="738" spans="1:7" ht="14.25" customHeight="1" x14ac:dyDescent="0.35">
      <c r="A738" s="48"/>
      <c r="B738" s="49"/>
      <c r="F738" s="50"/>
      <c r="G738" s="50"/>
    </row>
    <row r="739" spans="1:7" ht="14.25" customHeight="1" x14ac:dyDescent="0.35">
      <c r="A739" s="48"/>
      <c r="B739" s="49"/>
      <c r="F739" s="50"/>
      <c r="G739" s="50"/>
    </row>
    <row r="740" spans="1:7" ht="14.25" customHeight="1" x14ac:dyDescent="0.35">
      <c r="A740" s="48"/>
      <c r="B740" s="49"/>
      <c r="F740" s="50"/>
      <c r="G740" s="50"/>
    </row>
    <row r="741" spans="1:7" ht="14.25" customHeight="1" x14ac:dyDescent="0.35">
      <c r="A741" s="48"/>
      <c r="B741" s="49"/>
      <c r="F741" s="50"/>
      <c r="G741" s="50"/>
    </row>
    <row r="742" spans="1:7" ht="14.25" customHeight="1" x14ac:dyDescent="0.35">
      <c r="A742" s="48"/>
      <c r="B742" s="49"/>
      <c r="F742" s="50"/>
      <c r="G742" s="50"/>
    </row>
    <row r="743" spans="1:7" ht="14.25" customHeight="1" x14ac:dyDescent="0.35">
      <c r="A743" s="48"/>
      <c r="B743" s="49"/>
      <c r="F743" s="50"/>
      <c r="G743" s="50"/>
    </row>
    <row r="744" spans="1:7" ht="14.25" customHeight="1" x14ac:dyDescent="0.35">
      <c r="A744" s="48"/>
      <c r="B744" s="49"/>
      <c r="F744" s="50"/>
      <c r="G744" s="50"/>
    </row>
    <row r="745" spans="1:7" ht="14.25" customHeight="1" x14ac:dyDescent="0.35">
      <c r="A745" s="48"/>
      <c r="B745" s="49"/>
      <c r="F745" s="50"/>
      <c r="G745" s="50"/>
    </row>
    <row r="746" spans="1:7" ht="14.25" customHeight="1" x14ac:dyDescent="0.35">
      <c r="A746" s="48"/>
      <c r="B746" s="49"/>
      <c r="F746" s="50"/>
      <c r="G746" s="50"/>
    </row>
    <row r="747" spans="1:7" ht="14.25" customHeight="1" x14ac:dyDescent="0.35">
      <c r="A747" s="48"/>
      <c r="B747" s="49"/>
      <c r="F747" s="50"/>
      <c r="G747" s="50"/>
    </row>
    <row r="748" spans="1:7" ht="14.25" customHeight="1" x14ac:dyDescent="0.35">
      <c r="A748" s="48"/>
      <c r="B748" s="49"/>
      <c r="F748" s="50"/>
      <c r="G748" s="50"/>
    </row>
    <row r="749" spans="1:7" ht="14.25" customHeight="1" x14ac:dyDescent="0.35">
      <c r="A749" s="48"/>
      <c r="B749" s="49"/>
      <c r="F749" s="50"/>
      <c r="G749" s="50"/>
    </row>
    <row r="750" spans="1:7" ht="14.25" customHeight="1" x14ac:dyDescent="0.35">
      <c r="A750" s="48"/>
      <c r="B750" s="49"/>
      <c r="F750" s="50"/>
      <c r="G750" s="50"/>
    </row>
    <row r="751" spans="1:7" ht="14.25" customHeight="1" x14ac:dyDescent="0.35">
      <c r="A751" s="48"/>
      <c r="B751" s="49"/>
      <c r="F751" s="50"/>
      <c r="G751" s="50"/>
    </row>
    <row r="752" spans="1:7" ht="14.25" customHeight="1" x14ac:dyDescent="0.35">
      <c r="A752" s="48"/>
      <c r="B752" s="49"/>
      <c r="F752" s="50"/>
      <c r="G752" s="50"/>
    </row>
    <row r="753" spans="1:7" ht="14.25" customHeight="1" x14ac:dyDescent="0.35">
      <c r="A753" s="48"/>
      <c r="B753" s="49"/>
      <c r="F753" s="50"/>
      <c r="G753" s="50"/>
    </row>
    <row r="754" spans="1:7" ht="14.25" customHeight="1" x14ac:dyDescent="0.35">
      <c r="A754" s="48"/>
      <c r="B754" s="49"/>
      <c r="F754" s="50"/>
      <c r="G754" s="50"/>
    </row>
    <row r="755" spans="1:7" ht="14.25" customHeight="1" x14ac:dyDescent="0.35">
      <c r="A755" s="48"/>
      <c r="B755" s="49"/>
      <c r="F755" s="50"/>
      <c r="G755" s="50"/>
    </row>
    <row r="756" spans="1:7" ht="14.25" customHeight="1" x14ac:dyDescent="0.35">
      <c r="A756" s="48"/>
      <c r="B756" s="49"/>
      <c r="F756" s="50"/>
      <c r="G756" s="50"/>
    </row>
    <row r="757" spans="1:7" ht="14.25" customHeight="1" x14ac:dyDescent="0.35">
      <c r="A757" s="48"/>
      <c r="B757" s="49"/>
      <c r="F757" s="50"/>
      <c r="G757" s="50"/>
    </row>
    <row r="758" spans="1:7" ht="14.25" customHeight="1" x14ac:dyDescent="0.35">
      <c r="A758" s="48"/>
      <c r="B758" s="49"/>
      <c r="F758" s="50"/>
      <c r="G758" s="50"/>
    </row>
    <row r="759" spans="1:7" ht="14.25" customHeight="1" x14ac:dyDescent="0.35">
      <c r="A759" s="48"/>
      <c r="B759" s="49"/>
      <c r="F759" s="50"/>
      <c r="G759" s="50"/>
    </row>
    <row r="760" spans="1:7" ht="14.25" customHeight="1" x14ac:dyDescent="0.35">
      <c r="A760" s="48"/>
      <c r="B760" s="49"/>
      <c r="F760" s="50"/>
      <c r="G760" s="50"/>
    </row>
    <row r="761" spans="1:7" ht="14.25" customHeight="1" x14ac:dyDescent="0.35">
      <c r="A761" s="48"/>
      <c r="B761" s="49"/>
      <c r="F761" s="50"/>
      <c r="G761" s="50"/>
    </row>
    <row r="762" spans="1:7" ht="14.25" customHeight="1" x14ac:dyDescent="0.35">
      <c r="A762" s="48"/>
      <c r="B762" s="49"/>
      <c r="F762" s="50"/>
      <c r="G762" s="50"/>
    </row>
    <row r="763" spans="1:7" ht="14.25" customHeight="1" x14ac:dyDescent="0.35">
      <c r="A763" s="48"/>
      <c r="B763" s="49"/>
      <c r="F763" s="50"/>
      <c r="G763" s="50"/>
    </row>
    <row r="764" spans="1:7" ht="14.25" customHeight="1" x14ac:dyDescent="0.35">
      <c r="A764" s="48"/>
      <c r="B764" s="49"/>
      <c r="F764" s="50"/>
      <c r="G764" s="50"/>
    </row>
    <row r="765" spans="1:7" ht="14.25" customHeight="1" x14ac:dyDescent="0.35">
      <c r="A765" s="48"/>
      <c r="B765" s="49"/>
      <c r="F765" s="50"/>
      <c r="G765" s="50"/>
    </row>
    <row r="766" spans="1:7" ht="14.25" customHeight="1" x14ac:dyDescent="0.35">
      <c r="A766" s="48"/>
      <c r="B766" s="49"/>
      <c r="F766" s="50"/>
      <c r="G766" s="50"/>
    </row>
    <row r="767" spans="1:7" ht="14.25" customHeight="1" x14ac:dyDescent="0.35">
      <c r="A767" s="48"/>
      <c r="B767" s="49"/>
      <c r="F767" s="50"/>
      <c r="G767" s="50"/>
    </row>
    <row r="768" spans="1:7" ht="14.25" customHeight="1" x14ac:dyDescent="0.35">
      <c r="A768" s="48"/>
      <c r="B768" s="49"/>
      <c r="F768" s="50"/>
      <c r="G768" s="50"/>
    </row>
    <row r="769" spans="1:7" ht="14.25" customHeight="1" x14ac:dyDescent="0.35">
      <c r="A769" s="48"/>
      <c r="B769" s="49"/>
      <c r="F769" s="50"/>
      <c r="G769" s="50"/>
    </row>
    <row r="770" spans="1:7" ht="14.25" customHeight="1" x14ac:dyDescent="0.35">
      <c r="A770" s="48"/>
      <c r="B770" s="49"/>
      <c r="F770" s="50"/>
      <c r="G770" s="50"/>
    </row>
    <row r="771" spans="1:7" ht="14.25" customHeight="1" x14ac:dyDescent="0.35">
      <c r="A771" s="48"/>
      <c r="B771" s="49"/>
      <c r="F771" s="50"/>
      <c r="G771" s="50"/>
    </row>
    <row r="772" spans="1:7" ht="14.25" customHeight="1" x14ac:dyDescent="0.35">
      <c r="A772" s="48"/>
      <c r="B772" s="49"/>
      <c r="F772" s="50"/>
      <c r="G772" s="50"/>
    </row>
    <row r="773" spans="1:7" ht="14.25" customHeight="1" x14ac:dyDescent="0.35">
      <c r="A773" s="48"/>
      <c r="B773" s="49"/>
      <c r="F773" s="50"/>
      <c r="G773" s="50"/>
    </row>
    <row r="774" spans="1:7" ht="14.25" customHeight="1" x14ac:dyDescent="0.35">
      <c r="A774" s="48"/>
      <c r="B774" s="49"/>
      <c r="F774" s="50"/>
      <c r="G774" s="50"/>
    </row>
    <row r="775" spans="1:7" ht="14.25" customHeight="1" x14ac:dyDescent="0.35">
      <c r="A775" s="48"/>
      <c r="B775" s="49"/>
      <c r="F775" s="50"/>
      <c r="G775" s="50"/>
    </row>
    <row r="776" spans="1:7" ht="14.25" customHeight="1" x14ac:dyDescent="0.35">
      <c r="A776" s="48"/>
      <c r="B776" s="49"/>
      <c r="F776" s="50"/>
      <c r="G776" s="50"/>
    </row>
    <row r="777" spans="1:7" ht="14.25" customHeight="1" x14ac:dyDescent="0.35">
      <c r="A777" s="48"/>
      <c r="B777" s="49"/>
      <c r="F777" s="50"/>
      <c r="G777" s="50"/>
    </row>
    <row r="778" spans="1:7" ht="14.25" customHeight="1" x14ac:dyDescent="0.35">
      <c r="A778" s="48"/>
      <c r="B778" s="49"/>
      <c r="F778" s="50"/>
      <c r="G778" s="50"/>
    </row>
    <row r="779" spans="1:7" ht="14.25" customHeight="1" x14ac:dyDescent="0.35">
      <c r="A779" s="48"/>
      <c r="B779" s="49"/>
      <c r="F779" s="50"/>
      <c r="G779" s="50"/>
    </row>
    <row r="780" spans="1:7" ht="14.25" customHeight="1" x14ac:dyDescent="0.35">
      <c r="A780" s="48"/>
      <c r="B780" s="49"/>
      <c r="F780" s="50"/>
      <c r="G780" s="50"/>
    </row>
    <row r="781" spans="1:7" ht="14.25" customHeight="1" x14ac:dyDescent="0.35">
      <c r="A781" s="48"/>
      <c r="B781" s="49"/>
      <c r="F781" s="50"/>
      <c r="G781" s="50"/>
    </row>
    <row r="782" spans="1:7" ht="14.25" customHeight="1" x14ac:dyDescent="0.35">
      <c r="A782" s="48"/>
      <c r="B782" s="49"/>
      <c r="F782" s="50"/>
      <c r="G782" s="50"/>
    </row>
    <row r="783" spans="1:7" ht="14.25" customHeight="1" x14ac:dyDescent="0.35">
      <c r="A783" s="48"/>
      <c r="B783" s="49"/>
      <c r="F783" s="50"/>
      <c r="G783" s="50"/>
    </row>
    <row r="784" spans="1:7" ht="14.25" customHeight="1" x14ac:dyDescent="0.35">
      <c r="A784" s="48"/>
      <c r="B784" s="49"/>
      <c r="F784" s="50"/>
      <c r="G784" s="50"/>
    </row>
    <row r="785" spans="1:7" ht="14.25" customHeight="1" x14ac:dyDescent="0.35">
      <c r="A785" s="48"/>
      <c r="B785" s="49"/>
      <c r="F785" s="50"/>
      <c r="G785" s="50"/>
    </row>
    <row r="786" spans="1:7" ht="14.25" customHeight="1" x14ac:dyDescent="0.35">
      <c r="A786" s="48"/>
      <c r="B786" s="49"/>
      <c r="F786" s="50"/>
      <c r="G786" s="50"/>
    </row>
    <row r="787" spans="1:7" ht="14.25" customHeight="1" x14ac:dyDescent="0.35">
      <c r="A787" s="48"/>
      <c r="B787" s="49"/>
      <c r="F787" s="50"/>
      <c r="G787" s="50"/>
    </row>
    <row r="788" spans="1:7" ht="14.25" customHeight="1" x14ac:dyDescent="0.35">
      <c r="A788" s="48"/>
      <c r="B788" s="49"/>
      <c r="F788" s="50"/>
      <c r="G788" s="50"/>
    </row>
    <row r="789" spans="1:7" ht="14.25" customHeight="1" x14ac:dyDescent="0.35">
      <c r="A789" s="48"/>
      <c r="B789" s="49"/>
      <c r="F789" s="50"/>
      <c r="G789" s="50"/>
    </row>
    <row r="790" spans="1:7" ht="14.25" customHeight="1" x14ac:dyDescent="0.35">
      <c r="A790" s="48"/>
      <c r="B790" s="49"/>
      <c r="F790" s="50"/>
      <c r="G790" s="50"/>
    </row>
    <row r="791" spans="1:7" ht="14.25" customHeight="1" x14ac:dyDescent="0.35">
      <c r="A791" s="48"/>
      <c r="B791" s="49"/>
      <c r="F791" s="50"/>
      <c r="G791" s="50"/>
    </row>
    <row r="792" spans="1:7" ht="14.25" customHeight="1" x14ac:dyDescent="0.35">
      <c r="A792" s="48"/>
      <c r="B792" s="49"/>
      <c r="F792" s="50"/>
      <c r="G792" s="50"/>
    </row>
    <row r="793" spans="1:7" ht="14.25" customHeight="1" x14ac:dyDescent="0.35">
      <c r="A793" s="48"/>
      <c r="B793" s="49"/>
      <c r="F793" s="50"/>
      <c r="G793" s="50"/>
    </row>
    <row r="794" spans="1:7" ht="14.25" customHeight="1" x14ac:dyDescent="0.35">
      <c r="A794" s="48"/>
      <c r="B794" s="49"/>
      <c r="F794" s="50"/>
      <c r="G794" s="50"/>
    </row>
    <row r="795" spans="1:7" ht="14.25" customHeight="1" x14ac:dyDescent="0.35">
      <c r="A795" s="48"/>
      <c r="B795" s="49"/>
      <c r="F795" s="50"/>
      <c r="G795" s="50"/>
    </row>
    <row r="796" spans="1:7" ht="14.25" customHeight="1" x14ac:dyDescent="0.35">
      <c r="A796" s="48"/>
      <c r="B796" s="49"/>
      <c r="F796" s="50"/>
      <c r="G796" s="50"/>
    </row>
    <row r="797" spans="1:7" ht="14.25" customHeight="1" x14ac:dyDescent="0.35">
      <c r="A797" s="48"/>
      <c r="B797" s="49"/>
      <c r="F797" s="50"/>
      <c r="G797" s="50"/>
    </row>
    <row r="798" spans="1:7" ht="14.25" customHeight="1" x14ac:dyDescent="0.35">
      <c r="A798" s="48"/>
      <c r="B798" s="49"/>
      <c r="F798" s="50"/>
      <c r="G798" s="50"/>
    </row>
    <row r="799" spans="1:7" ht="14.25" customHeight="1" x14ac:dyDescent="0.35">
      <c r="A799" s="48"/>
      <c r="B799" s="49"/>
      <c r="F799" s="50"/>
      <c r="G799" s="50"/>
    </row>
    <row r="800" spans="1:7" ht="14.25" customHeight="1" x14ac:dyDescent="0.35">
      <c r="A800" s="48"/>
      <c r="B800" s="49"/>
      <c r="F800" s="50"/>
      <c r="G800" s="50"/>
    </row>
    <row r="801" spans="1:7" ht="14.25" customHeight="1" x14ac:dyDescent="0.35">
      <c r="A801" s="48"/>
      <c r="B801" s="49"/>
      <c r="F801" s="50"/>
      <c r="G801" s="50"/>
    </row>
    <row r="802" spans="1:7" ht="14.25" customHeight="1" x14ac:dyDescent="0.35">
      <c r="A802" s="48"/>
      <c r="B802" s="49"/>
      <c r="F802" s="50"/>
      <c r="G802" s="50"/>
    </row>
    <row r="803" spans="1:7" ht="14.25" customHeight="1" x14ac:dyDescent="0.35">
      <c r="A803" s="48"/>
      <c r="B803" s="49"/>
      <c r="F803" s="50"/>
      <c r="G803" s="50"/>
    </row>
    <row r="804" spans="1:7" ht="14.25" customHeight="1" x14ac:dyDescent="0.35">
      <c r="A804" s="48"/>
      <c r="B804" s="49"/>
      <c r="F804" s="50"/>
      <c r="G804" s="50"/>
    </row>
    <row r="805" spans="1:7" ht="14.25" customHeight="1" x14ac:dyDescent="0.35">
      <c r="A805" s="48"/>
      <c r="B805" s="49"/>
      <c r="F805" s="50"/>
      <c r="G805" s="50"/>
    </row>
    <row r="806" spans="1:7" ht="14.25" customHeight="1" x14ac:dyDescent="0.35">
      <c r="A806" s="48"/>
      <c r="B806" s="49"/>
      <c r="F806" s="50"/>
      <c r="G806" s="50"/>
    </row>
    <row r="807" spans="1:7" ht="14.25" customHeight="1" x14ac:dyDescent="0.35">
      <c r="A807" s="48"/>
      <c r="B807" s="49"/>
      <c r="F807" s="50"/>
      <c r="G807" s="50"/>
    </row>
    <row r="808" spans="1:7" ht="14.25" customHeight="1" x14ac:dyDescent="0.35">
      <c r="A808" s="48"/>
      <c r="B808" s="49"/>
      <c r="F808" s="50"/>
      <c r="G808" s="50"/>
    </row>
    <row r="809" spans="1:7" ht="14.25" customHeight="1" x14ac:dyDescent="0.35">
      <c r="A809" s="48"/>
      <c r="B809" s="49"/>
      <c r="F809" s="50"/>
      <c r="G809" s="50"/>
    </row>
    <row r="810" spans="1:7" ht="14.25" customHeight="1" x14ac:dyDescent="0.35">
      <c r="A810" s="48"/>
      <c r="B810" s="49"/>
      <c r="F810" s="50"/>
      <c r="G810" s="50"/>
    </row>
    <row r="811" spans="1:7" ht="14.25" customHeight="1" x14ac:dyDescent="0.35">
      <c r="A811" s="48"/>
      <c r="B811" s="49"/>
      <c r="F811" s="50"/>
      <c r="G811" s="50"/>
    </row>
    <row r="812" spans="1:7" ht="14.25" customHeight="1" x14ac:dyDescent="0.35">
      <c r="A812" s="48"/>
      <c r="B812" s="49"/>
      <c r="F812" s="50"/>
      <c r="G812" s="50"/>
    </row>
    <row r="813" spans="1:7" ht="14.25" customHeight="1" x14ac:dyDescent="0.35">
      <c r="A813" s="48"/>
      <c r="B813" s="49"/>
      <c r="F813" s="50"/>
      <c r="G813" s="50"/>
    </row>
    <row r="814" spans="1:7" ht="14.25" customHeight="1" x14ac:dyDescent="0.35">
      <c r="A814" s="48"/>
      <c r="B814" s="49"/>
      <c r="F814" s="50"/>
      <c r="G814" s="50"/>
    </row>
    <row r="815" spans="1:7" ht="14.25" customHeight="1" x14ac:dyDescent="0.35">
      <c r="A815" s="48"/>
      <c r="B815" s="49"/>
      <c r="F815" s="50"/>
      <c r="G815" s="50"/>
    </row>
    <row r="816" spans="1:7" ht="14.25" customHeight="1" x14ac:dyDescent="0.35">
      <c r="A816" s="48"/>
      <c r="B816" s="49"/>
      <c r="F816" s="50"/>
      <c r="G816" s="50"/>
    </row>
    <row r="817" spans="1:7" ht="14.25" customHeight="1" x14ac:dyDescent="0.35">
      <c r="A817" s="48"/>
      <c r="B817" s="49"/>
      <c r="F817" s="50"/>
      <c r="G817" s="50"/>
    </row>
    <row r="818" spans="1:7" ht="14.25" customHeight="1" x14ac:dyDescent="0.35">
      <c r="A818" s="48"/>
      <c r="B818" s="49"/>
      <c r="F818" s="50"/>
      <c r="G818" s="50"/>
    </row>
    <row r="819" spans="1:7" ht="14.25" customHeight="1" x14ac:dyDescent="0.35">
      <c r="A819" s="48"/>
      <c r="B819" s="49"/>
      <c r="F819" s="50"/>
      <c r="G819" s="50"/>
    </row>
    <row r="820" spans="1:7" ht="14.25" customHeight="1" x14ac:dyDescent="0.35">
      <c r="A820" s="48"/>
      <c r="B820" s="49"/>
      <c r="F820" s="50"/>
      <c r="G820" s="50"/>
    </row>
    <row r="821" spans="1:7" ht="14.25" customHeight="1" x14ac:dyDescent="0.35">
      <c r="A821" s="48"/>
      <c r="B821" s="49"/>
      <c r="F821" s="50"/>
      <c r="G821" s="50"/>
    </row>
    <row r="822" spans="1:7" ht="14.25" customHeight="1" x14ac:dyDescent="0.35">
      <c r="A822" s="48"/>
      <c r="B822" s="49"/>
      <c r="F822" s="50"/>
      <c r="G822" s="50"/>
    </row>
    <row r="823" spans="1:7" ht="14.25" customHeight="1" x14ac:dyDescent="0.35">
      <c r="A823" s="48"/>
      <c r="B823" s="49"/>
      <c r="F823" s="50"/>
      <c r="G823" s="50"/>
    </row>
    <row r="824" spans="1:7" ht="14.25" customHeight="1" x14ac:dyDescent="0.35">
      <c r="A824" s="48"/>
      <c r="B824" s="49"/>
      <c r="F824" s="50"/>
      <c r="G824" s="50"/>
    </row>
    <row r="825" spans="1:7" ht="14.25" customHeight="1" x14ac:dyDescent="0.35">
      <c r="A825" s="48"/>
      <c r="B825" s="49"/>
      <c r="F825" s="50"/>
      <c r="G825" s="50"/>
    </row>
    <row r="826" spans="1:7" ht="14.25" customHeight="1" x14ac:dyDescent="0.35">
      <c r="A826" s="48"/>
      <c r="B826" s="49"/>
      <c r="F826" s="50"/>
      <c r="G826" s="50"/>
    </row>
    <row r="827" spans="1:7" ht="14.25" customHeight="1" x14ac:dyDescent="0.35">
      <c r="A827" s="48"/>
      <c r="B827" s="49"/>
      <c r="F827" s="50"/>
      <c r="G827" s="50"/>
    </row>
    <row r="828" spans="1:7" ht="14.25" customHeight="1" x14ac:dyDescent="0.35">
      <c r="A828" s="48"/>
      <c r="B828" s="49"/>
      <c r="F828" s="50"/>
      <c r="G828" s="50"/>
    </row>
    <row r="829" spans="1:7" ht="14.25" customHeight="1" x14ac:dyDescent="0.35">
      <c r="A829" s="48"/>
      <c r="B829" s="49"/>
      <c r="F829" s="50"/>
      <c r="G829" s="50"/>
    </row>
    <row r="830" spans="1:7" ht="14.25" customHeight="1" x14ac:dyDescent="0.35">
      <c r="A830" s="48"/>
      <c r="B830" s="49"/>
      <c r="F830" s="50"/>
      <c r="G830" s="50"/>
    </row>
    <row r="831" spans="1:7" ht="14.25" customHeight="1" x14ac:dyDescent="0.35">
      <c r="A831" s="48"/>
      <c r="B831" s="49"/>
      <c r="F831" s="50"/>
      <c r="G831" s="50"/>
    </row>
    <row r="832" spans="1:7" ht="14.25" customHeight="1" x14ac:dyDescent="0.35">
      <c r="A832" s="48"/>
      <c r="B832" s="49"/>
      <c r="F832" s="50"/>
      <c r="G832" s="50"/>
    </row>
    <row r="833" spans="1:7" ht="14.25" customHeight="1" x14ac:dyDescent="0.35">
      <c r="A833" s="48"/>
      <c r="B833" s="49"/>
      <c r="F833" s="50"/>
      <c r="G833" s="50"/>
    </row>
    <row r="834" spans="1:7" ht="14.25" customHeight="1" x14ac:dyDescent="0.35">
      <c r="A834" s="48"/>
      <c r="B834" s="49"/>
      <c r="F834" s="50"/>
      <c r="G834" s="50"/>
    </row>
    <row r="835" spans="1:7" ht="14.25" customHeight="1" x14ac:dyDescent="0.35">
      <c r="A835" s="48"/>
      <c r="B835" s="49"/>
      <c r="F835" s="50"/>
      <c r="G835" s="50"/>
    </row>
    <row r="836" spans="1:7" ht="14.25" customHeight="1" x14ac:dyDescent="0.35">
      <c r="A836" s="48"/>
      <c r="B836" s="49"/>
      <c r="F836" s="50"/>
      <c r="G836" s="50"/>
    </row>
    <row r="837" spans="1:7" ht="14.25" customHeight="1" x14ac:dyDescent="0.35">
      <c r="A837" s="48"/>
      <c r="B837" s="49"/>
      <c r="F837" s="50"/>
      <c r="G837" s="50"/>
    </row>
    <row r="838" spans="1:7" ht="14.25" customHeight="1" x14ac:dyDescent="0.35">
      <c r="A838" s="48"/>
      <c r="B838" s="49"/>
      <c r="F838" s="50"/>
      <c r="G838" s="50"/>
    </row>
    <row r="839" spans="1:7" ht="14.25" customHeight="1" x14ac:dyDescent="0.35">
      <c r="A839" s="48"/>
      <c r="B839" s="49"/>
      <c r="F839" s="50"/>
      <c r="G839" s="50"/>
    </row>
    <row r="840" spans="1:7" ht="14.25" customHeight="1" x14ac:dyDescent="0.35">
      <c r="A840" s="48"/>
      <c r="B840" s="49"/>
      <c r="F840" s="50"/>
      <c r="G840" s="50"/>
    </row>
    <row r="841" spans="1:7" ht="14.25" customHeight="1" x14ac:dyDescent="0.35">
      <c r="A841" s="48"/>
      <c r="B841" s="49"/>
      <c r="F841" s="50"/>
      <c r="G841" s="50"/>
    </row>
    <row r="842" spans="1:7" ht="14.25" customHeight="1" x14ac:dyDescent="0.35">
      <c r="A842" s="48"/>
      <c r="B842" s="49"/>
      <c r="F842" s="50"/>
      <c r="G842" s="50"/>
    </row>
    <row r="843" spans="1:7" ht="14.25" customHeight="1" x14ac:dyDescent="0.35">
      <c r="A843" s="48"/>
      <c r="B843" s="49"/>
      <c r="F843" s="50"/>
      <c r="G843" s="50"/>
    </row>
    <row r="844" spans="1:7" ht="14.25" customHeight="1" x14ac:dyDescent="0.35">
      <c r="A844" s="48"/>
      <c r="B844" s="49"/>
      <c r="F844" s="50"/>
      <c r="G844" s="50"/>
    </row>
    <row r="845" spans="1:7" ht="14.25" customHeight="1" x14ac:dyDescent="0.35">
      <c r="A845" s="48"/>
      <c r="B845" s="49"/>
      <c r="F845" s="50"/>
      <c r="G845" s="50"/>
    </row>
    <row r="846" spans="1:7" ht="14.25" customHeight="1" x14ac:dyDescent="0.35">
      <c r="A846" s="48"/>
      <c r="B846" s="49"/>
      <c r="F846" s="50"/>
      <c r="G846" s="50"/>
    </row>
    <row r="847" spans="1:7" ht="14.25" customHeight="1" x14ac:dyDescent="0.35">
      <c r="A847" s="48"/>
      <c r="B847" s="49"/>
      <c r="F847" s="50"/>
      <c r="G847" s="50"/>
    </row>
    <row r="848" spans="1:7" ht="14.25" customHeight="1" x14ac:dyDescent="0.35">
      <c r="A848" s="48"/>
      <c r="B848" s="49"/>
      <c r="F848" s="50"/>
      <c r="G848" s="50"/>
    </row>
    <row r="849" spans="1:7" ht="14.25" customHeight="1" x14ac:dyDescent="0.35">
      <c r="A849" s="48"/>
      <c r="B849" s="49"/>
      <c r="F849" s="50"/>
      <c r="G849" s="50"/>
    </row>
    <row r="850" spans="1:7" ht="14.25" customHeight="1" x14ac:dyDescent="0.35">
      <c r="A850" s="48"/>
      <c r="B850" s="49"/>
      <c r="F850" s="50"/>
      <c r="G850" s="50"/>
    </row>
    <row r="851" spans="1:7" ht="14.25" customHeight="1" x14ac:dyDescent="0.35">
      <c r="A851" s="48"/>
      <c r="B851" s="49"/>
      <c r="F851" s="50"/>
      <c r="G851" s="50"/>
    </row>
    <row r="852" spans="1:7" ht="14.25" customHeight="1" x14ac:dyDescent="0.35">
      <c r="A852" s="48"/>
      <c r="B852" s="49"/>
      <c r="F852" s="50"/>
      <c r="G852" s="50"/>
    </row>
    <row r="853" spans="1:7" ht="14.25" customHeight="1" x14ac:dyDescent="0.35">
      <c r="A853" s="48"/>
      <c r="B853" s="49"/>
      <c r="F853" s="50"/>
      <c r="G853" s="50"/>
    </row>
    <row r="854" spans="1:7" ht="14.25" customHeight="1" x14ac:dyDescent="0.35">
      <c r="A854" s="48"/>
      <c r="B854" s="49"/>
      <c r="F854" s="50"/>
      <c r="G854" s="50"/>
    </row>
    <row r="855" spans="1:7" ht="14.25" customHeight="1" x14ac:dyDescent="0.35">
      <c r="A855" s="48"/>
      <c r="B855" s="49"/>
      <c r="F855" s="50"/>
      <c r="G855" s="50"/>
    </row>
    <row r="856" spans="1:7" ht="14.25" customHeight="1" x14ac:dyDescent="0.35">
      <c r="A856" s="48"/>
      <c r="B856" s="49"/>
      <c r="F856" s="50"/>
      <c r="G856" s="50"/>
    </row>
    <row r="857" spans="1:7" ht="14.25" customHeight="1" x14ac:dyDescent="0.35">
      <c r="A857" s="48"/>
      <c r="B857" s="49"/>
      <c r="F857" s="50"/>
      <c r="G857" s="50"/>
    </row>
    <row r="858" spans="1:7" ht="14.25" customHeight="1" x14ac:dyDescent="0.35">
      <c r="A858" s="48"/>
      <c r="B858" s="49"/>
      <c r="F858" s="50"/>
      <c r="G858" s="50"/>
    </row>
    <row r="859" spans="1:7" ht="14.25" customHeight="1" x14ac:dyDescent="0.35">
      <c r="A859" s="48"/>
      <c r="B859" s="49"/>
      <c r="F859" s="50"/>
      <c r="G859" s="50"/>
    </row>
    <row r="860" spans="1:7" ht="14.25" customHeight="1" x14ac:dyDescent="0.35">
      <c r="A860" s="48"/>
      <c r="B860" s="49"/>
      <c r="F860" s="50"/>
      <c r="G860" s="50"/>
    </row>
    <row r="861" spans="1:7" ht="14.25" customHeight="1" x14ac:dyDescent="0.35">
      <c r="A861" s="48"/>
      <c r="B861" s="49"/>
      <c r="F861" s="50"/>
      <c r="G861" s="50"/>
    </row>
    <row r="862" spans="1:7" ht="14.25" customHeight="1" x14ac:dyDescent="0.35">
      <c r="A862" s="48"/>
      <c r="B862" s="49"/>
      <c r="F862" s="50"/>
      <c r="G862" s="50"/>
    </row>
    <row r="863" spans="1:7" ht="14.25" customHeight="1" x14ac:dyDescent="0.35">
      <c r="A863" s="48"/>
      <c r="B863" s="49"/>
      <c r="F863" s="50"/>
      <c r="G863" s="50"/>
    </row>
    <row r="864" spans="1:7" ht="14.25" customHeight="1" x14ac:dyDescent="0.35">
      <c r="A864" s="48"/>
      <c r="B864" s="49"/>
      <c r="F864" s="50"/>
      <c r="G864" s="50"/>
    </row>
    <row r="865" spans="1:7" ht="14.25" customHeight="1" x14ac:dyDescent="0.35">
      <c r="A865" s="48"/>
      <c r="B865" s="49"/>
      <c r="F865" s="50"/>
      <c r="G865" s="50"/>
    </row>
    <row r="866" spans="1:7" ht="14.25" customHeight="1" x14ac:dyDescent="0.35">
      <c r="A866" s="48"/>
      <c r="B866" s="49"/>
      <c r="F866" s="50"/>
      <c r="G866" s="50"/>
    </row>
    <row r="867" spans="1:7" ht="14.25" customHeight="1" x14ac:dyDescent="0.35">
      <c r="A867" s="48"/>
      <c r="B867" s="49"/>
      <c r="F867" s="50"/>
      <c r="G867" s="50"/>
    </row>
    <row r="868" spans="1:7" ht="14.25" customHeight="1" x14ac:dyDescent="0.35">
      <c r="A868" s="48"/>
      <c r="B868" s="49"/>
      <c r="F868" s="50"/>
      <c r="G868" s="50"/>
    </row>
    <row r="869" spans="1:7" ht="14.25" customHeight="1" x14ac:dyDescent="0.35">
      <c r="A869" s="48"/>
      <c r="B869" s="49"/>
      <c r="F869" s="50"/>
      <c r="G869" s="50"/>
    </row>
    <row r="870" spans="1:7" ht="14.25" customHeight="1" x14ac:dyDescent="0.35">
      <c r="A870" s="48"/>
      <c r="B870" s="49"/>
      <c r="F870" s="50"/>
      <c r="G870" s="50"/>
    </row>
    <row r="871" spans="1:7" ht="14.25" customHeight="1" x14ac:dyDescent="0.35">
      <c r="A871" s="48"/>
      <c r="B871" s="49"/>
      <c r="F871" s="50"/>
      <c r="G871" s="50"/>
    </row>
    <row r="872" spans="1:7" ht="14.25" customHeight="1" x14ac:dyDescent="0.35">
      <c r="A872" s="48"/>
      <c r="B872" s="49"/>
      <c r="F872" s="50"/>
      <c r="G872" s="50"/>
    </row>
    <row r="873" spans="1:7" ht="14.25" customHeight="1" x14ac:dyDescent="0.35">
      <c r="A873" s="48"/>
      <c r="B873" s="49"/>
      <c r="F873" s="50"/>
      <c r="G873" s="50"/>
    </row>
    <row r="874" spans="1:7" ht="14.25" customHeight="1" x14ac:dyDescent="0.35">
      <c r="A874" s="48"/>
      <c r="B874" s="49"/>
      <c r="F874" s="50"/>
      <c r="G874" s="50"/>
    </row>
    <row r="875" spans="1:7" ht="14.25" customHeight="1" x14ac:dyDescent="0.35">
      <c r="A875" s="48"/>
      <c r="B875" s="49"/>
      <c r="F875" s="50"/>
      <c r="G875" s="50"/>
    </row>
    <row r="876" spans="1:7" ht="14.25" customHeight="1" x14ac:dyDescent="0.35">
      <c r="A876" s="48"/>
      <c r="B876" s="49"/>
      <c r="F876" s="50"/>
      <c r="G876" s="50"/>
    </row>
    <row r="877" spans="1:7" ht="14.25" customHeight="1" x14ac:dyDescent="0.35">
      <c r="A877" s="48"/>
      <c r="B877" s="49"/>
      <c r="F877" s="50"/>
      <c r="G877" s="50"/>
    </row>
    <row r="878" spans="1:7" ht="14.25" customHeight="1" x14ac:dyDescent="0.35">
      <c r="A878" s="48"/>
      <c r="B878" s="49"/>
      <c r="F878" s="50"/>
      <c r="G878" s="50"/>
    </row>
    <row r="879" spans="1:7" ht="14.25" customHeight="1" x14ac:dyDescent="0.35">
      <c r="A879" s="48"/>
      <c r="B879" s="49"/>
      <c r="F879" s="50"/>
      <c r="G879" s="50"/>
    </row>
    <row r="880" spans="1:7" ht="14.25" customHeight="1" x14ac:dyDescent="0.35">
      <c r="A880" s="48"/>
      <c r="B880" s="49"/>
      <c r="F880" s="50"/>
      <c r="G880" s="50"/>
    </row>
    <row r="881" spans="1:7" ht="14.25" customHeight="1" x14ac:dyDescent="0.35">
      <c r="A881" s="48"/>
      <c r="B881" s="49"/>
      <c r="F881" s="50"/>
      <c r="G881" s="50"/>
    </row>
    <row r="882" spans="1:7" ht="14.25" customHeight="1" x14ac:dyDescent="0.35">
      <c r="A882" s="48"/>
      <c r="B882" s="49"/>
      <c r="F882" s="50"/>
      <c r="G882" s="50"/>
    </row>
    <row r="883" spans="1:7" ht="14.25" customHeight="1" x14ac:dyDescent="0.35">
      <c r="A883" s="48"/>
      <c r="B883" s="49"/>
      <c r="F883" s="50"/>
      <c r="G883" s="50"/>
    </row>
    <row r="884" spans="1:7" ht="14.25" customHeight="1" x14ac:dyDescent="0.35">
      <c r="A884" s="48"/>
      <c r="B884" s="49"/>
      <c r="F884" s="50"/>
      <c r="G884" s="50"/>
    </row>
    <row r="885" spans="1:7" ht="14.25" customHeight="1" x14ac:dyDescent="0.35">
      <c r="A885" s="48"/>
      <c r="B885" s="49"/>
      <c r="F885" s="50"/>
      <c r="G885" s="50"/>
    </row>
    <row r="886" spans="1:7" ht="14.25" customHeight="1" x14ac:dyDescent="0.35">
      <c r="A886" s="48"/>
      <c r="B886" s="49"/>
      <c r="F886" s="50"/>
      <c r="G886" s="50"/>
    </row>
    <row r="887" spans="1:7" ht="14.25" customHeight="1" x14ac:dyDescent="0.35">
      <c r="A887" s="48"/>
      <c r="B887" s="49"/>
      <c r="F887" s="50"/>
      <c r="G887" s="50"/>
    </row>
    <row r="888" spans="1:7" ht="14.25" customHeight="1" x14ac:dyDescent="0.35">
      <c r="A888" s="48"/>
      <c r="B888" s="49"/>
      <c r="F888" s="50"/>
      <c r="G888" s="50"/>
    </row>
    <row r="889" spans="1:7" ht="14.25" customHeight="1" x14ac:dyDescent="0.35">
      <c r="A889" s="48"/>
      <c r="B889" s="49"/>
      <c r="F889" s="50"/>
      <c r="G889" s="50"/>
    </row>
    <row r="890" spans="1:7" ht="14.25" customHeight="1" x14ac:dyDescent="0.35">
      <c r="A890" s="48"/>
      <c r="B890" s="49"/>
      <c r="F890" s="50"/>
      <c r="G890" s="50"/>
    </row>
    <row r="891" spans="1:7" ht="14.25" customHeight="1" x14ac:dyDescent="0.35">
      <c r="A891" s="48"/>
      <c r="B891" s="49"/>
      <c r="F891" s="50"/>
      <c r="G891" s="50"/>
    </row>
    <row r="892" spans="1:7" ht="14.25" customHeight="1" x14ac:dyDescent="0.35">
      <c r="A892" s="48"/>
      <c r="B892" s="49"/>
      <c r="F892" s="50"/>
      <c r="G892" s="50"/>
    </row>
    <row r="893" spans="1:7" ht="14.25" customHeight="1" x14ac:dyDescent="0.35">
      <c r="A893" s="48"/>
      <c r="B893" s="49"/>
      <c r="F893" s="50"/>
      <c r="G893" s="50"/>
    </row>
    <row r="894" spans="1:7" ht="14.25" customHeight="1" x14ac:dyDescent="0.35">
      <c r="A894" s="48"/>
      <c r="B894" s="49"/>
      <c r="F894" s="50"/>
      <c r="G894" s="50"/>
    </row>
    <row r="895" spans="1:7" ht="14.25" customHeight="1" x14ac:dyDescent="0.35">
      <c r="A895" s="48"/>
      <c r="B895" s="49"/>
      <c r="F895" s="50"/>
      <c r="G895" s="50"/>
    </row>
    <row r="896" spans="1:7" ht="14.25" customHeight="1" x14ac:dyDescent="0.35">
      <c r="A896" s="48"/>
      <c r="B896" s="49"/>
      <c r="F896" s="50"/>
      <c r="G896" s="50"/>
    </row>
    <row r="897" spans="1:7" ht="14.25" customHeight="1" x14ac:dyDescent="0.35">
      <c r="A897" s="48"/>
      <c r="B897" s="49"/>
      <c r="F897" s="50"/>
      <c r="G897" s="50"/>
    </row>
    <row r="898" spans="1:7" ht="14.25" customHeight="1" x14ac:dyDescent="0.35">
      <c r="A898" s="48"/>
      <c r="B898" s="49"/>
      <c r="F898" s="50"/>
      <c r="G898" s="50"/>
    </row>
    <row r="899" spans="1:7" ht="14.25" customHeight="1" x14ac:dyDescent="0.35">
      <c r="A899" s="48"/>
      <c r="B899" s="49"/>
      <c r="F899" s="50"/>
      <c r="G899" s="50"/>
    </row>
    <row r="900" spans="1:7" ht="14.25" customHeight="1" x14ac:dyDescent="0.35">
      <c r="A900" s="48"/>
      <c r="B900" s="49"/>
      <c r="F900" s="50"/>
      <c r="G900" s="50"/>
    </row>
    <row r="901" spans="1:7" ht="14.25" customHeight="1" x14ac:dyDescent="0.35">
      <c r="A901" s="48"/>
      <c r="B901" s="49"/>
      <c r="F901" s="50"/>
      <c r="G901" s="50"/>
    </row>
    <row r="902" spans="1:7" ht="14.25" customHeight="1" x14ac:dyDescent="0.35">
      <c r="A902" s="48"/>
      <c r="B902" s="49"/>
      <c r="F902" s="50"/>
      <c r="G902" s="50"/>
    </row>
    <row r="903" spans="1:7" ht="14.25" customHeight="1" x14ac:dyDescent="0.35">
      <c r="A903" s="48"/>
      <c r="B903" s="49"/>
      <c r="F903" s="50"/>
      <c r="G903" s="50"/>
    </row>
    <row r="904" spans="1:7" ht="14.25" customHeight="1" x14ac:dyDescent="0.35">
      <c r="A904" s="48"/>
      <c r="B904" s="49"/>
      <c r="F904" s="50"/>
      <c r="G904" s="50"/>
    </row>
    <row r="905" spans="1:7" ht="14.25" customHeight="1" x14ac:dyDescent="0.35">
      <c r="A905" s="48"/>
      <c r="B905" s="49"/>
      <c r="F905" s="50"/>
      <c r="G905" s="50"/>
    </row>
    <row r="906" spans="1:7" ht="14.25" customHeight="1" x14ac:dyDescent="0.35">
      <c r="A906" s="48"/>
      <c r="B906" s="49"/>
      <c r="F906" s="50"/>
      <c r="G906" s="50"/>
    </row>
    <row r="907" spans="1:7" ht="14.25" customHeight="1" x14ac:dyDescent="0.35">
      <c r="A907" s="48"/>
      <c r="B907" s="49"/>
      <c r="F907" s="50"/>
      <c r="G907" s="50"/>
    </row>
    <row r="908" spans="1:7" ht="14.25" customHeight="1" x14ac:dyDescent="0.35">
      <c r="A908" s="48"/>
      <c r="B908" s="49"/>
      <c r="F908" s="50"/>
      <c r="G908" s="50"/>
    </row>
    <row r="909" spans="1:7" ht="14.25" customHeight="1" x14ac:dyDescent="0.35">
      <c r="A909" s="48"/>
      <c r="B909" s="49"/>
      <c r="F909" s="50"/>
      <c r="G909" s="50"/>
    </row>
    <row r="910" spans="1:7" ht="14.25" customHeight="1" x14ac:dyDescent="0.35">
      <c r="A910" s="48"/>
      <c r="B910" s="49"/>
      <c r="F910" s="50"/>
      <c r="G910" s="50"/>
    </row>
    <row r="911" spans="1:7" ht="14.25" customHeight="1" x14ac:dyDescent="0.35">
      <c r="A911" s="48"/>
      <c r="B911" s="49"/>
      <c r="F911" s="50"/>
      <c r="G911" s="50"/>
    </row>
    <row r="912" spans="1:7" ht="14.25" customHeight="1" x14ac:dyDescent="0.35">
      <c r="A912" s="48"/>
      <c r="B912" s="49"/>
      <c r="F912" s="50"/>
      <c r="G912" s="50"/>
    </row>
    <row r="913" spans="1:7" ht="14.25" customHeight="1" x14ac:dyDescent="0.35">
      <c r="A913" s="48"/>
      <c r="B913" s="49"/>
      <c r="F913" s="50"/>
      <c r="G913" s="50"/>
    </row>
    <row r="914" spans="1:7" ht="14.25" customHeight="1" x14ac:dyDescent="0.35">
      <c r="A914" s="48"/>
      <c r="B914" s="49"/>
      <c r="F914" s="50"/>
      <c r="G914" s="50"/>
    </row>
    <row r="915" spans="1:7" ht="14.25" customHeight="1" x14ac:dyDescent="0.35">
      <c r="A915" s="48"/>
      <c r="B915" s="49"/>
      <c r="F915" s="50"/>
      <c r="G915" s="50"/>
    </row>
    <row r="916" spans="1:7" ht="14.25" customHeight="1" x14ac:dyDescent="0.35">
      <c r="A916" s="48"/>
      <c r="B916" s="49"/>
      <c r="F916" s="50"/>
      <c r="G916" s="50"/>
    </row>
    <row r="917" spans="1:7" ht="14.25" customHeight="1" x14ac:dyDescent="0.35">
      <c r="A917" s="48"/>
      <c r="B917" s="49"/>
      <c r="F917" s="50"/>
      <c r="G917" s="50"/>
    </row>
    <row r="918" spans="1:7" ht="14.25" customHeight="1" x14ac:dyDescent="0.35">
      <c r="A918" s="48"/>
      <c r="B918" s="49"/>
      <c r="F918" s="50"/>
      <c r="G918" s="50"/>
    </row>
    <row r="919" spans="1:7" ht="14.25" customHeight="1" x14ac:dyDescent="0.35">
      <c r="A919" s="48"/>
      <c r="B919" s="49"/>
      <c r="F919" s="50"/>
      <c r="G919" s="50"/>
    </row>
    <row r="920" spans="1:7" ht="14.25" customHeight="1" x14ac:dyDescent="0.35">
      <c r="A920" s="48"/>
      <c r="B920" s="49"/>
      <c r="F920" s="50"/>
      <c r="G920" s="50"/>
    </row>
    <row r="921" spans="1:7" ht="14.25" customHeight="1" x14ac:dyDescent="0.35">
      <c r="A921" s="48"/>
      <c r="B921" s="49"/>
      <c r="F921" s="50"/>
      <c r="G921" s="50"/>
    </row>
    <row r="922" spans="1:7" ht="14.25" customHeight="1" x14ac:dyDescent="0.35">
      <c r="A922" s="48"/>
      <c r="B922" s="49"/>
      <c r="F922" s="50"/>
      <c r="G922" s="50"/>
    </row>
    <row r="923" spans="1:7" ht="14.25" customHeight="1" x14ac:dyDescent="0.35">
      <c r="A923" s="48"/>
      <c r="B923" s="49"/>
      <c r="F923" s="50"/>
      <c r="G923" s="50"/>
    </row>
    <row r="924" spans="1:7" ht="14.25" customHeight="1" x14ac:dyDescent="0.35">
      <c r="A924" s="48"/>
      <c r="B924" s="49"/>
      <c r="F924" s="50"/>
      <c r="G924" s="50"/>
    </row>
    <row r="925" spans="1:7" ht="14.25" customHeight="1" x14ac:dyDescent="0.35">
      <c r="A925" s="48"/>
      <c r="B925" s="49"/>
      <c r="F925" s="50"/>
      <c r="G925" s="50"/>
    </row>
    <row r="926" spans="1:7" ht="14.25" customHeight="1" x14ac:dyDescent="0.35">
      <c r="A926" s="48"/>
      <c r="B926" s="49"/>
      <c r="F926" s="50"/>
      <c r="G926" s="50"/>
    </row>
    <row r="927" spans="1:7" ht="14.25" customHeight="1" x14ac:dyDescent="0.35">
      <c r="A927" s="48"/>
      <c r="B927" s="49"/>
      <c r="F927" s="50"/>
      <c r="G927" s="50"/>
    </row>
    <row r="928" spans="1:7" ht="14.25" customHeight="1" x14ac:dyDescent="0.35">
      <c r="A928" s="48"/>
      <c r="B928" s="49"/>
      <c r="F928" s="50"/>
      <c r="G928" s="50"/>
    </row>
    <row r="929" spans="1:7" ht="14.25" customHeight="1" x14ac:dyDescent="0.35">
      <c r="A929" s="48"/>
      <c r="B929" s="49"/>
      <c r="F929" s="50"/>
      <c r="G929" s="50"/>
    </row>
    <row r="930" spans="1:7" ht="14.25" customHeight="1" x14ac:dyDescent="0.35">
      <c r="A930" s="48"/>
      <c r="B930" s="49"/>
      <c r="F930" s="50"/>
      <c r="G930" s="50"/>
    </row>
    <row r="931" spans="1:7" ht="14.25" customHeight="1" x14ac:dyDescent="0.35">
      <c r="A931" s="48"/>
      <c r="B931" s="49"/>
      <c r="F931" s="50"/>
      <c r="G931" s="50"/>
    </row>
    <row r="932" spans="1:7" ht="14.25" customHeight="1" x14ac:dyDescent="0.35">
      <c r="A932" s="48"/>
      <c r="B932" s="49"/>
      <c r="F932" s="50"/>
      <c r="G932" s="50"/>
    </row>
    <row r="933" spans="1:7" ht="14.25" customHeight="1" x14ac:dyDescent="0.35">
      <c r="A933" s="48"/>
      <c r="B933" s="49"/>
      <c r="F933" s="50"/>
      <c r="G933" s="50"/>
    </row>
    <row r="934" spans="1:7" ht="14.25" customHeight="1" x14ac:dyDescent="0.35">
      <c r="A934" s="48"/>
      <c r="B934" s="49"/>
      <c r="F934" s="50"/>
      <c r="G934" s="50"/>
    </row>
    <row r="935" spans="1:7" ht="14.25" customHeight="1" x14ac:dyDescent="0.35">
      <c r="A935" s="48"/>
      <c r="B935" s="49"/>
      <c r="F935" s="50"/>
      <c r="G935" s="50"/>
    </row>
    <row r="936" spans="1:7" ht="14.25" customHeight="1" x14ac:dyDescent="0.35">
      <c r="A936" s="48"/>
      <c r="B936" s="49"/>
      <c r="F936" s="50"/>
      <c r="G936" s="50"/>
    </row>
    <row r="937" spans="1:7" ht="14.25" customHeight="1" x14ac:dyDescent="0.35">
      <c r="A937" s="48"/>
      <c r="B937" s="49"/>
      <c r="F937" s="50"/>
      <c r="G937" s="50"/>
    </row>
    <row r="938" spans="1:7" ht="14.25" customHeight="1" x14ac:dyDescent="0.35">
      <c r="A938" s="48"/>
      <c r="B938" s="49"/>
      <c r="F938" s="50"/>
      <c r="G938" s="50"/>
    </row>
    <row r="939" spans="1:7" ht="14.25" customHeight="1" x14ac:dyDescent="0.35">
      <c r="A939" s="48"/>
      <c r="B939" s="49"/>
      <c r="F939" s="50"/>
      <c r="G939" s="50"/>
    </row>
    <row r="940" spans="1:7" ht="14.25" customHeight="1" x14ac:dyDescent="0.35">
      <c r="A940" s="48"/>
      <c r="B940" s="49"/>
      <c r="F940" s="50"/>
      <c r="G940" s="50"/>
    </row>
    <row r="941" spans="1:7" ht="14.25" customHeight="1" x14ac:dyDescent="0.35">
      <c r="A941" s="48"/>
      <c r="B941" s="49"/>
      <c r="F941" s="50"/>
      <c r="G941" s="50"/>
    </row>
    <row r="942" spans="1:7" ht="14.25" customHeight="1" x14ac:dyDescent="0.35">
      <c r="A942" s="48"/>
      <c r="B942" s="49"/>
      <c r="F942" s="50"/>
      <c r="G942" s="50"/>
    </row>
    <row r="943" spans="1:7" ht="14.25" customHeight="1" x14ac:dyDescent="0.35">
      <c r="A943" s="48"/>
      <c r="B943" s="49"/>
      <c r="F943" s="50"/>
      <c r="G943" s="50"/>
    </row>
    <row r="944" spans="1:7" ht="14.25" customHeight="1" x14ac:dyDescent="0.35">
      <c r="A944" s="48"/>
      <c r="B944" s="49"/>
      <c r="F944" s="50"/>
      <c r="G944" s="50"/>
    </row>
    <row r="945" spans="1:7" ht="14.25" customHeight="1" x14ac:dyDescent="0.35">
      <c r="A945" s="48"/>
      <c r="B945" s="49"/>
      <c r="F945" s="50"/>
      <c r="G945" s="50"/>
    </row>
    <row r="946" spans="1:7" ht="14.25" customHeight="1" x14ac:dyDescent="0.35">
      <c r="A946" s="48"/>
      <c r="B946" s="49"/>
      <c r="F946" s="50"/>
      <c r="G946" s="50"/>
    </row>
    <row r="947" spans="1:7" ht="14.25" customHeight="1" x14ac:dyDescent="0.35">
      <c r="A947" s="48"/>
      <c r="B947" s="49"/>
      <c r="F947" s="50"/>
      <c r="G947" s="50"/>
    </row>
    <row r="948" spans="1:7" ht="14.25" customHeight="1" x14ac:dyDescent="0.35">
      <c r="A948" s="48"/>
      <c r="B948" s="49"/>
      <c r="F948" s="50"/>
      <c r="G948" s="50"/>
    </row>
    <row r="949" spans="1:7" ht="14.25" customHeight="1" x14ac:dyDescent="0.35">
      <c r="A949" s="48"/>
      <c r="B949" s="49"/>
      <c r="F949" s="50"/>
      <c r="G949" s="50"/>
    </row>
    <row r="950" spans="1:7" ht="14.25" customHeight="1" x14ac:dyDescent="0.35">
      <c r="A950" s="48"/>
      <c r="B950" s="49"/>
      <c r="F950" s="50"/>
      <c r="G950" s="50"/>
    </row>
    <row r="951" spans="1:7" ht="14.25" customHeight="1" x14ac:dyDescent="0.35">
      <c r="A951" s="48"/>
      <c r="B951" s="49"/>
      <c r="F951" s="50"/>
      <c r="G951" s="50"/>
    </row>
    <row r="952" spans="1:7" ht="14.25" customHeight="1" x14ac:dyDescent="0.35">
      <c r="A952" s="48"/>
      <c r="B952" s="49"/>
      <c r="F952" s="50"/>
      <c r="G952" s="50"/>
    </row>
    <row r="953" spans="1:7" ht="14.25" customHeight="1" x14ac:dyDescent="0.35">
      <c r="A953" s="48"/>
      <c r="B953" s="49"/>
      <c r="F953" s="50"/>
      <c r="G953" s="50"/>
    </row>
    <row r="954" spans="1:7" ht="14.25" customHeight="1" x14ac:dyDescent="0.35">
      <c r="A954" s="48"/>
      <c r="B954" s="49"/>
      <c r="F954" s="50"/>
      <c r="G954" s="50"/>
    </row>
    <row r="955" spans="1:7" ht="14.25" customHeight="1" x14ac:dyDescent="0.35">
      <c r="A955" s="48"/>
      <c r="B955" s="49"/>
      <c r="F955" s="50"/>
      <c r="G955" s="50"/>
    </row>
    <row r="956" spans="1:7" ht="14.25" customHeight="1" x14ac:dyDescent="0.35">
      <c r="A956" s="48"/>
      <c r="B956" s="49"/>
      <c r="F956" s="50"/>
      <c r="G956" s="50"/>
    </row>
    <row r="957" spans="1:7" ht="14.25" customHeight="1" x14ac:dyDescent="0.35">
      <c r="A957" s="48"/>
      <c r="B957" s="49"/>
      <c r="F957" s="50"/>
      <c r="G957" s="50"/>
    </row>
    <row r="958" spans="1:7" ht="14.25" customHeight="1" x14ac:dyDescent="0.35">
      <c r="A958" s="48"/>
      <c r="B958" s="49"/>
      <c r="F958" s="50"/>
      <c r="G958" s="50"/>
    </row>
    <row r="959" spans="1:7" ht="14.25" customHeight="1" x14ac:dyDescent="0.35">
      <c r="A959" s="48"/>
      <c r="B959" s="49"/>
      <c r="F959" s="50"/>
      <c r="G959" s="50"/>
    </row>
    <row r="960" spans="1:7" ht="14.25" customHeight="1" x14ac:dyDescent="0.35">
      <c r="A960" s="48"/>
      <c r="B960" s="49"/>
      <c r="F960" s="50"/>
      <c r="G960" s="50"/>
    </row>
    <row r="961" spans="1:7" ht="14.25" customHeight="1" x14ac:dyDescent="0.35">
      <c r="A961" s="48"/>
      <c r="B961" s="49"/>
      <c r="F961" s="50"/>
      <c r="G961" s="50"/>
    </row>
    <row r="962" spans="1:7" ht="14.25" customHeight="1" x14ac:dyDescent="0.35">
      <c r="A962" s="48"/>
      <c r="B962" s="49"/>
      <c r="F962" s="50"/>
      <c r="G962" s="50"/>
    </row>
    <row r="963" spans="1:7" ht="14.25" customHeight="1" x14ac:dyDescent="0.35">
      <c r="A963" s="48"/>
      <c r="B963" s="49"/>
      <c r="F963" s="50"/>
      <c r="G963" s="50"/>
    </row>
    <row r="964" spans="1:7" ht="14.25" customHeight="1" x14ac:dyDescent="0.35">
      <c r="A964" s="48"/>
      <c r="B964" s="49"/>
      <c r="F964" s="50"/>
      <c r="G964" s="50"/>
    </row>
    <row r="965" spans="1:7" ht="14.25" customHeight="1" x14ac:dyDescent="0.35">
      <c r="A965" s="48"/>
      <c r="B965" s="49"/>
      <c r="F965" s="50"/>
      <c r="G965" s="50"/>
    </row>
    <row r="966" spans="1:7" ht="14.25" customHeight="1" x14ac:dyDescent="0.35">
      <c r="A966" s="48"/>
      <c r="B966" s="49"/>
      <c r="F966" s="50"/>
      <c r="G966" s="50"/>
    </row>
    <row r="967" spans="1:7" ht="14.25" customHeight="1" x14ac:dyDescent="0.35">
      <c r="A967" s="48"/>
      <c r="B967" s="49"/>
      <c r="F967" s="50"/>
      <c r="G967" s="50"/>
    </row>
    <row r="968" spans="1:7" ht="14.25" customHeight="1" x14ac:dyDescent="0.35">
      <c r="A968" s="48"/>
      <c r="B968" s="49"/>
      <c r="F968" s="50"/>
      <c r="G968" s="50"/>
    </row>
    <row r="969" spans="1:7" ht="14.25" customHeight="1" x14ac:dyDescent="0.35">
      <c r="A969" s="48"/>
      <c r="B969" s="49"/>
      <c r="F969" s="50"/>
      <c r="G969" s="50"/>
    </row>
    <row r="970" spans="1:7" ht="14.25" customHeight="1" x14ac:dyDescent="0.35">
      <c r="A970" s="48"/>
      <c r="B970" s="49"/>
      <c r="F970" s="50"/>
      <c r="G970" s="50"/>
    </row>
    <row r="971" spans="1:7" ht="14.25" customHeight="1" x14ac:dyDescent="0.35">
      <c r="A971" s="48"/>
      <c r="B971" s="49"/>
      <c r="F971" s="50"/>
      <c r="G971" s="50"/>
    </row>
    <row r="972" spans="1:7" ht="14.25" customHeight="1" x14ac:dyDescent="0.35">
      <c r="A972" s="48"/>
      <c r="B972" s="49"/>
      <c r="F972" s="50"/>
      <c r="G972" s="50"/>
    </row>
    <row r="973" spans="1:7" ht="14.25" customHeight="1" x14ac:dyDescent="0.35">
      <c r="A973" s="48"/>
      <c r="B973" s="49"/>
      <c r="F973" s="50"/>
      <c r="G973" s="50"/>
    </row>
    <row r="974" spans="1:7" ht="14.25" customHeight="1" x14ac:dyDescent="0.35">
      <c r="A974" s="48"/>
      <c r="B974" s="49"/>
      <c r="F974" s="50"/>
      <c r="G974" s="50"/>
    </row>
    <row r="975" spans="1:7" ht="14.25" customHeight="1" x14ac:dyDescent="0.35">
      <c r="A975" s="48"/>
      <c r="B975" s="49"/>
      <c r="F975" s="50"/>
      <c r="G975" s="50"/>
    </row>
    <row r="976" spans="1:7" ht="14.25" customHeight="1" x14ac:dyDescent="0.35">
      <c r="A976" s="48"/>
      <c r="B976" s="49"/>
      <c r="F976" s="50"/>
      <c r="G976" s="50"/>
    </row>
    <row r="977" spans="1:7" ht="14.25" customHeight="1" x14ac:dyDescent="0.35">
      <c r="A977" s="48"/>
      <c r="B977" s="49"/>
      <c r="F977" s="50"/>
      <c r="G977" s="50"/>
    </row>
    <row r="978" spans="1:7" ht="14.25" customHeight="1" x14ac:dyDescent="0.35">
      <c r="A978" s="48"/>
      <c r="B978" s="49"/>
      <c r="F978" s="50"/>
      <c r="G978" s="50"/>
    </row>
    <row r="979" spans="1:7" ht="14.25" customHeight="1" x14ac:dyDescent="0.35">
      <c r="A979" s="48"/>
      <c r="B979" s="49"/>
      <c r="F979" s="50"/>
      <c r="G979" s="50"/>
    </row>
    <row r="980" spans="1:7" ht="14.25" customHeight="1" x14ac:dyDescent="0.35">
      <c r="A980" s="48"/>
      <c r="B980" s="49"/>
      <c r="F980" s="50"/>
      <c r="G980" s="50"/>
    </row>
    <row r="981" spans="1:7" ht="14.25" customHeight="1" x14ac:dyDescent="0.35">
      <c r="A981" s="48"/>
      <c r="B981" s="49"/>
      <c r="F981" s="50"/>
      <c r="G981" s="50"/>
    </row>
    <row r="982" spans="1:7" ht="14.25" customHeight="1" x14ac:dyDescent="0.35">
      <c r="A982" s="48"/>
      <c r="B982" s="49"/>
      <c r="F982" s="50"/>
      <c r="G982" s="50"/>
    </row>
    <row r="983" spans="1:7" ht="14.25" customHeight="1" x14ac:dyDescent="0.35">
      <c r="A983" s="48"/>
      <c r="B983" s="49"/>
      <c r="F983" s="50"/>
      <c r="G983" s="50"/>
    </row>
    <row r="984" spans="1:7" ht="14.25" customHeight="1" x14ac:dyDescent="0.35">
      <c r="A984" s="48"/>
      <c r="B984" s="49"/>
      <c r="F984" s="50"/>
      <c r="G984" s="50"/>
    </row>
    <row r="985" spans="1:7" ht="14.25" customHeight="1" x14ac:dyDescent="0.35">
      <c r="A985" s="48"/>
      <c r="B985" s="49"/>
      <c r="F985" s="50"/>
      <c r="G985" s="50"/>
    </row>
    <row r="986" spans="1:7" ht="14.25" customHeight="1" x14ac:dyDescent="0.35">
      <c r="A986" s="48"/>
      <c r="B986" s="49"/>
      <c r="F986" s="50"/>
      <c r="G986" s="50"/>
    </row>
    <row r="987" spans="1:7" ht="14.25" customHeight="1" x14ac:dyDescent="0.35">
      <c r="A987" s="48"/>
      <c r="B987" s="49"/>
      <c r="F987" s="50"/>
      <c r="G987" s="50"/>
    </row>
    <row r="988" spans="1:7" ht="14.25" customHeight="1" x14ac:dyDescent="0.35">
      <c r="A988" s="48"/>
      <c r="B988" s="49"/>
      <c r="F988" s="50"/>
      <c r="G988" s="50"/>
    </row>
    <row r="989" spans="1:7" ht="14.25" customHeight="1" x14ac:dyDescent="0.35">
      <c r="A989" s="48"/>
      <c r="B989" s="49"/>
      <c r="F989" s="50"/>
      <c r="G989" s="50"/>
    </row>
    <row r="990" spans="1:7" ht="14.25" customHeight="1" x14ac:dyDescent="0.35">
      <c r="A990" s="48"/>
      <c r="B990" s="49"/>
      <c r="F990" s="50"/>
      <c r="G990" s="50"/>
    </row>
    <row r="991" spans="1:7" ht="14.25" customHeight="1" x14ac:dyDescent="0.35">
      <c r="A991" s="48"/>
      <c r="B991" s="49"/>
      <c r="F991" s="50"/>
      <c r="G991" s="50"/>
    </row>
    <row r="992" spans="1:7" ht="14.25" customHeight="1" x14ac:dyDescent="0.35">
      <c r="A992" s="48"/>
      <c r="B992" s="49"/>
      <c r="F992" s="50"/>
      <c r="G992" s="50"/>
    </row>
    <row r="993" spans="1:7" ht="14.25" customHeight="1" x14ac:dyDescent="0.35">
      <c r="A993" s="48"/>
      <c r="B993" s="49"/>
      <c r="F993" s="50"/>
      <c r="G993" s="50"/>
    </row>
    <row r="994" spans="1:7" ht="14.25" customHeight="1" x14ac:dyDescent="0.35">
      <c r="A994" s="48"/>
      <c r="B994" s="49"/>
      <c r="F994" s="50"/>
      <c r="G994" s="50"/>
    </row>
    <row r="995" spans="1:7" ht="14.25" customHeight="1" x14ac:dyDescent="0.35">
      <c r="A995" s="48"/>
      <c r="B995" s="49"/>
      <c r="F995" s="50"/>
      <c r="G995" s="50"/>
    </row>
    <row r="996" spans="1:7" ht="14.25" customHeight="1" x14ac:dyDescent="0.35">
      <c r="A996" s="48"/>
      <c r="B996" s="49"/>
      <c r="F996" s="50"/>
      <c r="G996" s="50"/>
    </row>
    <row r="997" spans="1:7" ht="14.25" customHeight="1" x14ac:dyDescent="0.35">
      <c r="A997" s="48"/>
      <c r="B997" s="49"/>
      <c r="F997" s="50"/>
      <c r="G997" s="50"/>
    </row>
    <row r="998" spans="1:7" ht="14.25" customHeight="1" x14ac:dyDescent="0.35">
      <c r="A998" s="48"/>
      <c r="B998" s="49"/>
      <c r="F998" s="50"/>
      <c r="G998" s="50"/>
    </row>
    <row r="999" spans="1:7" ht="14.25" customHeight="1" x14ac:dyDescent="0.35">
      <c r="A999" s="48"/>
      <c r="B999" s="49"/>
      <c r="F999" s="50"/>
      <c r="G999" s="50"/>
    </row>
    <row r="1000" spans="1:7" ht="14.25" customHeight="1" x14ac:dyDescent="0.35">
      <c r="A1000" s="48"/>
      <c r="B1000" s="49"/>
      <c r="F1000" s="50"/>
      <c r="G1000" s="50"/>
    </row>
  </sheetData>
  <conditionalFormatting sqref="D3:E22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E1" workbookViewId="0">
      <selection activeCell="L34" sqref="L34"/>
    </sheetView>
  </sheetViews>
  <sheetFormatPr defaultColWidth="14.453125" defaultRowHeight="15" customHeight="1" x14ac:dyDescent="0.35"/>
  <cols>
    <col min="1" max="1" width="19.54296875" customWidth="1"/>
    <col min="2" max="2" width="15.54296875" customWidth="1"/>
    <col min="3" max="3" width="10.81640625" customWidth="1"/>
    <col min="4" max="7" width="11.453125" customWidth="1"/>
    <col min="8" max="8" width="19.54296875" customWidth="1"/>
    <col min="9" max="9" width="13.26953125" customWidth="1"/>
    <col min="10" max="10" width="8.81640625" customWidth="1"/>
    <col min="11" max="11" width="20.453125" customWidth="1"/>
    <col min="12" max="12" width="24.453125" customWidth="1"/>
    <col min="13" max="13" width="8.81640625" customWidth="1"/>
    <col min="14" max="14" width="17.26953125" customWidth="1"/>
    <col min="15" max="15" width="14.54296875" customWidth="1"/>
    <col min="16" max="16" width="13.81640625" customWidth="1"/>
    <col min="17" max="17" width="8.81640625" customWidth="1"/>
    <col min="18" max="19" width="12.08984375" customWidth="1"/>
    <col min="20" max="20" width="11.81640625" customWidth="1"/>
    <col min="21" max="21" width="12.453125" customWidth="1"/>
    <col min="22" max="22" width="12" customWidth="1"/>
    <col min="23" max="26" width="8.81640625" customWidth="1"/>
  </cols>
  <sheetData>
    <row r="1" spans="1:26" ht="12.75" customHeight="1" x14ac:dyDescent="0.35">
      <c r="A1" s="56" t="s">
        <v>63</v>
      </c>
      <c r="B1" s="57" t="s">
        <v>54</v>
      </c>
      <c r="C1" s="57" t="s">
        <v>55</v>
      </c>
      <c r="D1" s="58" t="s">
        <v>64</v>
      </c>
      <c r="E1" s="58" t="s">
        <v>65</v>
      </c>
      <c r="F1" s="56" t="s">
        <v>66</v>
      </c>
      <c r="G1" s="59" t="s">
        <v>67</v>
      </c>
      <c r="H1" s="60" t="s">
        <v>68</v>
      </c>
      <c r="I1" s="60" t="s">
        <v>69</v>
      </c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2.75" customHeight="1" x14ac:dyDescent="0.35">
      <c r="A2" s="61">
        <v>38383</v>
      </c>
      <c r="B2" s="49">
        <v>11.60874652862549</v>
      </c>
      <c r="C2" s="49">
        <v>35.874317169189453</v>
      </c>
      <c r="D2" s="62"/>
      <c r="E2" s="62"/>
      <c r="F2" s="63">
        <f t="array" ref="F2:F253">'F-F_Research_Data_Factors'!B947:B1198</f>
        <v>-2.76E-2</v>
      </c>
      <c r="G2" s="63">
        <f t="array" ref="G2:G253">+'F-F_Research_Data_Factors'!C947:C1198</f>
        <v>1.6000000000000001E-3</v>
      </c>
      <c r="J2" s="45"/>
      <c r="K2" s="139" t="s">
        <v>42</v>
      </c>
      <c r="L2" s="137"/>
      <c r="M2" s="137"/>
      <c r="N2" s="138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2.75" customHeight="1" x14ac:dyDescent="0.35">
      <c r="A3" s="61">
        <v>38411</v>
      </c>
      <c r="B3" s="49">
        <v>10.944249153137211</v>
      </c>
      <c r="C3" s="49">
        <v>34.713176727294922</v>
      </c>
      <c r="D3" s="63">
        <f t="shared" ref="D3:E3" si="0">(B3/B2)-1</f>
        <v>-5.7241096086448673E-2</v>
      </c>
      <c r="E3" s="63">
        <f t="shared" si="0"/>
        <v>-3.2366900153622202E-2</v>
      </c>
      <c r="F3" s="63">
        <v>1.89E-2</v>
      </c>
      <c r="G3" s="63">
        <v>1.6000000000000001E-3</v>
      </c>
      <c r="H3" s="63">
        <f t="shared" ref="H3:H253" si="1">D3-G3</f>
        <v>-5.884109608644867E-2</v>
      </c>
      <c r="I3" s="63">
        <f t="shared" ref="I3:I253" si="2">E3-G3</f>
        <v>-3.39669001536222E-2</v>
      </c>
      <c r="J3" s="45"/>
      <c r="K3" s="54"/>
      <c r="L3" s="64" t="s">
        <v>11</v>
      </c>
      <c r="M3" s="65" t="s">
        <v>12</v>
      </c>
      <c r="N3" s="65" t="s">
        <v>43</v>
      </c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2.75" customHeight="1" x14ac:dyDescent="0.35">
      <c r="A4" s="61">
        <v>38442</v>
      </c>
      <c r="B4" s="49">
        <v>11.192434310913089</v>
      </c>
      <c r="C4" s="49">
        <v>34.266887664794922</v>
      </c>
      <c r="D4" s="63">
        <f t="shared" ref="D4:E4" si="3">(B4/B3)-1</f>
        <v>2.2677221096043532E-2</v>
      </c>
      <c r="E4" s="63">
        <f t="shared" si="3"/>
        <v>-1.2856474243369442E-2</v>
      </c>
      <c r="F4" s="63">
        <v>-1.9699999999999999E-2</v>
      </c>
      <c r="G4" s="63">
        <v>2.0999999999999999E-3</v>
      </c>
      <c r="H4" s="63">
        <f t="shared" si="1"/>
        <v>2.057722109604353E-2</v>
      </c>
      <c r="I4" s="63">
        <f t="shared" si="2"/>
        <v>-1.4956474243369442E-2</v>
      </c>
      <c r="J4" s="45"/>
      <c r="K4" s="66" t="s">
        <v>11</v>
      </c>
      <c r="L4" s="67">
        <v>1</v>
      </c>
      <c r="M4" s="67">
        <f>CORREL(H3:H253,I3:I253)</f>
        <v>0.20706094047889106</v>
      </c>
      <c r="N4" s="67">
        <f>CORREL(H3:H253,F3:F253)</f>
        <v>0.56034914603317176</v>
      </c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2.75" customHeight="1" x14ac:dyDescent="0.35">
      <c r="A5" s="61">
        <v>38472</v>
      </c>
      <c r="B5" s="49">
        <v>11.55270576477051</v>
      </c>
      <c r="C5" s="49">
        <v>36.123966217041023</v>
      </c>
      <c r="D5" s="63">
        <f t="shared" ref="D5:E5" si="4">(B5/B4)-1</f>
        <v>3.2188837910457124E-2</v>
      </c>
      <c r="E5" s="63">
        <f t="shared" si="4"/>
        <v>5.4194549864358565E-2</v>
      </c>
      <c r="F5" s="63">
        <v>-2.6099999999999998E-2</v>
      </c>
      <c r="G5" s="63">
        <v>2.0999999999999999E-3</v>
      </c>
      <c r="H5" s="63">
        <f t="shared" si="1"/>
        <v>3.0088837910457123E-2</v>
      </c>
      <c r="I5" s="63">
        <f t="shared" si="2"/>
        <v>5.2094549864358568E-2</v>
      </c>
      <c r="J5" s="45"/>
      <c r="K5" s="66" t="s">
        <v>12</v>
      </c>
      <c r="L5" s="67">
        <f>CORREL(I3:I253,H3:H253)</f>
        <v>0.20706094047889106</v>
      </c>
      <c r="M5" s="67">
        <v>1</v>
      </c>
      <c r="N5" s="67">
        <f>CORREL(I3:I253,F3:F253)</f>
        <v>0.43068717192130118</v>
      </c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2.75" customHeight="1" x14ac:dyDescent="0.35">
      <c r="A6" s="61">
        <v>38503</v>
      </c>
      <c r="B6" s="49">
        <v>12.833670616149901</v>
      </c>
      <c r="C6" s="49">
        <v>39.45654296875</v>
      </c>
      <c r="D6" s="63">
        <f t="shared" ref="D6:E6" si="5">(B6/B5)-1</f>
        <v>0.11088007237972253</v>
      </c>
      <c r="E6" s="63">
        <f t="shared" si="5"/>
        <v>9.225389957697594E-2</v>
      </c>
      <c r="F6" s="63">
        <v>3.6499999999999998E-2</v>
      </c>
      <c r="G6" s="63">
        <v>2.3999999999999998E-3</v>
      </c>
      <c r="H6" s="63">
        <f t="shared" si="1"/>
        <v>0.10848007237972253</v>
      </c>
      <c r="I6" s="63">
        <f t="shared" si="2"/>
        <v>8.985389957697594E-2</v>
      </c>
      <c r="J6" s="45"/>
      <c r="K6" s="66" t="s">
        <v>43</v>
      </c>
      <c r="L6" s="67">
        <f>CORREL(F3:F253,H3:H253)</f>
        <v>0.56034914603317176</v>
      </c>
      <c r="M6" s="67">
        <f>CORREL(F3:F253,I3:I253)</f>
        <v>0.43068717192130118</v>
      </c>
      <c r="N6" s="67">
        <v>1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2.75" customHeight="1" x14ac:dyDescent="0.35">
      <c r="A7" s="61">
        <v>38533</v>
      </c>
      <c r="B7" s="49">
        <v>15.35556697845459</v>
      </c>
      <c r="C7" s="49">
        <v>40.414813995361328</v>
      </c>
      <c r="D7" s="63">
        <f t="shared" ref="D7:E7" si="6">(B7/B6)-1</f>
        <v>0.19650624032154385</v>
      </c>
      <c r="E7" s="63">
        <f t="shared" si="6"/>
        <v>2.4286745733661741E-2</v>
      </c>
      <c r="F7" s="63">
        <v>5.6999999999999993E-3</v>
      </c>
      <c r="G7" s="63">
        <v>2.3E-3</v>
      </c>
      <c r="H7" s="63">
        <f t="shared" si="1"/>
        <v>0.19420624032154385</v>
      </c>
      <c r="I7" s="63">
        <f t="shared" si="2"/>
        <v>2.1986745733661741E-2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2.75" customHeight="1" x14ac:dyDescent="0.35">
      <c r="A8" s="61">
        <v>38564</v>
      </c>
      <c r="B8" s="49">
        <v>14.6190185546875</v>
      </c>
      <c r="C8" s="49">
        <v>39.133518218994141</v>
      </c>
      <c r="D8" s="63">
        <f t="shared" ref="D8:E8" si="7">(B8/B7)-1</f>
        <v>-4.7966214780642225E-2</v>
      </c>
      <c r="E8" s="63">
        <f t="shared" si="7"/>
        <v>-3.1703616810267898E-2</v>
      </c>
      <c r="F8" s="63">
        <v>3.9199999999999999E-2</v>
      </c>
      <c r="G8" s="63">
        <v>2.3999999999999998E-3</v>
      </c>
      <c r="H8" s="63">
        <f t="shared" si="1"/>
        <v>-5.0366214780642224E-2</v>
      </c>
      <c r="I8" s="63">
        <f t="shared" si="2"/>
        <v>-3.4103616810267898E-2</v>
      </c>
      <c r="J8" s="45"/>
      <c r="K8" s="140" t="s">
        <v>70</v>
      </c>
      <c r="L8" s="138"/>
      <c r="M8" s="68"/>
      <c r="N8" s="68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2.75" customHeight="1" x14ac:dyDescent="0.35">
      <c r="A9" s="61">
        <v>38595</v>
      </c>
      <c r="B9" s="49">
        <v>15.115384101867679</v>
      </c>
      <c r="C9" s="49">
        <v>37.431495666503913</v>
      </c>
      <c r="D9" s="63">
        <f t="shared" ref="D9:E9" si="8">(B9/B8)-1</f>
        <v>3.3953411121502519E-2</v>
      </c>
      <c r="E9" s="63">
        <f t="shared" si="8"/>
        <v>-4.3492704718384401E-2</v>
      </c>
      <c r="F9" s="63">
        <v>-1.2199999999999999E-2</v>
      </c>
      <c r="G9" s="63">
        <v>3.0000000000000001E-3</v>
      </c>
      <c r="H9" s="63">
        <f t="shared" si="1"/>
        <v>3.095341112150252E-2</v>
      </c>
      <c r="I9" s="63">
        <f t="shared" si="2"/>
        <v>-4.6492704718384403E-2</v>
      </c>
      <c r="J9" s="45"/>
      <c r="K9" s="69" t="s">
        <v>71</v>
      </c>
      <c r="L9" s="70">
        <f t="shared" ref="L9:L10" si="9">L28</f>
        <v>1.357521874044601E-3</v>
      </c>
      <c r="O9" s="45"/>
      <c r="P9" s="45"/>
      <c r="S9" s="45"/>
      <c r="T9" s="45"/>
      <c r="U9" s="45"/>
      <c r="V9" s="45"/>
      <c r="W9" s="45"/>
      <c r="X9" s="45"/>
      <c r="Y9" s="45"/>
      <c r="Z9" s="45"/>
    </row>
    <row r="10" spans="1:26" ht="12.75" customHeight="1" x14ac:dyDescent="0.35">
      <c r="A10" s="61">
        <v>38625</v>
      </c>
      <c r="B10" s="49">
        <v>14.53895473480225</v>
      </c>
      <c r="C10" s="49">
        <v>33.629169464111328</v>
      </c>
      <c r="D10" s="63">
        <f t="shared" ref="D10:E10" si="10">(B10/B9)-1</f>
        <v>-3.813527748819856E-2</v>
      </c>
      <c r="E10" s="63">
        <f t="shared" si="10"/>
        <v>-0.10158093163760884</v>
      </c>
      <c r="F10" s="63">
        <v>4.8999999999999998E-3</v>
      </c>
      <c r="G10" s="63">
        <v>2.8999999999999998E-3</v>
      </c>
      <c r="H10" s="63">
        <f t="shared" si="1"/>
        <v>-4.103527748819856E-2</v>
      </c>
      <c r="I10" s="63">
        <f t="shared" si="2"/>
        <v>-0.10448093163760884</v>
      </c>
      <c r="J10" s="45"/>
      <c r="K10" s="70" t="s">
        <v>72</v>
      </c>
      <c r="L10" s="70">
        <f t="shared" si="9"/>
        <v>1.1763541654262644</v>
      </c>
      <c r="O10" s="45"/>
      <c r="P10" s="45"/>
      <c r="S10" s="45"/>
      <c r="T10" s="45"/>
      <c r="U10" s="45"/>
      <c r="V10" s="45"/>
      <c r="W10" s="45"/>
      <c r="X10" s="45"/>
      <c r="Y10" s="45"/>
      <c r="Z10" s="45"/>
    </row>
    <row r="11" spans="1:26" ht="12.75" customHeight="1" x14ac:dyDescent="0.35">
      <c r="A11" s="61">
        <v>38656</v>
      </c>
      <c r="B11" s="49">
        <v>14.426864624023439</v>
      </c>
      <c r="C11" s="49">
        <v>33.194580078125</v>
      </c>
      <c r="D11" s="63">
        <f t="shared" ref="D11:E11" si="11">(B11/B10)-1</f>
        <v>-7.7096402611734893E-3</v>
      </c>
      <c r="E11" s="63">
        <f t="shared" si="11"/>
        <v>-1.2922988967958848E-2</v>
      </c>
      <c r="F11" s="63">
        <v>-2.0199999999999999E-2</v>
      </c>
      <c r="G11" s="63">
        <v>2.7000000000000001E-3</v>
      </c>
      <c r="H11" s="63">
        <f t="shared" si="1"/>
        <v>-1.040964026117349E-2</v>
      </c>
      <c r="I11" s="63">
        <f t="shared" si="2"/>
        <v>-1.5622988967958849E-2</v>
      </c>
      <c r="J11" s="45"/>
      <c r="K11" s="70" t="s">
        <v>73</v>
      </c>
      <c r="L11" s="70">
        <f>L17</f>
        <v>0.31123610989970374</v>
      </c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2.75" customHeight="1" x14ac:dyDescent="0.35">
      <c r="A12" s="61">
        <v>38686</v>
      </c>
      <c r="B12" s="49">
        <v>15.843941688537599</v>
      </c>
      <c r="C12" s="49">
        <v>34.191570281982422</v>
      </c>
      <c r="D12" s="63">
        <f t="shared" ref="D12:E12" si="12">(B12/B11)-1</f>
        <v>9.8224881250667639E-2</v>
      </c>
      <c r="E12" s="63">
        <f t="shared" si="12"/>
        <v>3.0034728606626704E-2</v>
      </c>
      <c r="F12" s="63">
        <v>3.61E-2</v>
      </c>
      <c r="G12" s="63">
        <v>3.0999999999999999E-3</v>
      </c>
      <c r="H12" s="63">
        <f t="shared" si="1"/>
        <v>9.5124881250667634E-2</v>
      </c>
      <c r="I12" s="63">
        <f t="shared" si="2"/>
        <v>2.6934728606626705E-2</v>
      </c>
      <c r="J12" s="45"/>
      <c r="K12" s="71" t="s">
        <v>74</v>
      </c>
      <c r="T12" s="45"/>
      <c r="U12" s="45"/>
      <c r="V12" s="45"/>
      <c r="W12" s="45"/>
      <c r="X12" s="45"/>
      <c r="Y12" s="45"/>
      <c r="Z12" s="45"/>
    </row>
    <row r="13" spans="1:26" ht="12.75" customHeight="1" x14ac:dyDescent="0.35">
      <c r="A13" s="61">
        <v>38717</v>
      </c>
      <c r="B13" s="49">
        <v>14.78714084625244</v>
      </c>
      <c r="C13" s="49">
        <v>36.284896850585938</v>
      </c>
      <c r="D13" s="63">
        <f t="shared" ref="D13:E13" si="13">(B13/B12)-1</f>
        <v>-6.670062684273248E-2</v>
      </c>
      <c r="E13" s="63">
        <f t="shared" si="13"/>
        <v>6.1223469742383019E-2</v>
      </c>
      <c r="F13" s="63">
        <v>-2.5000000000000001E-3</v>
      </c>
      <c r="G13" s="63">
        <v>3.2000000000000002E-3</v>
      </c>
      <c r="H13" s="63">
        <f t="shared" si="1"/>
        <v>-6.9900626842732475E-2</v>
      </c>
      <c r="I13" s="63">
        <f t="shared" si="2"/>
        <v>5.8023469742383017E-2</v>
      </c>
      <c r="J13" s="45"/>
      <c r="T13" s="45"/>
      <c r="U13" s="45"/>
      <c r="V13" s="45"/>
      <c r="W13" s="45"/>
      <c r="X13" s="45"/>
      <c r="Y13" s="45"/>
      <c r="Z13" s="45"/>
    </row>
    <row r="14" spans="1:26" ht="12.75" customHeight="1" x14ac:dyDescent="0.35">
      <c r="A14" s="61">
        <v>38748</v>
      </c>
      <c r="B14" s="49">
        <v>14.891225814819339</v>
      </c>
      <c r="C14" s="49">
        <v>37.791168212890618</v>
      </c>
      <c r="D14" s="63">
        <f t="shared" ref="D14:E14" si="14">(B14/B13)-1</f>
        <v>7.0388839633781508E-3</v>
      </c>
      <c r="E14" s="63">
        <f t="shared" si="14"/>
        <v>4.1512350676018439E-2</v>
      </c>
      <c r="F14" s="63">
        <v>3.04E-2</v>
      </c>
      <c r="G14" s="63">
        <v>3.4999999999999996E-3</v>
      </c>
      <c r="H14" s="63">
        <f t="shared" si="1"/>
        <v>3.5388839633781512E-3</v>
      </c>
      <c r="I14" s="63">
        <f t="shared" si="2"/>
        <v>3.8012350676018436E-2</v>
      </c>
      <c r="J14" s="45"/>
      <c r="K14" s="141" t="s">
        <v>75</v>
      </c>
      <c r="L14" s="132"/>
      <c r="T14" s="45"/>
      <c r="U14" s="45"/>
      <c r="V14" s="45"/>
      <c r="W14" s="45"/>
      <c r="X14" s="45"/>
      <c r="Y14" s="45"/>
      <c r="Z14" s="45"/>
    </row>
    <row r="15" spans="1:26" ht="12.75" customHeight="1" x14ac:dyDescent="0.35">
      <c r="A15" s="61">
        <v>38776</v>
      </c>
      <c r="B15" s="49">
        <v>15.411612510681151</v>
      </c>
      <c r="C15" s="49">
        <v>36.336170196533203</v>
      </c>
      <c r="D15" s="63">
        <f t="shared" ref="D15:E15" si="15">(B15/B14)-1</f>
        <v>3.4945860222194591E-2</v>
      </c>
      <c r="E15" s="63">
        <f t="shared" si="15"/>
        <v>-3.8501006588653519E-2</v>
      </c>
      <c r="F15" s="63">
        <v>-3.0000000000000001E-3</v>
      </c>
      <c r="G15" s="63">
        <v>3.4000000000000002E-3</v>
      </c>
      <c r="H15" s="63">
        <f t="shared" si="1"/>
        <v>3.1545860222194591E-2</v>
      </c>
      <c r="I15" s="63">
        <f t="shared" si="2"/>
        <v>-4.1901006588653519E-2</v>
      </c>
      <c r="J15" s="45"/>
      <c r="K15" s="71" t="s">
        <v>76</v>
      </c>
      <c r="L15" s="71">
        <v>0.56034914603317176</v>
      </c>
      <c r="T15" s="45"/>
      <c r="U15" s="45"/>
      <c r="V15" s="45"/>
      <c r="W15" s="45"/>
      <c r="X15" s="45"/>
      <c r="Y15" s="45"/>
      <c r="Z15" s="45"/>
    </row>
    <row r="16" spans="1:26" ht="12.75" customHeight="1" x14ac:dyDescent="0.35">
      <c r="A16" s="61">
        <v>38807</v>
      </c>
      <c r="B16" s="49">
        <v>13.698325157165529</v>
      </c>
      <c r="C16" s="49">
        <v>35.803134918212891</v>
      </c>
      <c r="D16" s="63">
        <f t="shared" ref="D16:E16" si="16">(B16/B15)-1</f>
        <v>-0.11116859785620825</v>
      </c>
      <c r="E16" s="63">
        <f t="shared" si="16"/>
        <v>-1.4669550352644722E-2</v>
      </c>
      <c r="F16" s="63">
        <v>1.46E-2</v>
      </c>
      <c r="G16" s="63">
        <v>3.7000000000000002E-3</v>
      </c>
      <c r="H16" s="63">
        <f t="shared" si="1"/>
        <v>-0.11486859785620825</v>
      </c>
      <c r="I16" s="63">
        <f t="shared" si="2"/>
        <v>-1.8369550352644724E-2</v>
      </c>
      <c r="J16" s="45"/>
      <c r="K16" s="71" t="s">
        <v>77</v>
      </c>
      <c r="L16" s="71">
        <v>0.31399116546010492</v>
      </c>
      <c r="T16" s="45"/>
      <c r="U16" s="45"/>
      <c r="V16" s="45"/>
      <c r="W16" s="45"/>
      <c r="X16" s="45"/>
      <c r="Y16" s="45"/>
      <c r="Z16" s="45"/>
    </row>
    <row r="17" spans="1:26" ht="12.75" customHeight="1" x14ac:dyDescent="0.35">
      <c r="A17" s="61">
        <v>38837</v>
      </c>
      <c r="B17" s="49">
        <v>12.513427734375</v>
      </c>
      <c r="C17" s="49">
        <v>34.28643798828125</v>
      </c>
      <c r="D17" s="63">
        <f t="shared" ref="D17:E17" si="17">(B17/B16)-1</f>
        <v>-8.6499437646266886E-2</v>
      </c>
      <c r="E17" s="63">
        <f t="shared" si="17"/>
        <v>-4.2362126484072338E-2</v>
      </c>
      <c r="F17" s="63">
        <v>7.3000000000000001E-3</v>
      </c>
      <c r="G17" s="63">
        <v>3.5999999999999999E-3</v>
      </c>
      <c r="H17" s="63">
        <f t="shared" si="1"/>
        <v>-9.0099437646266892E-2</v>
      </c>
      <c r="I17" s="63">
        <f t="shared" si="2"/>
        <v>-4.5962126484072337E-2</v>
      </c>
      <c r="J17" s="45"/>
      <c r="K17" s="71" t="s">
        <v>78</v>
      </c>
      <c r="L17" s="71">
        <v>0.31123610989970374</v>
      </c>
      <c r="T17" s="45"/>
      <c r="U17" s="45"/>
      <c r="V17" s="45"/>
      <c r="W17" s="45"/>
      <c r="X17" s="45"/>
      <c r="Y17" s="45"/>
      <c r="Z17" s="45"/>
    </row>
    <row r="18" spans="1:26" ht="12.75" customHeight="1" x14ac:dyDescent="0.35">
      <c r="A18" s="61">
        <v>38868</v>
      </c>
      <c r="B18" s="49">
        <v>12.033063888549799</v>
      </c>
      <c r="C18" s="49">
        <v>36.375118255615227</v>
      </c>
      <c r="D18" s="63">
        <f t="shared" ref="D18:E18" si="18">(B18/B17)-1</f>
        <v>-3.8387870695542281E-2</v>
      </c>
      <c r="E18" s="63">
        <f t="shared" si="18"/>
        <v>6.0918555262225338E-2</v>
      </c>
      <c r="F18" s="63">
        <v>-3.5699999999999996E-2</v>
      </c>
      <c r="G18" s="63">
        <v>4.3E-3</v>
      </c>
      <c r="H18" s="63">
        <f t="shared" si="1"/>
        <v>-4.2687870695542279E-2</v>
      </c>
      <c r="I18" s="63">
        <f t="shared" si="2"/>
        <v>5.661855526222534E-2</v>
      </c>
      <c r="J18" s="45"/>
      <c r="K18" s="71" t="s">
        <v>79</v>
      </c>
      <c r="L18" s="71">
        <v>7.7122576857160646E-2</v>
      </c>
      <c r="T18" s="45"/>
      <c r="U18" s="45"/>
      <c r="V18" s="45"/>
      <c r="W18" s="45"/>
      <c r="X18" s="45"/>
      <c r="Y18" s="45"/>
      <c r="Z18" s="45"/>
    </row>
    <row r="19" spans="1:26" ht="12.75" customHeight="1" x14ac:dyDescent="0.35">
      <c r="A19" s="61">
        <v>38898</v>
      </c>
      <c r="B19" s="49">
        <v>11.7208309173584</v>
      </c>
      <c r="C19" s="49">
        <v>32.376686096191413</v>
      </c>
      <c r="D19" s="63">
        <f t="shared" ref="D19:E19" si="19">(B19/B18)-1</f>
        <v>-2.5947919339853964E-2</v>
      </c>
      <c r="E19" s="63">
        <f t="shared" si="19"/>
        <v>-0.10992217623393086</v>
      </c>
      <c r="F19" s="63">
        <v>-3.4999999999999996E-3</v>
      </c>
      <c r="G19" s="63">
        <v>4.0000000000000001E-3</v>
      </c>
      <c r="H19" s="63">
        <f t="shared" si="1"/>
        <v>-2.9947919339853964E-2</v>
      </c>
      <c r="I19" s="63">
        <f t="shared" si="2"/>
        <v>-0.11392217623393086</v>
      </c>
      <c r="J19" s="45"/>
      <c r="K19" s="73" t="s">
        <v>80</v>
      </c>
      <c r="L19" s="73">
        <v>251</v>
      </c>
      <c r="T19" s="45"/>
      <c r="U19" s="45"/>
      <c r="V19" s="45"/>
      <c r="W19" s="45"/>
      <c r="X19" s="45"/>
      <c r="Y19" s="45"/>
      <c r="Z19" s="45"/>
    </row>
    <row r="20" spans="1:26" ht="12.75" customHeight="1" x14ac:dyDescent="0.35">
      <c r="A20" s="61">
        <v>38929</v>
      </c>
      <c r="B20" s="49">
        <v>12.24122333526611</v>
      </c>
      <c r="C20" s="49">
        <v>35.166576385498047</v>
      </c>
      <c r="D20" s="63">
        <f t="shared" ref="D20:E20" si="20">(B20/B19)-1</f>
        <v>4.4398935670765027E-2</v>
      </c>
      <c r="E20" s="63">
        <f t="shared" si="20"/>
        <v>8.616972969431913E-2</v>
      </c>
      <c r="F20" s="63">
        <v>-7.8000000000000005E-3</v>
      </c>
      <c r="G20" s="63">
        <v>4.0000000000000001E-3</v>
      </c>
      <c r="H20" s="63">
        <f t="shared" si="1"/>
        <v>4.0398935670765024E-2</v>
      </c>
      <c r="I20" s="63">
        <f t="shared" si="2"/>
        <v>8.2169729694319127E-2</v>
      </c>
      <c r="J20" s="45"/>
      <c r="T20" s="45"/>
      <c r="U20" s="45"/>
      <c r="V20" s="45"/>
      <c r="W20" s="45"/>
      <c r="X20" s="45"/>
      <c r="Y20" s="45"/>
      <c r="Z20" s="45"/>
    </row>
    <row r="21" spans="1:26" ht="12.75" customHeight="1" x14ac:dyDescent="0.35">
      <c r="A21" s="61">
        <v>38960</v>
      </c>
      <c r="B21" s="49">
        <v>11.712825775146481</v>
      </c>
      <c r="C21" s="49">
        <v>36.300559997558587</v>
      </c>
      <c r="D21" s="63">
        <f t="shared" ref="D21:E21" si="21">(B21/B20)-1</f>
        <v>-4.3165421106022395E-2</v>
      </c>
      <c r="E21" s="63">
        <f t="shared" si="21"/>
        <v>3.224606227315796E-2</v>
      </c>
      <c r="F21" s="63">
        <v>2.0299999999999999E-2</v>
      </c>
      <c r="G21" s="63">
        <v>4.1999999999999997E-3</v>
      </c>
      <c r="H21" s="63">
        <f t="shared" si="1"/>
        <v>-4.7365421106022397E-2</v>
      </c>
      <c r="I21" s="63">
        <f t="shared" si="2"/>
        <v>2.8046062273157962E-2</v>
      </c>
      <c r="J21" s="45"/>
      <c r="K21" s="71" t="s">
        <v>81</v>
      </c>
      <c r="T21" s="45"/>
      <c r="U21" s="45"/>
      <c r="V21" s="45"/>
      <c r="W21" s="45"/>
      <c r="X21" s="45"/>
      <c r="Y21" s="45"/>
      <c r="Z21" s="45"/>
    </row>
    <row r="22" spans="1:26" ht="12.75" customHeight="1" x14ac:dyDescent="0.35">
      <c r="A22" s="61">
        <v>38990</v>
      </c>
      <c r="B22" s="49">
        <v>9.5431928634643555</v>
      </c>
      <c r="C22" s="49">
        <v>37.449729919433587</v>
      </c>
      <c r="D22" s="63">
        <f t="shared" ref="D22:E22" si="22">(B22/B21)-1</f>
        <v>-0.1852356513563006</v>
      </c>
      <c r="E22" s="63">
        <f t="shared" si="22"/>
        <v>3.1657085233734339E-2</v>
      </c>
      <c r="F22" s="63">
        <v>1.84E-2</v>
      </c>
      <c r="G22" s="63">
        <v>4.0999999999999995E-3</v>
      </c>
      <c r="H22" s="63">
        <f t="shared" si="1"/>
        <v>-0.18933565135630059</v>
      </c>
      <c r="I22" s="63">
        <f t="shared" si="2"/>
        <v>2.7557085233734339E-2</v>
      </c>
      <c r="J22" s="45"/>
      <c r="K22" s="72"/>
      <c r="L22" s="72" t="s">
        <v>82</v>
      </c>
      <c r="M22" s="72" t="s">
        <v>83</v>
      </c>
      <c r="N22" s="72" t="s">
        <v>84</v>
      </c>
      <c r="O22" s="72" t="s">
        <v>85</v>
      </c>
      <c r="P22" s="72" t="s">
        <v>86</v>
      </c>
      <c r="T22" s="45"/>
      <c r="U22" s="45"/>
      <c r="V22" s="45"/>
      <c r="W22" s="45"/>
      <c r="X22" s="45"/>
      <c r="Y22" s="45"/>
      <c r="Z22" s="45"/>
    </row>
    <row r="23" spans="1:26" ht="12.75" customHeight="1" x14ac:dyDescent="0.35">
      <c r="A23" s="61">
        <v>39021</v>
      </c>
      <c r="B23" s="49">
        <v>9.647273063659668</v>
      </c>
      <c r="C23" s="49">
        <v>41.430587768554688</v>
      </c>
      <c r="D23" s="63">
        <f t="shared" ref="D23:E23" si="23">(B23/B22)-1</f>
        <v>1.090622412062725E-2</v>
      </c>
      <c r="E23" s="63">
        <f t="shared" si="23"/>
        <v>0.10629870649762241</v>
      </c>
      <c r="F23" s="63">
        <v>3.2300000000000002E-2</v>
      </c>
      <c r="G23" s="63">
        <v>4.0999999999999995E-3</v>
      </c>
      <c r="H23" s="63">
        <f t="shared" si="1"/>
        <v>6.8062241206272509E-3</v>
      </c>
      <c r="I23" s="63">
        <f t="shared" si="2"/>
        <v>0.10219870649762242</v>
      </c>
      <c r="J23" s="45"/>
      <c r="K23" s="71" t="s">
        <v>87</v>
      </c>
      <c r="L23" s="71">
        <v>1</v>
      </c>
      <c r="M23" s="71">
        <v>0.67787580197545783</v>
      </c>
      <c r="N23" s="71">
        <v>0.67787580197545783</v>
      </c>
      <c r="O23" s="71">
        <v>113.96908649435085</v>
      </c>
      <c r="P23" s="71">
        <v>3.7522548846318281E-22</v>
      </c>
      <c r="T23" s="45"/>
      <c r="U23" s="45"/>
      <c r="V23" s="45"/>
      <c r="W23" s="45"/>
      <c r="X23" s="45"/>
      <c r="Y23" s="45"/>
      <c r="Z23" s="45"/>
    </row>
    <row r="24" spans="1:26" ht="12.75" customHeight="1" x14ac:dyDescent="0.35">
      <c r="A24" s="61">
        <v>39051</v>
      </c>
      <c r="B24" s="49">
        <v>9.3830690383911133</v>
      </c>
      <c r="C24" s="49">
        <v>45.560073852539063</v>
      </c>
      <c r="D24" s="63">
        <f t="shared" ref="D24:E24" si="24">(B24/B23)-1</f>
        <v>-2.73863944272279E-2</v>
      </c>
      <c r="E24" s="63">
        <f t="shared" si="24"/>
        <v>9.9672399219945529E-2</v>
      </c>
      <c r="F24" s="63">
        <v>1.7100000000000001E-2</v>
      </c>
      <c r="G24" s="63">
        <v>4.1999999999999997E-3</v>
      </c>
      <c r="H24" s="63">
        <f t="shared" si="1"/>
        <v>-3.1586394427227903E-2</v>
      </c>
      <c r="I24" s="63">
        <f t="shared" si="2"/>
        <v>9.5472399219945533E-2</v>
      </c>
      <c r="J24" s="45"/>
      <c r="K24" s="71" t="s">
        <v>88</v>
      </c>
      <c r="L24" s="71">
        <v>249</v>
      </c>
      <c r="M24" s="71">
        <v>1.4810250734110739</v>
      </c>
      <c r="N24" s="71">
        <v>5.9478918610886503E-3</v>
      </c>
      <c r="T24" s="45"/>
      <c r="U24" s="45"/>
      <c r="V24" s="45"/>
      <c r="W24" s="45"/>
      <c r="X24" s="45"/>
      <c r="Y24" s="45"/>
      <c r="Z24" s="45"/>
    </row>
    <row r="25" spans="1:26" ht="12.75" customHeight="1" x14ac:dyDescent="0.35">
      <c r="A25" s="61">
        <v>39082</v>
      </c>
      <c r="B25" s="49">
        <v>9.8073892593383789</v>
      </c>
      <c r="C25" s="49">
        <v>46.970352172851563</v>
      </c>
      <c r="D25" s="63">
        <f t="shared" ref="D25:E25" si="25">(B25/B24)-1</f>
        <v>4.5221901193644332E-2</v>
      </c>
      <c r="E25" s="63">
        <f t="shared" si="25"/>
        <v>3.0954258873175711E-2</v>
      </c>
      <c r="F25" s="63">
        <v>8.6999999999999994E-3</v>
      </c>
      <c r="G25" s="63">
        <v>4.0000000000000001E-3</v>
      </c>
      <c r="H25" s="63">
        <f t="shared" si="1"/>
        <v>4.1221901193644328E-2</v>
      </c>
      <c r="I25" s="63">
        <f t="shared" si="2"/>
        <v>2.6954258873175711E-2</v>
      </c>
      <c r="J25" s="45"/>
      <c r="K25" s="73" t="s">
        <v>89</v>
      </c>
      <c r="L25" s="73">
        <v>250</v>
      </c>
      <c r="M25" s="73">
        <v>2.1589008753865317</v>
      </c>
      <c r="N25" s="73"/>
      <c r="O25" s="73"/>
      <c r="P25" s="73"/>
      <c r="T25" s="45"/>
      <c r="U25" s="45"/>
      <c r="V25" s="45"/>
      <c r="W25" s="45"/>
      <c r="X25" s="45"/>
      <c r="Y25" s="45"/>
      <c r="Z25" s="45"/>
    </row>
    <row r="26" spans="1:26" ht="12.75" customHeight="1" x14ac:dyDescent="0.35">
      <c r="A26" s="61">
        <v>39113</v>
      </c>
      <c r="B26" s="49">
        <v>11.28850746154785</v>
      </c>
      <c r="C26" s="49">
        <v>49.846492767333977</v>
      </c>
      <c r="D26" s="63">
        <f t="shared" ref="D26:E26" si="26">(B26/B25)-1</f>
        <v>0.15102063995259329</v>
      </c>
      <c r="E26" s="63">
        <f t="shared" si="26"/>
        <v>6.1233106873420429E-2</v>
      </c>
      <c r="F26" s="63">
        <v>1.3999999999999999E-2</v>
      </c>
      <c r="G26" s="63">
        <v>4.4000000000000003E-3</v>
      </c>
      <c r="H26" s="63">
        <f t="shared" si="1"/>
        <v>0.14662063995259331</v>
      </c>
      <c r="I26" s="63">
        <f t="shared" si="2"/>
        <v>5.6833106873420428E-2</v>
      </c>
      <c r="J26" s="45"/>
      <c r="T26" s="45"/>
      <c r="U26" s="45"/>
      <c r="V26" s="45"/>
      <c r="W26" s="45"/>
      <c r="X26" s="45"/>
      <c r="Y26" s="45"/>
      <c r="Z26" s="45"/>
    </row>
    <row r="27" spans="1:26" ht="12.75" customHeight="1" x14ac:dyDescent="0.35">
      <c r="A27" s="61">
        <v>39141</v>
      </c>
      <c r="B27" s="49">
        <v>10.816153526306151</v>
      </c>
      <c r="C27" s="49">
        <v>51.349327087402337</v>
      </c>
      <c r="D27" s="63">
        <f t="shared" ref="D27:E27" si="27">(B27/B26)-1</f>
        <v>-4.1843789965208655E-2</v>
      </c>
      <c r="E27" s="63">
        <f t="shared" si="27"/>
        <v>3.014924895685378E-2</v>
      </c>
      <c r="F27" s="63">
        <v>-1.9599999999999999E-2</v>
      </c>
      <c r="G27" s="63">
        <v>3.8E-3</v>
      </c>
      <c r="H27" s="63">
        <f t="shared" si="1"/>
        <v>-4.5643789965208653E-2</v>
      </c>
      <c r="I27" s="63">
        <f t="shared" si="2"/>
        <v>2.6349248956853779E-2</v>
      </c>
      <c r="J27" s="45"/>
      <c r="K27" s="72"/>
      <c r="L27" s="72" t="s">
        <v>90</v>
      </c>
      <c r="M27" s="72" t="s">
        <v>79</v>
      </c>
      <c r="N27" s="72" t="s">
        <v>91</v>
      </c>
      <c r="O27" s="72" t="s">
        <v>92</v>
      </c>
      <c r="P27" s="72" t="s">
        <v>93</v>
      </c>
      <c r="Q27" s="72" t="s">
        <v>94</v>
      </c>
      <c r="R27" s="72" t="s">
        <v>95</v>
      </c>
      <c r="S27" s="72" t="s">
        <v>96</v>
      </c>
      <c r="T27" s="45"/>
      <c r="U27" s="45"/>
      <c r="V27" s="45"/>
      <c r="W27" s="45"/>
      <c r="X27" s="45"/>
      <c r="Y27" s="45"/>
      <c r="Z27" s="45"/>
    </row>
    <row r="28" spans="1:26" ht="12.75" customHeight="1" x14ac:dyDescent="0.35">
      <c r="A28" s="61">
        <v>39172</v>
      </c>
      <c r="B28" s="49">
        <v>11.144399642944339</v>
      </c>
      <c r="C28" s="49">
        <v>53.366790771484382</v>
      </c>
      <c r="D28" s="63">
        <f t="shared" ref="D28:E28" si="28">(B28/B27)-1</f>
        <v>3.0347767886232058E-2</v>
      </c>
      <c r="E28" s="63">
        <f t="shared" si="28"/>
        <v>3.9288999457540941E-2</v>
      </c>
      <c r="F28" s="63">
        <v>6.8000000000000005E-3</v>
      </c>
      <c r="G28" s="63">
        <v>4.3E-3</v>
      </c>
      <c r="H28" s="63">
        <f t="shared" si="1"/>
        <v>2.6047767886232059E-2</v>
      </c>
      <c r="I28" s="63">
        <f t="shared" si="2"/>
        <v>3.4988999457540942E-2</v>
      </c>
      <c r="J28" s="45"/>
      <c r="K28" s="71" t="s">
        <v>97</v>
      </c>
      <c r="L28" s="71">
        <v>1.357521874044601E-3</v>
      </c>
      <c r="M28" s="71">
        <v>4.9526507784790792E-3</v>
      </c>
      <c r="N28" s="71">
        <v>0.27410005969802809</v>
      </c>
      <c r="O28" s="71">
        <v>0.78423497846934165</v>
      </c>
      <c r="P28" s="71">
        <v>-8.3969064267176239E-3</v>
      </c>
      <c r="Q28" s="71">
        <v>1.1111950174806826E-2</v>
      </c>
      <c r="R28" s="71">
        <v>-8.3969064267176239E-3</v>
      </c>
      <c r="S28" s="71">
        <v>1.1111950174806826E-2</v>
      </c>
      <c r="T28" s="45"/>
      <c r="U28" s="45"/>
      <c r="V28" s="45"/>
      <c r="W28" s="45"/>
      <c r="X28" s="45"/>
      <c r="Y28" s="45"/>
      <c r="Z28" s="45"/>
    </row>
    <row r="29" spans="1:26" ht="12.75" customHeight="1" x14ac:dyDescent="0.35">
      <c r="A29" s="61">
        <v>39202</v>
      </c>
      <c r="B29" s="49">
        <v>11.68881034851074</v>
      </c>
      <c r="C29" s="49">
        <v>49.173778533935547</v>
      </c>
      <c r="D29" s="63">
        <f t="shared" ref="D29:E29" si="29">(B29/B28)-1</f>
        <v>4.8850608647283522E-2</v>
      </c>
      <c r="E29" s="63">
        <f t="shared" si="29"/>
        <v>-7.8569690568489281E-2</v>
      </c>
      <c r="F29" s="63">
        <v>3.49E-2</v>
      </c>
      <c r="G29" s="63">
        <v>4.4000000000000003E-3</v>
      </c>
      <c r="H29" s="63">
        <f t="shared" si="1"/>
        <v>4.4450608647283521E-2</v>
      </c>
      <c r="I29" s="63">
        <f t="shared" si="2"/>
        <v>-8.2969690568489282E-2</v>
      </c>
      <c r="J29" s="45"/>
      <c r="K29" s="73" t="s">
        <v>98</v>
      </c>
      <c r="L29" s="73">
        <v>1.1763541654262644</v>
      </c>
      <c r="M29" s="73">
        <v>0.11019060333998423</v>
      </c>
      <c r="N29" s="73">
        <v>10.675630496338407</v>
      </c>
      <c r="O29" s="73">
        <v>3.7522548846321507E-22</v>
      </c>
      <c r="P29" s="73">
        <v>0.95932970968063158</v>
      </c>
      <c r="Q29" s="73">
        <v>1.3933786211718973</v>
      </c>
      <c r="R29" s="73">
        <v>0.95932970968063158</v>
      </c>
      <c r="S29" s="73">
        <v>1.3933786211718973</v>
      </c>
      <c r="T29" s="45"/>
      <c r="U29" s="45"/>
      <c r="V29" s="45"/>
      <c r="W29" s="45"/>
      <c r="X29" s="45"/>
      <c r="Y29" s="45"/>
      <c r="Z29" s="45"/>
    </row>
    <row r="30" spans="1:26" ht="12.75" customHeight="1" x14ac:dyDescent="0.35">
      <c r="A30" s="61">
        <v>39233</v>
      </c>
      <c r="B30" s="49">
        <v>11.120382308959959</v>
      </c>
      <c r="C30" s="49">
        <v>50.705600738525391</v>
      </c>
      <c r="D30" s="63">
        <f t="shared" ref="D30:E30" si="30">(B30/B29)-1</f>
        <v>-4.8630102003768383E-2</v>
      </c>
      <c r="E30" s="63">
        <f t="shared" si="30"/>
        <v>3.115119989269699E-2</v>
      </c>
      <c r="F30" s="63">
        <v>3.2400000000000005E-2</v>
      </c>
      <c r="G30" s="63">
        <v>4.0999999999999995E-3</v>
      </c>
      <c r="H30" s="63">
        <f t="shared" si="1"/>
        <v>-5.2730102003768382E-2</v>
      </c>
      <c r="I30" s="63">
        <f t="shared" si="2"/>
        <v>2.7051199892696991E-2</v>
      </c>
      <c r="J30" s="45"/>
      <c r="T30" s="45"/>
      <c r="U30" s="45"/>
      <c r="V30" s="45"/>
      <c r="W30" s="45"/>
      <c r="X30" s="45"/>
      <c r="Y30" s="45"/>
      <c r="Z30" s="45"/>
    </row>
    <row r="31" spans="1:26" ht="12.75" customHeight="1" x14ac:dyDescent="0.35">
      <c r="A31" s="61">
        <v>39263</v>
      </c>
      <c r="B31" s="49">
        <v>10.784128189086911</v>
      </c>
      <c r="C31" s="49">
        <v>54.969154357910163</v>
      </c>
      <c r="D31" s="63">
        <f t="shared" ref="D31:E31" si="31">(B31/B30)-1</f>
        <v>-3.0237640265489807E-2</v>
      </c>
      <c r="E31" s="63">
        <f t="shared" si="31"/>
        <v>8.4084471089707069E-2</v>
      </c>
      <c r="F31" s="63">
        <v>-1.9599999999999999E-2</v>
      </c>
      <c r="G31" s="63">
        <v>4.0000000000000001E-3</v>
      </c>
      <c r="H31" s="63">
        <f t="shared" si="1"/>
        <v>-3.423764026548981E-2</v>
      </c>
      <c r="I31" s="63">
        <f t="shared" si="2"/>
        <v>8.0084471089707066E-2</v>
      </c>
      <c r="J31" s="45"/>
      <c r="T31" s="45"/>
      <c r="U31" s="45"/>
      <c r="V31" s="45"/>
      <c r="W31" s="45"/>
      <c r="X31" s="45"/>
      <c r="Y31" s="45"/>
      <c r="Z31" s="45"/>
    </row>
    <row r="32" spans="1:26" ht="12.75" customHeight="1" x14ac:dyDescent="0.35">
      <c r="A32" s="61">
        <v>39294</v>
      </c>
      <c r="B32" s="49">
        <v>10.896212577819821</v>
      </c>
      <c r="C32" s="49">
        <v>58.943843841552727</v>
      </c>
      <c r="D32" s="63">
        <f t="shared" ref="D32:E32" si="32">(B32/B31)-1</f>
        <v>1.0393458494524888E-2</v>
      </c>
      <c r="E32" s="63">
        <f t="shared" si="32"/>
        <v>7.2307633800638982E-2</v>
      </c>
      <c r="F32" s="63">
        <v>-3.73E-2</v>
      </c>
      <c r="G32" s="63">
        <v>4.0000000000000001E-3</v>
      </c>
      <c r="H32" s="63">
        <f t="shared" si="1"/>
        <v>6.3934584945248875E-3</v>
      </c>
      <c r="I32" s="63">
        <f t="shared" si="2"/>
        <v>6.8307633800638978E-2</v>
      </c>
      <c r="J32" s="45"/>
      <c r="K32" s="140" t="s">
        <v>99</v>
      </c>
      <c r="L32" s="138"/>
      <c r="T32" s="45"/>
      <c r="U32" s="45"/>
      <c r="V32" s="45"/>
      <c r="W32" s="45"/>
      <c r="X32" s="45"/>
      <c r="Y32" s="45"/>
      <c r="Z32" s="45"/>
    </row>
    <row r="33" spans="1:26" ht="12.75" customHeight="1" x14ac:dyDescent="0.35">
      <c r="A33" s="61">
        <v>39325</v>
      </c>
      <c r="B33" s="49">
        <v>11.00829410552979</v>
      </c>
      <c r="C33" s="49">
        <v>59.483760833740227</v>
      </c>
      <c r="D33" s="63">
        <f t="shared" ref="D33:E33" si="33">(B33/B32)-1</f>
        <v>1.0286283138245755E-2</v>
      </c>
      <c r="E33" s="63">
        <f t="shared" si="33"/>
        <v>9.1598538032038324E-3</v>
      </c>
      <c r="F33" s="63">
        <v>9.1999999999999998E-3</v>
      </c>
      <c r="G33" s="63">
        <v>4.1999999999999997E-3</v>
      </c>
      <c r="H33" s="63">
        <f t="shared" si="1"/>
        <v>6.0862831382457556E-3</v>
      </c>
      <c r="I33" s="63">
        <f t="shared" si="2"/>
        <v>4.9598538032038326E-3</v>
      </c>
      <c r="J33" s="45"/>
      <c r="K33" s="69" t="s">
        <v>71</v>
      </c>
      <c r="L33" s="74">
        <f t="shared" ref="L33:L34" si="34">L52</f>
        <v>-4.5245925187289461E-4</v>
      </c>
      <c r="M33" s="45"/>
      <c r="N33" s="45"/>
      <c r="V33" s="45"/>
      <c r="W33" s="45"/>
      <c r="X33" s="45"/>
      <c r="Y33" s="45"/>
      <c r="Z33" s="45"/>
    </row>
    <row r="34" spans="1:26" ht="12.75" customHeight="1" x14ac:dyDescent="0.35">
      <c r="A34" s="61">
        <v>39355</v>
      </c>
      <c r="B34" s="49">
        <v>11.84892749786377</v>
      </c>
      <c r="C34" s="49">
        <v>70.038299560546875</v>
      </c>
      <c r="D34" s="63">
        <f t="shared" ref="D34:E34" si="35">(B34/B33)-1</f>
        <v>7.6363638568822667E-2</v>
      </c>
      <c r="E34" s="63">
        <f t="shared" si="35"/>
        <v>0.17743563249652383</v>
      </c>
      <c r="F34" s="63">
        <v>3.2199999999999999E-2</v>
      </c>
      <c r="G34" s="63">
        <v>3.2000000000000002E-3</v>
      </c>
      <c r="H34" s="63">
        <f t="shared" si="1"/>
        <v>7.3163638568822673E-2</v>
      </c>
      <c r="I34" s="63">
        <f t="shared" si="2"/>
        <v>0.17423563249652382</v>
      </c>
      <c r="J34" s="45"/>
      <c r="K34" s="70" t="s">
        <v>72</v>
      </c>
      <c r="L34" s="70">
        <f t="shared" si="34"/>
        <v>0.84622440036882551</v>
      </c>
      <c r="M34" s="45"/>
      <c r="N34" s="45"/>
      <c r="V34" s="45"/>
      <c r="W34" s="45"/>
      <c r="X34" s="45"/>
      <c r="Y34" s="45"/>
      <c r="Z34" s="45"/>
    </row>
    <row r="35" spans="1:26" ht="12.75" customHeight="1" x14ac:dyDescent="0.35">
      <c r="A35" s="61">
        <v>39386</v>
      </c>
      <c r="B35" s="49">
        <v>11.73684692382812</v>
      </c>
      <c r="C35" s="49">
        <v>75.083450317382813</v>
      </c>
      <c r="D35" s="63">
        <f t="shared" ref="D35:E35" si="36">(B35/B34)-1</f>
        <v>-9.4591324029839052E-3</v>
      </c>
      <c r="E35" s="63">
        <f t="shared" si="36"/>
        <v>7.2034169711309159E-2</v>
      </c>
      <c r="F35" s="63">
        <v>1.8000000000000002E-2</v>
      </c>
      <c r="G35" s="63">
        <v>3.2000000000000002E-3</v>
      </c>
      <c r="H35" s="63">
        <f t="shared" si="1"/>
        <v>-1.2659132402983905E-2</v>
      </c>
      <c r="I35" s="63">
        <f t="shared" si="2"/>
        <v>6.8834169711309165E-2</v>
      </c>
      <c r="J35" s="45"/>
      <c r="K35" s="70" t="s">
        <v>73</v>
      </c>
      <c r="L35" s="55">
        <f>L41</f>
        <v>0.18222032134293864</v>
      </c>
      <c r="M35" s="45"/>
      <c r="N35" s="45"/>
      <c r="O35" s="45"/>
      <c r="W35" s="45"/>
      <c r="X35" s="45"/>
      <c r="Y35" s="45"/>
      <c r="Z35" s="45"/>
    </row>
    <row r="36" spans="1:26" ht="12.75" customHeight="1" x14ac:dyDescent="0.35">
      <c r="A36" s="61">
        <v>39416</v>
      </c>
      <c r="B36" s="49">
        <v>10.99228000640869</v>
      </c>
      <c r="C36" s="49">
        <v>73.225753784179688</v>
      </c>
      <c r="D36" s="63">
        <f t="shared" ref="D36:E36" si="37">(B36/B35)-1</f>
        <v>-6.3438410865512052E-2</v>
      </c>
      <c r="E36" s="63">
        <f t="shared" si="37"/>
        <v>-2.4741757675633136E-2</v>
      </c>
      <c r="F36" s="63">
        <v>-4.8300000000000003E-2</v>
      </c>
      <c r="G36" s="63">
        <v>3.4000000000000002E-3</v>
      </c>
      <c r="H36" s="63">
        <f t="shared" si="1"/>
        <v>-6.6838410865512052E-2</v>
      </c>
      <c r="I36" s="63">
        <f t="shared" si="2"/>
        <v>-2.8141757675633136E-2</v>
      </c>
      <c r="J36" s="45"/>
      <c r="K36" s="71" t="s">
        <v>74</v>
      </c>
      <c r="T36" s="45"/>
      <c r="U36" s="45"/>
      <c r="V36" s="45"/>
      <c r="W36" s="45"/>
      <c r="X36" s="45"/>
      <c r="Y36" s="45"/>
      <c r="Z36" s="45"/>
    </row>
    <row r="37" spans="1:26" ht="12.75" customHeight="1" x14ac:dyDescent="0.35">
      <c r="A37" s="61">
        <v>39447</v>
      </c>
      <c r="B37" s="49">
        <v>11.50467014312744</v>
      </c>
      <c r="C37" s="49">
        <v>75.996078491210938</v>
      </c>
      <c r="D37" s="63">
        <f t="shared" ref="D37:E37" si="38">(B37/B36)-1</f>
        <v>4.6613635789846786E-2</v>
      </c>
      <c r="E37" s="63">
        <f t="shared" si="38"/>
        <v>3.783265536871494E-2</v>
      </c>
      <c r="F37" s="63">
        <v>-8.6999999999999994E-3</v>
      </c>
      <c r="G37" s="63">
        <v>2.7000000000000001E-3</v>
      </c>
      <c r="H37" s="63">
        <f t="shared" si="1"/>
        <v>4.3913635789846785E-2</v>
      </c>
      <c r="I37" s="63">
        <f t="shared" si="2"/>
        <v>3.5132655368714939E-2</v>
      </c>
      <c r="J37" s="45"/>
      <c r="T37" s="45"/>
      <c r="U37" s="45"/>
      <c r="V37" s="45"/>
      <c r="W37" s="45"/>
      <c r="X37" s="45"/>
      <c r="Y37" s="45"/>
      <c r="Z37" s="45"/>
    </row>
    <row r="38" spans="1:26" ht="12.75" customHeight="1" x14ac:dyDescent="0.35">
      <c r="A38" s="61">
        <v>39478</v>
      </c>
      <c r="B38" s="49">
        <v>10.72808742523193</v>
      </c>
      <c r="C38" s="49">
        <v>76.400840759277344</v>
      </c>
      <c r="D38" s="63">
        <f t="shared" ref="D38:E38" si="39">(B38/B37)-1</f>
        <v>-6.7501519664118104E-2</v>
      </c>
      <c r="E38" s="63">
        <f t="shared" si="39"/>
        <v>5.3260941367285763E-3</v>
      </c>
      <c r="F38" s="63">
        <v>-6.3600000000000004E-2</v>
      </c>
      <c r="G38" s="63">
        <v>2.0999999999999999E-3</v>
      </c>
      <c r="H38" s="63">
        <f t="shared" si="1"/>
        <v>-6.9601519664118108E-2</v>
      </c>
      <c r="I38" s="63">
        <f t="shared" si="2"/>
        <v>3.2260941367285765E-3</v>
      </c>
      <c r="J38" s="45"/>
      <c r="K38" s="141" t="s">
        <v>75</v>
      </c>
      <c r="L38" s="132"/>
      <c r="T38" s="45"/>
      <c r="U38" s="45"/>
      <c r="V38" s="45"/>
      <c r="W38" s="45"/>
      <c r="X38" s="45"/>
      <c r="Y38" s="45"/>
      <c r="Z38" s="45"/>
    </row>
    <row r="39" spans="1:26" ht="12.75" customHeight="1" x14ac:dyDescent="0.35">
      <c r="A39" s="61">
        <v>39507</v>
      </c>
      <c r="B39" s="49">
        <v>10.607993125915529</v>
      </c>
      <c r="C39" s="49">
        <v>72.359809875488281</v>
      </c>
      <c r="D39" s="63">
        <f t="shared" ref="D39:E39" si="40">(B39/B38)-1</f>
        <v>-1.1194381119037589E-2</v>
      </c>
      <c r="E39" s="63">
        <f t="shared" si="40"/>
        <v>-5.2892492328997842E-2</v>
      </c>
      <c r="F39" s="63">
        <v>-3.0899999999999997E-2</v>
      </c>
      <c r="G39" s="63">
        <v>1.2999999999999999E-3</v>
      </c>
      <c r="H39" s="63">
        <f t="shared" si="1"/>
        <v>-1.2494381119037588E-2</v>
      </c>
      <c r="I39" s="63">
        <f t="shared" si="2"/>
        <v>-5.4192492328997845E-2</v>
      </c>
      <c r="J39" s="45"/>
      <c r="K39" s="71" t="s">
        <v>76</v>
      </c>
      <c r="L39" s="71">
        <v>0.43068717192129935</v>
      </c>
      <c r="T39" s="45"/>
      <c r="U39" s="45"/>
      <c r="V39" s="45"/>
      <c r="W39" s="45"/>
      <c r="X39" s="45"/>
      <c r="Y39" s="45"/>
      <c r="Z39" s="45"/>
    </row>
    <row r="40" spans="1:26" ht="12.75" customHeight="1" x14ac:dyDescent="0.35">
      <c r="A40" s="61">
        <v>39538</v>
      </c>
      <c r="B40" s="49">
        <v>11.544697761535639</v>
      </c>
      <c r="C40" s="49">
        <v>56.802993774414063</v>
      </c>
      <c r="D40" s="63">
        <f t="shared" ref="D40:E40" si="41">(B40/B39)-1</f>
        <v>8.8301776264515297E-2</v>
      </c>
      <c r="E40" s="63">
        <f t="shared" si="41"/>
        <v>-0.21499249552815713</v>
      </c>
      <c r="F40" s="63">
        <v>-9.300000000000001E-3</v>
      </c>
      <c r="G40" s="63">
        <v>1.7000000000000001E-3</v>
      </c>
      <c r="H40" s="63">
        <f t="shared" si="1"/>
        <v>8.660177626451529E-2</v>
      </c>
      <c r="I40" s="63">
        <f t="shared" si="2"/>
        <v>-0.21669249552815714</v>
      </c>
      <c r="J40" s="45"/>
      <c r="K40" s="71" t="s">
        <v>77</v>
      </c>
      <c r="L40" s="71">
        <v>0.18549144005756688</v>
      </c>
      <c r="T40" s="45"/>
      <c r="U40" s="45"/>
      <c r="V40" s="45"/>
      <c r="W40" s="45"/>
      <c r="X40" s="45"/>
      <c r="Y40" s="45"/>
      <c r="Z40" s="45"/>
    </row>
    <row r="41" spans="1:26" ht="12.75" customHeight="1" x14ac:dyDescent="0.35">
      <c r="A41" s="61">
        <v>39568</v>
      </c>
      <c r="B41" s="49">
        <v>12.47340106964111</v>
      </c>
      <c r="C41" s="49">
        <v>74.593170166015625</v>
      </c>
      <c r="D41" s="63">
        <f t="shared" ref="D41:E41" si="42">(B41/B40)-1</f>
        <v>8.0444142175787769E-2</v>
      </c>
      <c r="E41" s="63">
        <f t="shared" si="42"/>
        <v>0.31319082339661541</v>
      </c>
      <c r="F41" s="63">
        <v>4.5999999999999999E-2</v>
      </c>
      <c r="G41" s="63">
        <v>1.8E-3</v>
      </c>
      <c r="H41" s="63">
        <f t="shared" si="1"/>
        <v>7.8644142175787773E-2</v>
      </c>
      <c r="I41" s="63">
        <f t="shared" si="2"/>
        <v>0.31139082339661539</v>
      </c>
      <c r="J41" s="45"/>
      <c r="K41" s="71" t="s">
        <v>78</v>
      </c>
      <c r="L41" s="71">
        <v>0.18222032134293864</v>
      </c>
      <c r="T41" s="45"/>
      <c r="U41" s="45"/>
      <c r="V41" s="45"/>
      <c r="W41" s="45"/>
      <c r="X41" s="45"/>
      <c r="Y41" s="45"/>
      <c r="Z41" s="45"/>
    </row>
    <row r="42" spans="1:26" ht="12.75" customHeight="1" x14ac:dyDescent="0.35">
      <c r="A42" s="61">
        <v>39599</v>
      </c>
      <c r="B42" s="49">
        <v>13.73835372924805</v>
      </c>
      <c r="C42" s="49">
        <v>78.045265197753906</v>
      </c>
      <c r="D42" s="63">
        <f t="shared" ref="D42:E42" si="43">(B42/B41)-1</f>
        <v>0.10141200884542201</v>
      </c>
      <c r="E42" s="63">
        <f t="shared" si="43"/>
        <v>4.6278969295114436E-2</v>
      </c>
      <c r="F42" s="63">
        <v>1.8600000000000002E-2</v>
      </c>
      <c r="G42" s="63">
        <v>1.8E-3</v>
      </c>
      <c r="H42" s="63">
        <f t="shared" si="1"/>
        <v>9.9612008845422012E-2</v>
      </c>
      <c r="I42" s="63">
        <f t="shared" si="2"/>
        <v>4.4478969295114433E-2</v>
      </c>
      <c r="J42" s="45"/>
      <c r="K42" s="71" t="s">
        <v>79</v>
      </c>
      <c r="L42" s="71">
        <v>7.8651811772217001E-2</v>
      </c>
      <c r="T42" s="45"/>
      <c r="U42" s="45"/>
      <c r="V42" s="45"/>
      <c r="W42" s="45"/>
      <c r="X42" s="45"/>
      <c r="Y42" s="45"/>
      <c r="Z42" s="45"/>
    </row>
    <row r="43" spans="1:26" ht="12.75" customHeight="1" x14ac:dyDescent="0.35">
      <c r="A43" s="61">
        <v>39629</v>
      </c>
      <c r="B43" s="49">
        <v>13.137899398803709</v>
      </c>
      <c r="C43" s="49">
        <v>70.512672424316406</v>
      </c>
      <c r="D43" s="63">
        <f t="shared" ref="D43:E43" si="44">(B43/B42)-1</f>
        <v>-4.3706425258654757E-2</v>
      </c>
      <c r="E43" s="63">
        <f t="shared" si="44"/>
        <v>-9.6515691943017234E-2</v>
      </c>
      <c r="F43" s="63">
        <v>-8.4399999999999989E-2</v>
      </c>
      <c r="G43" s="63">
        <v>1.7000000000000001E-3</v>
      </c>
      <c r="H43" s="63">
        <f t="shared" si="1"/>
        <v>-4.5406425258654758E-2</v>
      </c>
      <c r="I43" s="63">
        <f t="shared" si="2"/>
        <v>-9.8215691943017241E-2</v>
      </c>
      <c r="J43" s="45"/>
      <c r="K43" s="73" t="s">
        <v>80</v>
      </c>
      <c r="L43" s="73">
        <v>251</v>
      </c>
      <c r="T43" s="45"/>
      <c r="U43" s="45"/>
      <c r="V43" s="45"/>
      <c r="W43" s="45"/>
      <c r="X43" s="45"/>
      <c r="Y43" s="45"/>
      <c r="Z43" s="45"/>
    </row>
    <row r="44" spans="1:26" ht="12.75" customHeight="1" x14ac:dyDescent="0.35">
      <c r="A44" s="61">
        <v>39660</v>
      </c>
      <c r="B44" s="49">
        <v>13.07385158538818</v>
      </c>
      <c r="C44" s="49">
        <v>64.770256042480469</v>
      </c>
      <c r="D44" s="63">
        <f t="shared" ref="D44:E44" si="45">(B44/B43)-1</f>
        <v>-4.8750421563862334E-3</v>
      </c>
      <c r="E44" s="63">
        <f t="shared" si="45"/>
        <v>-8.1438076084826672E-2</v>
      </c>
      <c r="F44" s="63">
        <v>-7.7000000000000002E-3</v>
      </c>
      <c r="G44" s="63">
        <v>1.5E-3</v>
      </c>
      <c r="H44" s="63">
        <f t="shared" si="1"/>
        <v>-6.375042156386233E-3</v>
      </c>
      <c r="I44" s="63">
        <f t="shared" si="2"/>
        <v>-8.2938076084826673E-2</v>
      </c>
      <c r="J44" s="45"/>
      <c r="T44" s="45"/>
      <c r="U44" s="45"/>
      <c r="V44" s="45"/>
      <c r="W44" s="45"/>
      <c r="X44" s="45"/>
      <c r="Y44" s="45"/>
      <c r="Z44" s="45"/>
    </row>
    <row r="45" spans="1:26" ht="12.75" customHeight="1" x14ac:dyDescent="0.35">
      <c r="A45" s="61">
        <v>39691</v>
      </c>
      <c r="B45" s="49">
        <v>15.85995292663574</v>
      </c>
      <c r="C45" s="49">
        <v>58.510623931884773</v>
      </c>
      <c r="D45" s="63">
        <f t="shared" ref="D45:E45" si="46">(B45/B44)-1</f>
        <v>0.21310486225508396</v>
      </c>
      <c r="E45" s="63">
        <f t="shared" si="46"/>
        <v>-9.6643621518034961E-2</v>
      </c>
      <c r="F45" s="63">
        <v>1.5300000000000001E-2</v>
      </c>
      <c r="G45" s="63">
        <v>1.2999999999999999E-3</v>
      </c>
      <c r="H45" s="63">
        <f t="shared" si="1"/>
        <v>0.21180486225508396</v>
      </c>
      <c r="I45" s="63">
        <f t="shared" si="2"/>
        <v>-9.7943621518034957E-2</v>
      </c>
      <c r="J45" s="45"/>
      <c r="K45" s="71" t="s">
        <v>81</v>
      </c>
      <c r="T45" s="45"/>
      <c r="U45" s="45"/>
      <c r="V45" s="45"/>
      <c r="W45" s="45"/>
      <c r="X45" s="45"/>
      <c r="Y45" s="45"/>
      <c r="Z45" s="45"/>
    </row>
    <row r="46" spans="1:26" ht="12.75" customHeight="1" x14ac:dyDescent="0.35">
      <c r="A46" s="61">
        <v>39721</v>
      </c>
      <c r="B46" s="49">
        <v>13.898471832275391</v>
      </c>
      <c r="C46" s="49">
        <v>41.451988220214837</v>
      </c>
      <c r="D46" s="63">
        <f t="shared" ref="D46:E46" si="47">(B46/B45)-1</f>
        <v>-0.1236750892914803</v>
      </c>
      <c r="E46" s="63">
        <f t="shared" si="47"/>
        <v>-0.29154766374613905</v>
      </c>
      <c r="F46" s="63">
        <v>-9.2399999999999996E-2</v>
      </c>
      <c r="G46" s="63">
        <v>1.5E-3</v>
      </c>
      <c r="H46" s="63">
        <f t="shared" si="1"/>
        <v>-0.1251750892914803</v>
      </c>
      <c r="I46" s="63">
        <f t="shared" si="2"/>
        <v>-0.29304766374613905</v>
      </c>
      <c r="J46" s="45"/>
      <c r="K46" s="72"/>
      <c r="L46" s="72" t="s">
        <v>82</v>
      </c>
      <c r="M46" s="72" t="s">
        <v>83</v>
      </c>
      <c r="N46" s="72" t="s">
        <v>84</v>
      </c>
      <c r="O46" s="72" t="s">
        <v>85</v>
      </c>
      <c r="P46" s="72" t="s">
        <v>86</v>
      </c>
      <c r="T46" s="45"/>
      <c r="U46" s="45"/>
      <c r="V46" s="45"/>
      <c r="W46" s="45"/>
      <c r="X46" s="45"/>
      <c r="Y46" s="45"/>
      <c r="Z46" s="45"/>
    </row>
    <row r="47" spans="1:26" ht="12.75" customHeight="1" x14ac:dyDescent="0.35">
      <c r="A47" s="61">
        <v>39752</v>
      </c>
      <c r="B47" s="49">
        <v>11.112375259399411</v>
      </c>
      <c r="C47" s="49">
        <v>25.200542449951168</v>
      </c>
      <c r="D47" s="63">
        <f t="shared" ref="D47:E47" si="48">(B47/B46)-1</f>
        <v>-0.20046064103292527</v>
      </c>
      <c r="E47" s="63">
        <f t="shared" si="48"/>
        <v>-0.39205467501166436</v>
      </c>
      <c r="F47" s="63">
        <v>-0.17230000000000001</v>
      </c>
      <c r="G47" s="63">
        <v>8.0000000000000004E-4</v>
      </c>
      <c r="H47" s="63">
        <f t="shared" si="1"/>
        <v>-0.20126064103292526</v>
      </c>
      <c r="I47" s="63">
        <f t="shared" si="2"/>
        <v>-0.39285467501166438</v>
      </c>
      <c r="J47" s="45"/>
      <c r="K47" s="71" t="s">
        <v>87</v>
      </c>
      <c r="L47" s="71">
        <v>1</v>
      </c>
      <c r="M47" s="71">
        <v>0.35078824332383096</v>
      </c>
      <c r="N47" s="71">
        <v>0.35078824332383096</v>
      </c>
      <c r="O47" s="71">
        <v>56.705811142854692</v>
      </c>
      <c r="P47" s="71">
        <v>9.2994586606439126E-13</v>
      </c>
      <c r="T47" s="45"/>
      <c r="U47" s="45"/>
      <c r="V47" s="45"/>
      <c r="W47" s="45"/>
      <c r="X47" s="45"/>
      <c r="Y47" s="45"/>
      <c r="Z47" s="45"/>
    </row>
    <row r="48" spans="1:26" ht="12.75" customHeight="1" x14ac:dyDescent="0.35">
      <c r="A48" s="61">
        <v>39782</v>
      </c>
      <c r="B48" s="49">
        <v>9.6872997283935547</v>
      </c>
      <c r="C48" s="49">
        <v>27.857723236083981</v>
      </c>
      <c r="D48" s="63">
        <f t="shared" ref="D48:E48" si="49">(B48/B47)-1</f>
        <v>-0.12824220724551705</v>
      </c>
      <c r="E48" s="63">
        <f t="shared" si="49"/>
        <v>0.10544141227951864</v>
      </c>
      <c r="F48" s="63">
        <v>-7.8600000000000003E-2</v>
      </c>
      <c r="G48" s="63">
        <v>2.9999999999999997E-4</v>
      </c>
      <c r="H48" s="63">
        <f t="shared" si="1"/>
        <v>-0.12854220724551704</v>
      </c>
      <c r="I48" s="63">
        <f t="shared" si="2"/>
        <v>0.10514141227951865</v>
      </c>
      <c r="J48" s="45"/>
      <c r="K48" s="71" t="s">
        <v>88</v>
      </c>
      <c r="L48" s="71">
        <v>249</v>
      </c>
      <c r="M48" s="71">
        <v>1.5403407662680109</v>
      </c>
      <c r="N48" s="71">
        <v>6.1861074950522524E-3</v>
      </c>
      <c r="T48" s="45"/>
      <c r="U48" s="45"/>
      <c r="V48" s="45"/>
      <c r="W48" s="45"/>
      <c r="X48" s="45"/>
      <c r="Y48" s="45"/>
      <c r="Z48" s="45"/>
    </row>
    <row r="49" spans="1:26" ht="12.75" customHeight="1" x14ac:dyDescent="0.35">
      <c r="A49" s="61">
        <v>39813</v>
      </c>
      <c r="B49" s="49">
        <v>10.672041893005369</v>
      </c>
      <c r="C49" s="49">
        <v>34.125354766845703</v>
      </c>
      <c r="D49" s="63">
        <f t="shared" ref="D49:E49" si="50">(B49/B48)-1</f>
        <v>0.10165290557961448</v>
      </c>
      <c r="E49" s="63">
        <f t="shared" si="50"/>
        <v>0.2249872136945954</v>
      </c>
      <c r="F49" s="63">
        <v>1.7399999999999999E-2</v>
      </c>
      <c r="G49" s="63">
        <v>0</v>
      </c>
      <c r="H49" s="63">
        <f t="shared" si="1"/>
        <v>0.10165290557961448</v>
      </c>
      <c r="I49" s="63">
        <f t="shared" si="2"/>
        <v>0.2249872136945954</v>
      </c>
      <c r="J49" s="45"/>
      <c r="K49" s="73" t="s">
        <v>89</v>
      </c>
      <c r="L49" s="73">
        <v>250</v>
      </c>
      <c r="M49" s="73">
        <v>1.8911290095918418</v>
      </c>
      <c r="N49" s="73"/>
      <c r="O49" s="73"/>
      <c r="P49" s="73"/>
      <c r="T49" s="45"/>
      <c r="U49" s="45"/>
      <c r="V49" s="45"/>
      <c r="W49" s="45"/>
      <c r="X49" s="45"/>
      <c r="Y49" s="45"/>
      <c r="Z49" s="45"/>
    </row>
    <row r="50" spans="1:26" ht="12.75" customHeight="1" x14ac:dyDescent="0.35">
      <c r="A50" s="61">
        <v>39844</v>
      </c>
      <c r="B50" s="49">
        <v>9.7673606872558594</v>
      </c>
      <c r="C50" s="49">
        <v>28.30484580993652</v>
      </c>
      <c r="D50" s="63">
        <f t="shared" ref="D50:E50" si="51">(B50/B49)-1</f>
        <v>-8.4771144530687459E-2</v>
      </c>
      <c r="E50" s="63">
        <f t="shared" si="51"/>
        <v>-0.17056259185220446</v>
      </c>
      <c r="F50" s="63">
        <v>-8.1199999999999994E-2</v>
      </c>
      <c r="G50" s="63">
        <v>0</v>
      </c>
      <c r="H50" s="63">
        <f t="shared" si="1"/>
        <v>-8.4771144530687459E-2</v>
      </c>
      <c r="I50" s="63">
        <f t="shared" si="2"/>
        <v>-0.17056259185220446</v>
      </c>
      <c r="J50" s="45"/>
      <c r="T50" s="45"/>
      <c r="U50" s="45"/>
      <c r="V50" s="45"/>
      <c r="W50" s="45"/>
      <c r="X50" s="45"/>
      <c r="Y50" s="45"/>
      <c r="Z50" s="45"/>
    </row>
    <row r="51" spans="1:26" ht="12.75" customHeight="1" x14ac:dyDescent="0.35">
      <c r="A51" s="61">
        <v>39872</v>
      </c>
      <c r="B51" s="49">
        <v>8.2141895294189453</v>
      </c>
      <c r="C51" s="49">
        <v>30.901992797851559</v>
      </c>
      <c r="D51" s="63">
        <f t="shared" ref="D51:E51" si="52">(B51/B50)-1</f>
        <v>-0.15901646387067925</v>
      </c>
      <c r="E51" s="63">
        <f t="shared" si="52"/>
        <v>9.1756266942931042E-2</v>
      </c>
      <c r="F51" s="63">
        <v>-0.10099999999999999</v>
      </c>
      <c r="G51" s="63">
        <v>1E-4</v>
      </c>
      <c r="H51" s="63">
        <f t="shared" si="1"/>
        <v>-0.15911646387067924</v>
      </c>
      <c r="I51" s="63">
        <f t="shared" si="2"/>
        <v>9.1656266942931039E-2</v>
      </c>
      <c r="J51" s="45"/>
      <c r="K51" s="72"/>
      <c r="L51" s="72" t="s">
        <v>90</v>
      </c>
      <c r="M51" s="72" t="s">
        <v>79</v>
      </c>
      <c r="N51" s="72" t="s">
        <v>91</v>
      </c>
      <c r="O51" s="72" t="s">
        <v>92</v>
      </c>
      <c r="P51" s="72" t="s">
        <v>93</v>
      </c>
      <c r="Q51" s="72" t="s">
        <v>94</v>
      </c>
      <c r="R51" s="72" t="s">
        <v>95</v>
      </c>
      <c r="S51" s="72" t="s">
        <v>96</v>
      </c>
      <c r="T51" s="45"/>
      <c r="U51" s="45"/>
      <c r="V51" s="45"/>
      <c r="W51" s="45"/>
      <c r="X51" s="45"/>
      <c r="Y51" s="45"/>
      <c r="Z51" s="45"/>
    </row>
    <row r="52" spans="1:26" ht="12.75" customHeight="1" x14ac:dyDescent="0.35">
      <c r="A52" s="61">
        <v>39903</v>
      </c>
      <c r="B52" s="49">
        <v>7.749840259552002</v>
      </c>
      <c r="C52" s="49">
        <v>37.484798431396477</v>
      </c>
      <c r="D52" s="63">
        <f t="shared" ref="D52:E52" si="53">(B52/B51)-1</f>
        <v>-5.653013826913611E-2</v>
      </c>
      <c r="E52" s="63">
        <f t="shared" si="53"/>
        <v>0.21302204283739856</v>
      </c>
      <c r="F52" s="63">
        <v>8.9499999999999996E-2</v>
      </c>
      <c r="G52" s="63">
        <v>2.0000000000000001E-4</v>
      </c>
      <c r="H52" s="63">
        <f t="shared" si="1"/>
        <v>-5.6730138269136109E-2</v>
      </c>
      <c r="I52" s="63">
        <f t="shared" si="2"/>
        <v>0.21282204283739856</v>
      </c>
      <c r="J52" s="45"/>
      <c r="K52" s="71" t="s">
        <v>97</v>
      </c>
      <c r="L52" s="71">
        <v>-4.5245925187289461E-4</v>
      </c>
      <c r="M52" s="71">
        <v>5.0508550501874618E-3</v>
      </c>
      <c r="N52" s="71">
        <v>-8.9580723932297684E-2</v>
      </c>
      <c r="O52" s="71">
        <v>0.92869241466956587</v>
      </c>
      <c r="P52" s="71">
        <v>-1.0400304486324549E-2</v>
      </c>
      <c r="Q52" s="71">
        <v>9.49538598257876E-3</v>
      </c>
      <c r="R52" s="71">
        <v>-1.0400304486324549E-2</v>
      </c>
      <c r="S52" s="71">
        <v>9.49538598257876E-3</v>
      </c>
      <c r="T52" s="45"/>
      <c r="U52" s="45"/>
      <c r="V52" s="45"/>
      <c r="W52" s="45"/>
      <c r="X52" s="45"/>
      <c r="Y52" s="45"/>
      <c r="Z52" s="45"/>
    </row>
    <row r="53" spans="1:26" ht="12.75" customHeight="1" x14ac:dyDescent="0.35">
      <c r="A53" s="61">
        <v>39933</v>
      </c>
      <c r="B53" s="49">
        <v>9.351048469543457</v>
      </c>
      <c r="C53" s="49">
        <v>31.767807006835941</v>
      </c>
      <c r="D53" s="63">
        <f t="shared" ref="D53:E53" si="54">(B53/B52)-1</f>
        <v>0.20661176958039862</v>
      </c>
      <c r="E53" s="63">
        <f t="shared" si="54"/>
        <v>-0.15251493041968989</v>
      </c>
      <c r="F53" s="63">
        <v>0.1018</v>
      </c>
      <c r="G53" s="63">
        <v>1E-4</v>
      </c>
      <c r="H53" s="63">
        <f t="shared" si="1"/>
        <v>0.20651176958039863</v>
      </c>
      <c r="I53" s="63">
        <f t="shared" si="2"/>
        <v>-0.15261493041968988</v>
      </c>
      <c r="J53" s="45"/>
      <c r="K53" s="73" t="s">
        <v>98</v>
      </c>
      <c r="L53" s="73">
        <v>0.84622440036882551</v>
      </c>
      <c r="M53" s="73">
        <v>0.11237553186293443</v>
      </c>
      <c r="N53" s="73">
        <v>7.5303260980421785</v>
      </c>
      <c r="O53" s="73">
        <v>9.2994586606421334E-13</v>
      </c>
      <c r="P53" s="73">
        <v>0.62489664734408334</v>
      </c>
      <c r="Q53" s="73">
        <v>1.0675521533935677</v>
      </c>
      <c r="R53" s="73">
        <v>0.62489664734408334</v>
      </c>
      <c r="S53" s="73">
        <v>1.0675521533935677</v>
      </c>
      <c r="T53" s="45"/>
      <c r="U53" s="45"/>
      <c r="V53" s="45"/>
      <c r="W53" s="45"/>
      <c r="X53" s="45"/>
      <c r="Y53" s="45"/>
      <c r="Z53" s="45"/>
    </row>
    <row r="54" spans="1:26" ht="12.75" customHeight="1" x14ac:dyDescent="0.35">
      <c r="A54" s="61">
        <v>39964</v>
      </c>
      <c r="B54" s="49">
        <v>10.816153526306151</v>
      </c>
      <c r="C54" s="49">
        <v>41.865196228027337</v>
      </c>
      <c r="D54" s="63">
        <f t="shared" ref="D54:E54" si="55">(B54/B53)-1</f>
        <v>0.15667815876845981</v>
      </c>
      <c r="E54" s="63">
        <f t="shared" si="55"/>
        <v>0.31784974074598837</v>
      </c>
      <c r="F54" s="63">
        <v>5.21E-2</v>
      </c>
      <c r="G54" s="63">
        <v>0</v>
      </c>
      <c r="H54" s="63">
        <f t="shared" si="1"/>
        <v>0.15667815876845981</v>
      </c>
      <c r="I54" s="63">
        <f t="shared" si="2"/>
        <v>0.31784974074598837</v>
      </c>
      <c r="J54" s="45"/>
      <c r="T54" s="45"/>
      <c r="U54" s="45"/>
      <c r="V54" s="45"/>
      <c r="W54" s="45"/>
      <c r="X54" s="45"/>
      <c r="Y54" s="45"/>
      <c r="Z54" s="45"/>
    </row>
    <row r="55" spans="1:26" ht="12.75" customHeight="1" x14ac:dyDescent="0.35">
      <c r="A55" s="61">
        <v>39994</v>
      </c>
      <c r="B55" s="49">
        <v>11.808901786804199</v>
      </c>
      <c r="C55" s="49">
        <v>40.001979827880859</v>
      </c>
      <c r="D55" s="63">
        <f t="shared" ref="D55:E55" si="56">(B55/B54)-1</f>
        <v>9.1783854406612075E-2</v>
      </c>
      <c r="E55" s="63">
        <f t="shared" si="56"/>
        <v>-4.4505139543550398E-2</v>
      </c>
      <c r="F55" s="63">
        <v>4.3E-3</v>
      </c>
      <c r="G55" s="63">
        <v>1E-4</v>
      </c>
      <c r="H55" s="63">
        <f t="shared" si="1"/>
        <v>9.1683854406612073E-2</v>
      </c>
      <c r="I55" s="63">
        <f t="shared" si="2"/>
        <v>-4.4605139543550401E-2</v>
      </c>
      <c r="J55" s="45"/>
      <c r="W55" s="45"/>
      <c r="X55" s="45"/>
      <c r="Y55" s="45"/>
      <c r="Z55" s="45"/>
    </row>
    <row r="56" spans="1:26" ht="12.75" customHeight="1" x14ac:dyDescent="0.35">
      <c r="A56" s="61">
        <v>40025</v>
      </c>
      <c r="B56" s="49">
        <v>13.089864730834959</v>
      </c>
      <c r="C56" s="49">
        <v>46.455406188964837</v>
      </c>
      <c r="D56" s="63">
        <f t="shared" ref="D56:E56" si="57">(B56/B55)-1</f>
        <v>0.10847434987241278</v>
      </c>
      <c r="E56" s="63">
        <f t="shared" si="57"/>
        <v>0.16132767400142578</v>
      </c>
      <c r="F56" s="63">
        <v>7.7199999999999991E-2</v>
      </c>
      <c r="G56" s="63">
        <v>1E-4</v>
      </c>
      <c r="H56" s="63">
        <f t="shared" si="1"/>
        <v>0.10837434987241278</v>
      </c>
      <c r="I56" s="63">
        <f t="shared" si="2"/>
        <v>0.16122767400142579</v>
      </c>
      <c r="J56" s="45"/>
      <c r="W56" s="45"/>
      <c r="X56" s="45"/>
      <c r="Y56" s="45"/>
      <c r="Z56" s="45"/>
    </row>
    <row r="57" spans="1:26" ht="12.75" customHeight="1" x14ac:dyDescent="0.35">
      <c r="A57" s="61">
        <v>40056</v>
      </c>
      <c r="B57" s="49">
        <v>11.62475490570068</v>
      </c>
      <c r="C57" s="49">
        <v>44.490158081054688</v>
      </c>
      <c r="D57" s="63">
        <f t="shared" ref="D57:E57" si="58">(B57/B56)-1</f>
        <v>-0.11192704090234129</v>
      </c>
      <c r="E57" s="63">
        <f t="shared" si="58"/>
        <v>-4.230396996027086E-2</v>
      </c>
      <c r="F57" s="63">
        <v>3.3300000000000003E-2</v>
      </c>
      <c r="G57" s="63">
        <v>1E-4</v>
      </c>
      <c r="H57" s="63">
        <f t="shared" si="1"/>
        <v>-0.11202704090234129</v>
      </c>
      <c r="I57" s="63">
        <f t="shared" si="2"/>
        <v>-4.2403969960270863E-2</v>
      </c>
      <c r="J57" s="45"/>
      <c r="K57" s="45"/>
      <c r="L57" s="45"/>
      <c r="M57" s="45"/>
      <c r="W57" s="45"/>
      <c r="X57" s="45"/>
      <c r="Y57" s="45"/>
      <c r="Z57" s="45"/>
    </row>
    <row r="58" spans="1:26" ht="12.75" customHeight="1" x14ac:dyDescent="0.35">
      <c r="A58" s="61">
        <v>40086</v>
      </c>
      <c r="B58" s="49">
        <v>12.065089225769039</v>
      </c>
      <c r="C58" s="49">
        <v>41.699512481689453</v>
      </c>
      <c r="D58" s="63">
        <f t="shared" ref="D58:E58" si="59">(B58/B57)-1</f>
        <v>3.787901969893781E-2</v>
      </c>
      <c r="E58" s="63">
        <f t="shared" si="59"/>
        <v>-6.2725009748921923E-2</v>
      </c>
      <c r="F58" s="63">
        <v>4.0800000000000003E-2</v>
      </c>
      <c r="G58" s="63">
        <v>1E-4</v>
      </c>
      <c r="H58" s="63">
        <f t="shared" si="1"/>
        <v>3.7779019698937807E-2</v>
      </c>
      <c r="I58" s="63">
        <f t="shared" si="2"/>
        <v>-6.2825009748921926E-2</v>
      </c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2.75" customHeight="1" x14ac:dyDescent="0.35">
      <c r="A59" s="61">
        <v>40117</v>
      </c>
      <c r="B59" s="49">
        <v>11.24047183990479</v>
      </c>
      <c r="C59" s="49">
        <v>38.003086090087891</v>
      </c>
      <c r="D59" s="63">
        <f t="shared" ref="D59:E59" si="60">(B59/B58)-1</f>
        <v>-6.834739225160491E-2</v>
      </c>
      <c r="E59" s="63">
        <f t="shared" si="60"/>
        <v>-8.8644355092273308E-2</v>
      </c>
      <c r="F59" s="63">
        <v>-2.5899999999999999E-2</v>
      </c>
      <c r="G59" s="63">
        <v>0</v>
      </c>
      <c r="H59" s="63">
        <f t="shared" si="1"/>
        <v>-6.834739225160491E-2</v>
      </c>
      <c r="I59" s="63">
        <f t="shared" si="2"/>
        <v>-8.8644355092273308E-2</v>
      </c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2.75" customHeight="1" x14ac:dyDescent="0.35">
      <c r="A60" s="61">
        <v>40147</v>
      </c>
      <c r="B60" s="49">
        <v>11.69681549072266</v>
      </c>
      <c r="C60" s="49">
        <v>41.226642608642578</v>
      </c>
      <c r="D60" s="63">
        <f t="shared" ref="D60:E60" si="61">(B60/B59)-1</f>
        <v>4.0598264674068574E-2</v>
      </c>
      <c r="E60" s="63">
        <f t="shared" si="61"/>
        <v>8.482354593290431E-2</v>
      </c>
      <c r="F60" s="63">
        <v>5.5599999999999997E-2</v>
      </c>
      <c r="G60" s="63">
        <v>0</v>
      </c>
      <c r="H60" s="63">
        <f t="shared" si="1"/>
        <v>4.0598264674068574E-2</v>
      </c>
      <c r="I60" s="63">
        <f t="shared" si="2"/>
        <v>8.482354593290431E-2</v>
      </c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2.75" customHeight="1" x14ac:dyDescent="0.35">
      <c r="A61" s="61">
        <v>40178</v>
      </c>
      <c r="B61" s="49">
        <v>13.55421733856201</v>
      </c>
      <c r="C61" s="49">
        <v>42.665809631347663</v>
      </c>
      <c r="D61" s="63">
        <f t="shared" ref="D61:E61" si="62">(B61/B60)-1</f>
        <v>0.15879551569506667</v>
      </c>
      <c r="E61" s="63">
        <f t="shared" si="62"/>
        <v>3.490866419482308E-2</v>
      </c>
      <c r="F61" s="63">
        <v>2.75E-2</v>
      </c>
      <c r="G61" s="63">
        <v>1E-4</v>
      </c>
      <c r="H61" s="63">
        <f t="shared" si="1"/>
        <v>0.15869551569506668</v>
      </c>
      <c r="I61" s="63">
        <f t="shared" si="2"/>
        <v>3.4808664194823077E-2</v>
      </c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2.75" customHeight="1" x14ac:dyDescent="0.35">
      <c r="A62" s="61">
        <v>40209</v>
      </c>
      <c r="B62" s="49">
        <v>12.53744602203369</v>
      </c>
      <c r="C62" s="49">
        <v>39.296932220458977</v>
      </c>
      <c r="D62" s="63">
        <f t="shared" ref="D62:E62" si="63">(B62/B61)-1</f>
        <v>-7.5015125634409485E-2</v>
      </c>
      <c r="E62" s="63">
        <f t="shared" si="63"/>
        <v>-7.8959650361667744E-2</v>
      </c>
      <c r="F62" s="63">
        <v>-3.3599999999999998E-2</v>
      </c>
      <c r="G62" s="63">
        <v>0</v>
      </c>
      <c r="H62" s="63">
        <f t="shared" si="1"/>
        <v>-7.5015125634409485E-2</v>
      </c>
      <c r="I62" s="63">
        <f t="shared" si="2"/>
        <v>-7.8959650361667744E-2</v>
      </c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2.75" customHeight="1" x14ac:dyDescent="0.35">
      <c r="A63" s="61">
        <v>40237</v>
      </c>
      <c r="B63" s="49">
        <v>13.12989711761475</v>
      </c>
      <c r="C63" s="49">
        <v>39.831680297851563</v>
      </c>
      <c r="D63" s="63">
        <f t="shared" ref="D63:E63" si="64">(B63/B62)-1</f>
        <v>4.7254528118395811E-2</v>
      </c>
      <c r="E63" s="63">
        <f t="shared" si="64"/>
        <v>1.3607883546547628E-2</v>
      </c>
      <c r="F63" s="63">
        <v>3.4000000000000002E-2</v>
      </c>
      <c r="G63" s="63">
        <v>0</v>
      </c>
      <c r="H63" s="63">
        <f t="shared" si="1"/>
        <v>4.7254528118395811E-2</v>
      </c>
      <c r="I63" s="63">
        <f t="shared" si="2"/>
        <v>1.3607883546547628E-2</v>
      </c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2.75" customHeight="1" x14ac:dyDescent="0.35">
      <c r="A64" s="61">
        <v>40268</v>
      </c>
      <c r="B64" s="49">
        <v>13.930498123168951</v>
      </c>
      <c r="C64" s="49">
        <v>41.344821929931641</v>
      </c>
      <c r="D64" s="63">
        <f t="shared" ref="D64:E64" si="65">(B64/B63)-1</f>
        <v>6.0975421085374348E-2</v>
      </c>
      <c r="E64" s="63">
        <f t="shared" si="65"/>
        <v>3.7988395688185239E-2</v>
      </c>
      <c r="F64" s="63">
        <v>6.3099999999999989E-2</v>
      </c>
      <c r="G64" s="63">
        <v>1E-4</v>
      </c>
      <c r="H64" s="63">
        <f t="shared" si="1"/>
        <v>6.0875421085374345E-2</v>
      </c>
      <c r="I64" s="63">
        <f t="shared" si="2"/>
        <v>3.7888395688185236E-2</v>
      </c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2.75" customHeight="1" x14ac:dyDescent="0.35">
      <c r="A65" s="61">
        <v>40298</v>
      </c>
      <c r="B65" s="49">
        <v>14.04258441925049</v>
      </c>
      <c r="C65" s="49">
        <v>35.52178955078125</v>
      </c>
      <c r="D65" s="63">
        <f t="shared" ref="D65:E65" si="66">(B65/B64)-1</f>
        <v>8.0461082647949045E-3</v>
      </c>
      <c r="E65" s="63">
        <f t="shared" si="66"/>
        <v>-0.14084066897225644</v>
      </c>
      <c r="F65" s="63">
        <v>0.02</v>
      </c>
      <c r="G65" s="63">
        <v>1E-4</v>
      </c>
      <c r="H65" s="63">
        <f t="shared" si="1"/>
        <v>7.9461082647949051E-3</v>
      </c>
      <c r="I65" s="63">
        <f t="shared" si="2"/>
        <v>-0.14094066897225643</v>
      </c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2.75" customHeight="1" x14ac:dyDescent="0.35">
      <c r="A66" s="61">
        <v>40329</v>
      </c>
      <c r="B66" s="49">
        <v>13.362068176269529</v>
      </c>
      <c r="C66" s="49">
        <v>32.710903167724609</v>
      </c>
      <c r="D66" s="63">
        <f t="shared" ref="D66:E66" si="67">(B66/B65)-1</f>
        <v>-4.8460897414870807E-2</v>
      </c>
      <c r="E66" s="63">
        <f t="shared" si="67"/>
        <v>-7.9131328083520525E-2</v>
      </c>
      <c r="F66" s="63">
        <v>-7.8899999999999998E-2</v>
      </c>
      <c r="G66" s="63">
        <v>1E-4</v>
      </c>
      <c r="H66" s="63">
        <f t="shared" si="1"/>
        <v>-4.856089741487081E-2</v>
      </c>
      <c r="I66" s="63">
        <f t="shared" si="2"/>
        <v>-7.9231328083520527E-2</v>
      </c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2.75" customHeight="1" x14ac:dyDescent="0.35">
      <c r="A67" s="61">
        <v>40359</v>
      </c>
      <c r="B67" s="49">
        <v>13.514182090759279</v>
      </c>
      <c r="C67" s="49">
        <v>33.136547088623047</v>
      </c>
      <c r="D67" s="63">
        <f t="shared" ref="D67:E67" si="68">(B67/B66)-1</f>
        <v>1.1384009756805202E-2</v>
      </c>
      <c r="E67" s="63">
        <f t="shared" si="68"/>
        <v>1.3012294974429572E-2</v>
      </c>
      <c r="F67" s="63">
        <v>-5.57E-2</v>
      </c>
      <c r="G67" s="63">
        <v>1E-4</v>
      </c>
      <c r="H67" s="63">
        <f t="shared" si="1"/>
        <v>1.1284009756805203E-2</v>
      </c>
      <c r="I67" s="63">
        <f t="shared" si="2"/>
        <v>1.2912294974429573E-2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2.75" customHeight="1" x14ac:dyDescent="0.35">
      <c r="A68" s="61">
        <v>40390</v>
      </c>
      <c r="B68" s="49">
        <v>14.562973022460939</v>
      </c>
      <c r="C68" s="49">
        <v>33.446426391601563</v>
      </c>
      <c r="D68" s="63">
        <f t="shared" ref="D68:E68" si="69">(B68/B67)-1</f>
        <v>7.7606689376991778E-2</v>
      </c>
      <c r="E68" s="63">
        <f t="shared" si="69"/>
        <v>9.351586999989836E-3</v>
      </c>
      <c r="F68" s="63">
        <v>6.93E-2</v>
      </c>
      <c r="G68" s="63">
        <v>1E-4</v>
      </c>
      <c r="H68" s="63">
        <f t="shared" si="1"/>
        <v>7.7506689376991775E-2</v>
      </c>
      <c r="I68" s="63">
        <f t="shared" si="2"/>
        <v>9.2515869999898366E-3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2.75" customHeight="1" x14ac:dyDescent="0.35">
      <c r="A69" s="61">
        <v>40421</v>
      </c>
      <c r="B69" s="49">
        <v>12.833670616149901</v>
      </c>
      <c r="C69" s="49">
        <v>35.703132629394531</v>
      </c>
      <c r="D69" s="63">
        <f t="shared" ref="D69:E69" si="70">(B69/B68)-1</f>
        <v>-0.1187465226807658</v>
      </c>
      <c r="E69" s="63">
        <f t="shared" si="70"/>
        <v>6.7472267780441575E-2</v>
      </c>
      <c r="F69" s="63">
        <v>-4.7699999999999992E-2</v>
      </c>
      <c r="G69" s="63">
        <v>1E-4</v>
      </c>
      <c r="H69" s="63">
        <f t="shared" si="1"/>
        <v>-0.1188465226807658</v>
      </c>
      <c r="I69" s="63">
        <f t="shared" si="2"/>
        <v>6.7372267780441572E-2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2.75" customHeight="1" x14ac:dyDescent="0.35">
      <c r="A70" s="61">
        <v>40451</v>
      </c>
      <c r="B70" s="49">
        <v>13.38608455657959</v>
      </c>
      <c r="C70" s="49">
        <v>40.023239135742188</v>
      </c>
      <c r="D70" s="63">
        <f t="shared" ref="D70:E70" si="71">(B70/B69)-1</f>
        <v>4.3044110835642968E-2</v>
      </c>
      <c r="E70" s="63">
        <f t="shared" si="71"/>
        <v>0.12100076906951562</v>
      </c>
      <c r="F70" s="63">
        <v>9.5399999999999985E-2</v>
      </c>
      <c r="G70" s="63">
        <v>1E-4</v>
      </c>
      <c r="H70" s="63">
        <f t="shared" si="1"/>
        <v>4.2944110835642965E-2</v>
      </c>
      <c r="I70" s="63">
        <f t="shared" si="2"/>
        <v>0.12090076906951562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2.75" customHeight="1" x14ac:dyDescent="0.35">
      <c r="A71" s="61">
        <v>40482</v>
      </c>
      <c r="B71" s="49">
        <v>15.027328491210939</v>
      </c>
      <c r="C71" s="49">
        <v>40.638881683349609</v>
      </c>
      <c r="D71" s="63">
        <f t="shared" ref="D71:E71" si="72">(B71/B70)-1</f>
        <v>0.12260821509786735</v>
      </c>
      <c r="E71" s="63">
        <f t="shared" si="72"/>
        <v>1.5382127006747792E-2</v>
      </c>
      <c r="F71" s="63">
        <v>3.8800000000000001E-2</v>
      </c>
      <c r="G71" s="63">
        <v>1E-4</v>
      </c>
      <c r="H71" s="63">
        <f t="shared" si="1"/>
        <v>0.12250821509786734</v>
      </c>
      <c r="I71" s="63">
        <f t="shared" si="2"/>
        <v>1.5282127006747793E-2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2.75" customHeight="1" x14ac:dyDescent="0.35">
      <c r="A72" s="61">
        <v>40512</v>
      </c>
      <c r="B72" s="49">
        <v>15.363578796386721</v>
      </c>
      <c r="C72" s="49">
        <v>41.146278381347663</v>
      </c>
      <c r="D72" s="63">
        <f t="shared" ref="D72:E72" si="73">(B72/B71)-1</f>
        <v>2.2375920335570232E-2</v>
      </c>
      <c r="E72" s="63">
        <f t="shared" si="73"/>
        <v>1.2485498541805251E-2</v>
      </c>
      <c r="F72" s="63">
        <v>6.0000000000000001E-3</v>
      </c>
      <c r="G72" s="63">
        <v>1E-4</v>
      </c>
      <c r="H72" s="63">
        <f t="shared" si="1"/>
        <v>2.2275920335570232E-2</v>
      </c>
      <c r="I72" s="63">
        <f t="shared" si="2"/>
        <v>1.2385498541805252E-2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2.75" customHeight="1" x14ac:dyDescent="0.35">
      <c r="A73" s="61">
        <v>40543</v>
      </c>
      <c r="B73" s="49">
        <v>15.86795711517334</v>
      </c>
      <c r="C73" s="49">
        <v>44.496002197265618</v>
      </c>
      <c r="D73" s="63">
        <f t="shared" ref="D73:E73" si="74">(B73/B72)-1</f>
        <v>3.2829481038964881E-2</v>
      </c>
      <c r="E73" s="63">
        <f t="shared" si="74"/>
        <v>8.1410128635994505E-2</v>
      </c>
      <c r="F73" s="63">
        <v>6.8199999999999997E-2</v>
      </c>
      <c r="G73" s="63">
        <v>1E-4</v>
      </c>
      <c r="H73" s="63">
        <f t="shared" si="1"/>
        <v>3.2729481038964878E-2</v>
      </c>
      <c r="I73" s="63">
        <f t="shared" si="2"/>
        <v>8.1310128635994502E-2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2.75" customHeight="1" x14ac:dyDescent="0.35">
      <c r="A74" s="61">
        <v>40574</v>
      </c>
      <c r="B74" s="49">
        <v>15.211466789245611</v>
      </c>
      <c r="C74" s="49">
        <v>46.227760314941413</v>
      </c>
      <c r="D74" s="63">
        <f t="shared" ref="D74:E74" si="75">(B74/B73)-1</f>
        <v>-4.1372075886188076E-2</v>
      </c>
      <c r="E74" s="63">
        <f t="shared" si="75"/>
        <v>3.8919409208906686E-2</v>
      </c>
      <c r="F74" s="63">
        <v>1.9900000000000001E-2</v>
      </c>
      <c r="G74" s="63">
        <v>1E-4</v>
      </c>
      <c r="H74" s="63">
        <f t="shared" si="1"/>
        <v>-4.1472075886188078E-2</v>
      </c>
      <c r="I74" s="63">
        <f t="shared" si="2"/>
        <v>3.8819409208906683E-2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2.75" customHeight="1" x14ac:dyDescent="0.35">
      <c r="A75" s="61">
        <v>40602</v>
      </c>
      <c r="B75" s="49">
        <v>15.82792854309082</v>
      </c>
      <c r="C75" s="49">
        <v>49.01214599609375</v>
      </c>
      <c r="D75" s="63">
        <f t="shared" ref="D75:E75" si="76">(B75/B74)-1</f>
        <v>4.0526121667704196E-2</v>
      </c>
      <c r="E75" s="63">
        <f t="shared" si="76"/>
        <v>6.0231896639223237E-2</v>
      </c>
      <c r="F75" s="63">
        <v>3.49E-2</v>
      </c>
      <c r="G75" s="63">
        <v>1E-4</v>
      </c>
      <c r="H75" s="63">
        <f t="shared" si="1"/>
        <v>4.0426121667704193E-2</v>
      </c>
      <c r="I75" s="63">
        <f t="shared" si="2"/>
        <v>6.0131896639223234E-2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2.75" customHeight="1" x14ac:dyDescent="0.35">
      <c r="A76" s="61">
        <v>40633</v>
      </c>
      <c r="B76" s="49">
        <v>17.885478973388668</v>
      </c>
      <c r="C76" s="49">
        <v>49.279640197753913</v>
      </c>
      <c r="D76" s="63">
        <f t="shared" ref="D76:E76" si="77">(B76/B75)-1</f>
        <v>0.12999492793363698</v>
      </c>
      <c r="E76" s="63">
        <f t="shared" si="77"/>
        <v>5.4577124960306644E-3</v>
      </c>
      <c r="F76" s="63">
        <v>4.5999999999999999E-3</v>
      </c>
      <c r="G76" s="63">
        <v>1E-4</v>
      </c>
      <c r="H76" s="63">
        <f t="shared" si="1"/>
        <v>0.12989492793363699</v>
      </c>
      <c r="I76" s="63">
        <f t="shared" si="2"/>
        <v>5.3577124960306642E-3</v>
      </c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2.75" customHeight="1" x14ac:dyDescent="0.35">
      <c r="A77" s="61">
        <v>40663</v>
      </c>
      <c r="B77" s="49">
        <v>19.570808410644531</v>
      </c>
      <c r="C77" s="49">
        <v>51.398548126220703</v>
      </c>
      <c r="D77" s="63">
        <f t="shared" ref="D77:E77" si="78">(B77/B76)-1</f>
        <v>9.4228923908798778E-2</v>
      </c>
      <c r="E77" s="63">
        <f t="shared" si="78"/>
        <v>4.299763391055289E-2</v>
      </c>
      <c r="F77" s="63">
        <v>2.8999999999999998E-2</v>
      </c>
      <c r="G77" s="63">
        <v>0</v>
      </c>
      <c r="H77" s="63">
        <f t="shared" si="1"/>
        <v>9.4228923908798778E-2</v>
      </c>
      <c r="I77" s="63">
        <f t="shared" si="2"/>
        <v>4.299763391055289E-2</v>
      </c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2.75" customHeight="1" x14ac:dyDescent="0.35">
      <c r="A78" s="61">
        <v>40694</v>
      </c>
      <c r="B78" s="49">
        <v>20.687980651855469</v>
      </c>
      <c r="C78" s="49">
        <v>50.724044799804688</v>
      </c>
      <c r="D78" s="63">
        <f t="shared" ref="D78:E78" si="79">(B78/B77)-1</f>
        <v>5.7083602157349311E-2</v>
      </c>
      <c r="E78" s="63">
        <f t="shared" si="79"/>
        <v>-1.3123003489507568E-2</v>
      </c>
      <c r="F78" s="63">
        <v>-1.2699999999999999E-2</v>
      </c>
      <c r="G78" s="63">
        <v>0</v>
      </c>
      <c r="H78" s="63">
        <f t="shared" si="1"/>
        <v>5.7083602157349311E-2</v>
      </c>
      <c r="I78" s="63">
        <f t="shared" si="2"/>
        <v>-1.3123003489507568E-2</v>
      </c>
      <c r="J78" s="45"/>
      <c r="K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2.75" customHeight="1" x14ac:dyDescent="0.35">
      <c r="A79" s="61">
        <v>40724</v>
      </c>
      <c r="B79" s="49">
        <v>19.94146728515625</v>
      </c>
      <c r="C79" s="49">
        <v>47.123939514160163</v>
      </c>
      <c r="D79" s="63">
        <f t="shared" ref="D79:E79" si="80">(B79/B78)-1</f>
        <v>-3.6084399887152174E-2</v>
      </c>
      <c r="E79" s="63">
        <f t="shared" si="80"/>
        <v>-7.0974333767215403E-2</v>
      </c>
      <c r="F79" s="63">
        <v>-1.7500000000000002E-2</v>
      </c>
      <c r="G79" s="63">
        <v>0</v>
      </c>
      <c r="H79" s="63">
        <f t="shared" si="1"/>
        <v>-3.6084399887152174E-2</v>
      </c>
      <c r="I79" s="63">
        <f t="shared" si="2"/>
        <v>-7.0974333767215403E-2</v>
      </c>
      <c r="J79" s="45"/>
      <c r="K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2.75" customHeight="1" x14ac:dyDescent="0.35">
      <c r="A80" s="61">
        <v>40755</v>
      </c>
      <c r="B80" s="49">
        <v>19.417329788208011</v>
      </c>
      <c r="C80" s="49">
        <v>47.028247833251953</v>
      </c>
      <c r="D80" s="63">
        <f t="shared" ref="D80:E80" si="81">(B80/B79)-1</f>
        <v>-2.628379794993263E-2</v>
      </c>
      <c r="E80" s="63">
        <f t="shared" si="81"/>
        <v>-2.030638395150608E-3</v>
      </c>
      <c r="F80" s="63">
        <v>-2.35E-2</v>
      </c>
      <c r="G80" s="63">
        <v>0</v>
      </c>
      <c r="H80" s="63">
        <f t="shared" si="1"/>
        <v>-2.628379794993263E-2</v>
      </c>
      <c r="I80" s="63">
        <f t="shared" si="2"/>
        <v>-2.030638395150608E-3</v>
      </c>
      <c r="J80" s="45"/>
      <c r="K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2.75" customHeight="1" x14ac:dyDescent="0.35">
      <c r="A81" s="61">
        <v>40786</v>
      </c>
      <c r="B81" s="49">
        <v>16.014463424682621</v>
      </c>
      <c r="C81" s="49">
        <v>44.226108551025391</v>
      </c>
      <c r="D81" s="63">
        <f t="shared" ref="D81:E81" si="82">(B81/B80)-1</f>
        <v>-0.17524893487630433</v>
      </c>
      <c r="E81" s="63">
        <f t="shared" si="82"/>
        <v>-5.9584173583547173E-2</v>
      </c>
      <c r="F81" s="63">
        <v>-5.9900000000000002E-2</v>
      </c>
      <c r="G81" s="63">
        <v>1E-4</v>
      </c>
      <c r="H81" s="63">
        <f t="shared" si="1"/>
        <v>-0.17534893487630432</v>
      </c>
      <c r="I81" s="63">
        <f t="shared" si="2"/>
        <v>-5.9684173583547176E-2</v>
      </c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2.75" customHeight="1" x14ac:dyDescent="0.35">
      <c r="A82" s="61">
        <v>40816</v>
      </c>
      <c r="B82" s="49">
        <v>14.9945125579834</v>
      </c>
      <c r="C82" s="49">
        <v>40.000701904296882</v>
      </c>
      <c r="D82" s="63">
        <f t="shared" ref="D82:E82" si="83">(B82/B81)-1</f>
        <v>-6.3689356280723142E-2</v>
      </c>
      <c r="E82" s="63">
        <f t="shared" si="83"/>
        <v>-9.5541000218309802E-2</v>
      </c>
      <c r="F82" s="63">
        <v>-7.5899999999999995E-2</v>
      </c>
      <c r="G82" s="63">
        <v>0</v>
      </c>
      <c r="H82" s="63">
        <f t="shared" si="1"/>
        <v>-6.3689356280723142E-2</v>
      </c>
      <c r="I82" s="63">
        <f t="shared" si="2"/>
        <v>-9.5541000218309802E-2</v>
      </c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2.75" customHeight="1" x14ac:dyDescent="0.35">
      <c r="A83" s="61">
        <v>40847</v>
      </c>
      <c r="B83" s="49">
        <v>15.80415058135986</v>
      </c>
      <c r="C83" s="49">
        <v>42.388797760009773</v>
      </c>
      <c r="D83" s="63">
        <f t="shared" ref="D83:E83" si="84">(B83/B82)-1</f>
        <v>5.3995621414541395E-2</v>
      </c>
      <c r="E83" s="63">
        <f t="shared" si="84"/>
        <v>5.9701348776991292E-2</v>
      </c>
      <c r="F83" s="63">
        <v>0.11349999999999999</v>
      </c>
      <c r="G83" s="63">
        <v>0</v>
      </c>
      <c r="H83" s="63">
        <f t="shared" si="1"/>
        <v>5.3995621414541395E-2</v>
      </c>
      <c r="I83" s="63">
        <f t="shared" si="2"/>
        <v>5.9701348776991292E-2</v>
      </c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2.75" customHeight="1" x14ac:dyDescent="0.35">
      <c r="A84" s="61">
        <v>40877</v>
      </c>
      <c r="B84" s="49">
        <v>15.925600051879879</v>
      </c>
      <c r="C84" s="49">
        <v>42.889751434326172</v>
      </c>
      <c r="D84" s="63">
        <f t="shared" ref="D84:E84" si="85">(B84/B83)-1</f>
        <v>7.6846566283204076E-3</v>
      </c>
      <c r="E84" s="63">
        <f t="shared" si="85"/>
        <v>1.1818067527006093E-2</v>
      </c>
      <c r="F84" s="63">
        <v>-2.8000000000000004E-3</v>
      </c>
      <c r="G84" s="63">
        <v>0</v>
      </c>
      <c r="H84" s="63">
        <f t="shared" si="1"/>
        <v>7.6846566283204076E-3</v>
      </c>
      <c r="I84" s="63">
        <f t="shared" si="2"/>
        <v>1.1818067527006093E-2</v>
      </c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2.75" customHeight="1" x14ac:dyDescent="0.35">
      <c r="A85" s="61">
        <v>40908</v>
      </c>
      <c r="B85" s="49">
        <v>16.001459121704102</v>
      </c>
      <c r="C85" s="49">
        <v>39.409042358398438</v>
      </c>
      <c r="D85" s="63">
        <f t="shared" ref="D85:E85" si="86">(B85/B84)-1</f>
        <v>4.763341386013753E-3</v>
      </c>
      <c r="E85" s="63">
        <f t="shared" si="86"/>
        <v>-8.1154797114118993E-2</v>
      </c>
      <c r="F85" s="63">
        <v>7.4000000000000003E-3</v>
      </c>
      <c r="G85" s="63">
        <v>0</v>
      </c>
      <c r="H85" s="63">
        <f t="shared" si="1"/>
        <v>4.763341386013753E-3</v>
      </c>
      <c r="I85" s="63">
        <f t="shared" si="2"/>
        <v>-8.1154797114118993E-2</v>
      </c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2.75" customHeight="1" x14ac:dyDescent="0.35">
      <c r="A86" s="61">
        <v>40939</v>
      </c>
      <c r="B86" s="49">
        <v>16.586881637573239</v>
      </c>
      <c r="C86" s="49">
        <v>39.457263946533203</v>
      </c>
      <c r="D86" s="63">
        <f t="shared" ref="D86:E86" si="87">(B86/B85)-1</f>
        <v>3.6585570816793922E-2</v>
      </c>
      <c r="E86" s="63">
        <f t="shared" si="87"/>
        <v>1.2236173540129958E-3</v>
      </c>
      <c r="F86" s="63">
        <v>5.0499999999999996E-2</v>
      </c>
      <c r="G86" s="63">
        <v>0</v>
      </c>
      <c r="H86" s="63">
        <f t="shared" si="1"/>
        <v>3.6585570816793922E-2</v>
      </c>
      <c r="I86" s="63">
        <f t="shared" si="2"/>
        <v>1.2236173540129958E-3</v>
      </c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2.75" customHeight="1" x14ac:dyDescent="0.35">
      <c r="A87" s="61">
        <v>40968</v>
      </c>
      <c r="B87" s="49">
        <v>15.45669364929199</v>
      </c>
      <c r="C87" s="49">
        <v>46.381404876708977</v>
      </c>
      <c r="D87" s="63">
        <f t="shared" ref="D87:E87" si="88">(B87/B86)-1</f>
        <v>-6.8137460251787352E-2</v>
      </c>
      <c r="E87" s="63">
        <f t="shared" si="88"/>
        <v>0.17548456830555637</v>
      </c>
      <c r="F87" s="63">
        <v>4.4199999999999996E-2</v>
      </c>
      <c r="G87" s="63">
        <v>0</v>
      </c>
      <c r="H87" s="63">
        <f t="shared" si="1"/>
        <v>-6.8137460251787352E-2</v>
      </c>
      <c r="I87" s="63">
        <f t="shared" si="2"/>
        <v>0.17548456830555637</v>
      </c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2.75" customHeight="1" x14ac:dyDescent="0.35">
      <c r="A88" s="61">
        <v>40999</v>
      </c>
      <c r="B88" s="49">
        <v>18.741546630859379</v>
      </c>
      <c r="C88" s="49">
        <v>47.333232879638672</v>
      </c>
      <c r="D88" s="63">
        <f t="shared" ref="D88:E88" si="89">(B88/B87)-1</f>
        <v>0.21251977014617585</v>
      </c>
      <c r="E88" s="63">
        <f t="shared" si="89"/>
        <v>2.0521758783716093E-2</v>
      </c>
      <c r="F88" s="63">
        <v>3.1099999999999999E-2</v>
      </c>
      <c r="G88" s="63">
        <v>0</v>
      </c>
      <c r="H88" s="63">
        <f t="shared" si="1"/>
        <v>0.21251977014617585</v>
      </c>
      <c r="I88" s="63">
        <f t="shared" si="2"/>
        <v>2.0521758783716093E-2</v>
      </c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2.75" customHeight="1" x14ac:dyDescent="0.35">
      <c r="A89" s="61">
        <v>41029</v>
      </c>
      <c r="B89" s="49">
        <v>19.913417816162109</v>
      </c>
      <c r="C89" s="49">
        <v>44.608322143554688</v>
      </c>
      <c r="D89" s="63">
        <f t="shared" ref="D89:E89" si="90">(B89/B88)-1</f>
        <v>6.2527987064480373E-2</v>
      </c>
      <c r="E89" s="63">
        <f t="shared" si="90"/>
        <v>-5.7568658853559107E-2</v>
      </c>
      <c r="F89" s="63">
        <v>-8.5000000000000006E-3</v>
      </c>
      <c r="G89" s="63">
        <v>0</v>
      </c>
      <c r="H89" s="63">
        <f t="shared" si="1"/>
        <v>6.2527987064480373E-2</v>
      </c>
      <c r="I89" s="63">
        <f t="shared" si="2"/>
        <v>-5.7568658853559107E-2</v>
      </c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2.75" customHeight="1" x14ac:dyDescent="0.35">
      <c r="A90" s="61">
        <v>41060</v>
      </c>
      <c r="B90" s="49">
        <v>19.848075866699219</v>
      </c>
      <c r="C90" s="49">
        <v>41.150321960449219</v>
      </c>
      <c r="D90" s="63">
        <f t="shared" ref="D90:E90" si="91">(B90/B89)-1</f>
        <v>-3.281302590349755E-3</v>
      </c>
      <c r="E90" s="63">
        <f t="shared" si="91"/>
        <v>-7.7519171691264877E-2</v>
      </c>
      <c r="F90" s="63">
        <v>-6.1900000000000004E-2</v>
      </c>
      <c r="G90" s="63">
        <v>1E-4</v>
      </c>
      <c r="H90" s="63">
        <f t="shared" si="1"/>
        <v>-3.3813025903497549E-3</v>
      </c>
      <c r="I90" s="63">
        <f t="shared" si="2"/>
        <v>-7.7619171691264879E-2</v>
      </c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2.75" customHeight="1" x14ac:dyDescent="0.35">
      <c r="A91" s="61">
        <v>41090</v>
      </c>
      <c r="B91" s="49">
        <v>20.84565544128418</v>
      </c>
      <c r="C91" s="49">
        <v>43.568855285644531</v>
      </c>
      <c r="D91" s="63">
        <f t="shared" ref="D91:E91" si="92">(B91/B90)-1</f>
        <v>5.0260769924740378E-2</v>
      </c>
      <c r="E91" s="63">
        <f t="shared" si="92"/>
        <v>5.8773132504767123E-2</v>
      </c>
      <c r="F91" s="63">
        <v>3.8900000000000004E-2</v>
      </c>
      <c r="G91" s="63">
        <v>0</v>
      </c>
      <c r="H91" s="63">
        <f t="shared" si="1"/>
        <v>5.0260769924740378E-2</v>
      </c>
      <c r="I91" s="63">
        <f t="shared" si="2"/>
        <v>5.8773132504767123E-2</v>
      </c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2.75" customHeight="1" x14ac:dyDescent="0.35">
      <c r="A92" s="61">
        <v>41121</v>
      </c>
      <c r="B92" s="49">
        <v>21.042379379272461</v>
      </c>
      <c r="C92" s="49">
        <v>45.672996520996087</v>
      </c>
      <c r="D92" s="63">
        <f t="shared" ref="D92:E92" si="93">(B92/B91)-1</f>
        <v>9.4371673053117444E-3</v>
      </c>
      <c r="E92" s="63">
        <f t="shared" si="93"/>
        <v>4.8294618289979496E-2</v>
      </c>
      <c r="F92" s="63">
        <v>7.9000000000000008E-3</v>
      </c>
      <c r="G92" s="63">
        <v>0</v>
      </c>
      <c r="H92" s="63">
        <f t="shared" si="1"/>
        <v>9.4371673053117444E-3</v>
      </c>
      <c r="I92" s="63">
        <f t="shared" si="2"/>
        <v>4.8294618289979496E-2</v>
      </c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2.75" customHeight="1" x14ac:dyDescent="0.35">
      <c r="A93" s="61">
        <v>41152</v>
      </c>
      <c r="B93" s="49">
        <v>21.288295745849609</v>
      </c>
      <c r="C93" s="49">
        <v>44.200782775878913</v>
      </c>
      <c r="D93" s="63">
        <f t="shared" ref="D93:E93" si="94">(B93/B92)-1</f>
        <v>1.1686718604616786E-2</v>
      </c>
      <c r="E93" s="63">
        <f t="shared" si="94"/>
        <v>-3.2233789268466095E-2</v>
      </c>
      <c r="F93" s="63">
        <v>2.5499999999999998E-2</v>
      </c>
      <c r="G93" s="63">
        <v>1E-4</v>
      </c>
      <c r="H93" s="63">
        <f t="shared" si="1"/>
        <v>1.1586718604616787E-2</v>
      </c>
      <c r="I93" s="63">
        <f t="shared" si="2"/>
        <v>-3.2333789268466098E-2</v>
      </c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2.75" customHeight="1" x14ac:dyDescent="0.35">
      <c r="A94" s="61">
        <v>41182</v>
      </c>
      <c r="B94" s="49">
        <v>22.724544525146481</v>
      </c>
      <c r="C94" s="49">
        <v>46.755699157714837</v>
      </c>
      <c r="D94" s="63">
        <f t="shared" ref="D94:E94" si="95">(B94/B93)-1</f>
        <v>6.7466592743897102E-2</v>
      </c>
      <c r="E94" s="63">
        <f t="shared" si="95"/>
        <v>5.7802514376061653E-2</v>
      </c>
      <c r="F94" s="63">
        <v>2.7300000000000001E-2</v>
      </c>
      <c r="G94" s="63">
        <v>1E-4</v>
      </c>
      <c r="H94" s="63">
        <f t="shared" si="1"/>
        <v>6.73665927438971E-2</v>
      </c>
      <c r="I94" s="63">
        <f t="shared" si="2"/>
        <v>5.770251437606165E-2</v>
      </c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2.75" customHeight="1" x14ac:dyDescent="0.35">
      <c r="A95" s="61">
        <v>41213</v>
      </c>
      <c r="B95" s="49">
        <v>21.959653854370121</v>
      </c>
      <c r="C95" s="49">
        <v>49.531036376953118</v>
      </c>
      <c r="D95" s="63">
        <f t="shared" ref="D95:E95" si="96">(B95/B94)-1</f>
        <v>-3.3659229998205142E-2</v>
      </c>
      <c r="E95" s="63">
        <f t="shared" si="96"/>
        <v>5.9358265820742107E-2</v>
      </c>
      <c r="F95" s="63">
        <v>-1.7600000000000001E-2</v>
      </c>
      <c r="G95" s="63">
        <v>1E-4</v>
      </c>
      <c r="H95" s="63">
        <f t="shared" si="1"/>
        <v>-3.3759229998205145E-2</v>
      </c>
      <c r="I95" s="63">
        <f t="shared" si="2"/>
        <v>5.9258265820742104E-2</v>
      </c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2.75" customHeight="1" x14ac:dyDescent="0.35">
      <c r="A96" s="61">
        <v>41243</v>
      </c>
      <c r="B96" s="49">
        <v>21.976104736328121</v>
      </c>
      <c r="C96" s="49">
        <v>51.016365051269531</v>
      </c>
      <c r="D96" s="63">
        <f t="shared" ref="D96:E96" si="97">(B96/B95)-1</f>
        <v>7.4914122358649138E-4</v>
      </c>
      <c r="E96" s="63">
        <f t="shared" si="97"/>
        <v>2.9987837585557564E-2</v>
      </c>
      <c r="F96" s="63">
        <v>7.8000000000000005E-3</v>
      </c>
      <c r="G96" s="63">
        <v>1E-4</v>
      </c>
      <c r="H96" s="63">
        <f t="shared" si="1"/>
        <v>6.4914122358649133E-4</v>
      </c>
      <c r="I96" s="63">
        <f t="shared" si="2"/>
        <v>2.9887837585557565E-2</v>
      </c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2.75" customHeight="1" x14ac:dyDescent="0.35">
      <c r="A97" s="61">
        <v>41274</v>
      </c>
      <c r="B97" s="49">
        <v>22.734376907348629</v>
      </c>
      <c r="C97" s="49">
        <v>50.882080078125</v>
      </c>
      <c r="D97" s="63">
        <f t="shared" ref="D97:E97" si="98">(B97/B96)-1</f>
        <v>3.4504393754869023E-2</v>
      </c>
      <c r="E97" s="63">
        <f t="shared" si="98"/>
        <v>-2.6321940618383444E-3</v>
      </c>
      <c r="F97" s="63">
        <v>1.18E-2</v>
      </c>
      <c r="G97" s="63">
        <v>1E-4</v>
      </c>
      <c r="H97" s="63">
        <f t="shared" si="1"/>
        <v>3.440439375486902E-2</v>
      </c>
      <c r="I97" s="63">
        <f t="shared" si="2"/>
        <v>-2.7321940618383442E-3</v>
      </c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2.75" customHeight="1" x14ac:dyDescent="0.35">
      <c r="A98" s="61">
        <v>41305</v>
      </c>
      <c r="B98" s="49">
        <v>20.30739593505859</v>
      </c>
      <c r="C98" s="49">
        <v>55.761005401611328</v>
      </c>
      <c r="D98" s="63">
        <f t="shared" ref="D98:E98" si="99">(B98/B97)-1</f>
        <v>-0.10675379326123269</v>
      </c>
      <c r="E98" s="63">
        <f t="shared" si="99"/>
        <v>9.5886907846439495E-2</v>
      </c>
      <c r="F98" s="63">
        <v>5.57E-2</v>
      </c>
      <c r="G98" s="63">
        <v>0</v>
      </c>
      <c r="H98" s="63">
        <f t="shared" si="1"/>
        <v>-0.10675379326123269</v>
      </c>
      <c r="I98" s="63">
        <f t="shared" si="2"/>
        <v>9.5886907846439495E-2</v>
      </c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2.75" customHeight="1" x14ac:dyDescent="0.35">
      <c r="A99" s="61">
        <v>41333</v>
      </c>
      <c r="B99" s="49">
        <v>20.323904037475589</v>
      </c>
      <c r="C99" s="49">
        <v>51.876075744628913</v>
      </c>
      <c r="D99" s="63">
        <f t="shared" ref="D99:E99" si="100">(B99/B98)-1</f>
        <v>8.1291084636303523E-4</v>
      </c>
      <c r="E99" s="63">
        <f t="shared" si="100"/>
        <v>-6.9671083385274724E-2</v>
      </c>
      <c r="F99" s="63">
        <v>1.29E-2</v>
      </c>
      <c r="G99" s="63">
        <v>0</v>
      </c>
      <c r="H99" s="63">
        <f t="shared" si="1"/>
        <v>8.1291084636303523E-4</v>
      </c>
      <c r="I99" s="63">
        <f t="shared" si="2"/>
        <v>-6.9671083385274724E-2</v>
      </c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2.75" customHeight="1" x14ac:dyDescent="0.35">
      <c r="A100" s="61">
        <v>41364</v>
      </c>
      <c r="B100" s="49">
        <v>22.164777755737301</v>
      </c>
      <c r="C100" s="49">
        <v>51.870273590087891</v>
      </c>
      <c r="D100" s="63">
        <f t="shared" ref="D100:E100" si="101">(B100/B99)-1</f>
        <v>9.0576776728884978E-2</v>
      </c>
      <c r="E100" s="63">
        <f t="shared" si="101"/>
        <v>-1.1184644284945033E-4</v>
      </c>
      <c r="F100" s="63">
        <v>4.0300000000000002E-2</v>
      </c>
      <c r="G100" s="63">
        <v>0</v>
      </c>
      <c r="H100" s="63">
        <f t="shared" si="1"/>
        <v>9.0576776728884978E-2</v>
      </c>
      <c r="I100" s="63">
        <f t="shared" si="2"/>
        <v>-1.1184644284945033E-4</v>
      </c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2.75" customHeight="1" x14ac:dyDescent="0.35">
      <c r="A101" s="61">
        <v>41394</v>
      </c>
      <c r="B101" s="49">
        <v>19.780876159667969</v>
      </c>
      <c r="C101" s="49">
        <v>50.732131958007813</v>
      </c>
      <c r="D101" s="63">
        <f t="shared" ref="D101:E101" si="102">(B101/B100)-1</f>
        <v>-0.10755359798057373</v>
      </c>
      <c r="E101" s="63">
        <f t="shared" si="102"/>
        <v>-2.1942078830630485E-2</v>
      </c>
      <c r="F101" s="63">
        <v>1.55E-2</v>
      </c>
      <c r="G101" s="63">
        <v>0</v>
      </c>
      <c r="H101" s="63">
        <f t="shared" si="1"/>
        <v>-0.10755359798057373</v>
      </c>
      <c r="I101" s="63">
        <f t="shared" si="2"/>
        <v>-2.1942078830630485E-2</v>
      </c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2.75" customHeight="1" x14ac:dyDescent="0.35">
      <c r="A102" s="61">
        <v>41425</v>
      </c>
      <c r="B102" s="49">
        <v>23.295993804931641</v>
      </c>
      <c r="C102" s="49">
        <v>48.898441314697273</v>
      </c>
      <c r="D102" s="63">
        <f t="shared" ref="D102:E102" si="103">(B102/B101)-1</f>
        <v>0.17770282857494402</v>
      </c>
      <c r="E102" s="63">
        <f t="shared" si="103"/>
        <v>-3.6144561100415196E-2</v>
      </c>
      <c r="F102" s="63">
        <v>2.7999999999999997E-2</v>
      </c>
      <c r="G102" s="63">
        <v>0</v>
      </c>
      <c r="H102" s="63">
        <f t="shared" si="1"/>
        <v>0.17770282857494402</v>
      </c>
      <c r="I102" s="63">
        <f t="shared" si="2"/>
        <v>-3.6144561100415196E-2</v>
      </c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2.75" customHeight="1" x14ac:dyDescent="0.35">
      <c r="A103" s="61">
        <v>41455</v>
      </c>
      <c r="B103" s="49">
        <v>23.004644393920898</v>
      </c>
      <c r="C103" s="49">
        <v>49.906215667724609</v>
      </c>
      <c r="D103" s="63">
        <f t="shared" ref="D103:E103" si="104">(B103/B102)-1</f>
        <v>-1.2506416916588714E-2</v>
      </c>
      <c r="E103" s="63">
        <f t="shared" si="104"/>
        <v>2.0609539403139143E-2</v>
      </c>
      <c r="F103" s="63">
        <v>-1.2E-2</v>
      </c>
      <c r="G103" s="63">
        <v>0</v>
      </c>
      <c r="H103" s="63">
        <f t="shared" si="1"/>
        <v>-1.2506416916588714E-2</v>
      </c>
      <c r="I103" s="63">
        <f t="shared" si="2"/>
        <v>2.0609539403139143E-2</v>
      </c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2.75" customHeight="1" x14ac:dyDescent="0.35">
      <c r="A104" s="61">
        <v>41486</v>
      </c>
      <c r="B104" s="49">
        <v>23.8203010559082</v>
      </c>
      <c r="C104" s="49">
        <v>53.601402282714837</v>
      </c>
      <c r="D104" s="63">
        <f t="shared" ref="D104:E104" si="105">(B104/B103)-1</f>
        <v>3.5456173458731755E-2</v>
      </c>
      <c r="E104" s="63">
        <f t="shared" si="105"/>
        <v>7.4042613040282701E-2</v>
      </c>
      <c r="F104" s="63">
        <v>5.6500000000000002E-2</v>
      </c>
      <c r="G104" s="63">
        <v>0</v>
      </c>
      <c r="H104" s="63">
        <f t="shared" si="1"/>
        <v>3.5456173458731755E-2</v>
      </c>
      <c r="I104" s="63">
        <f t="shared" si="2"/>
        <v>7.4042613040282701E-2</v>
      </c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2.75" customHeight="1" x14ac:dyDescent="0.35">
      <c r="A105" s="61">
        <v>41517</v>
      </c>
      <c r="B105" s="49">
        <v>22.9130973815918</v>
      </c>
      <c r="C105" s="49">
        <v>53.439201354980469</v>
      </c>
      <c r="D105" s="63">
        <f t="shared" ref="D105:E105" si="106">(B105/B104)-1</f>
        <v>-3.8085315218607807E-2</v>
      </c>
      <c r="E105" s="63">
        <f t="shared" si="106"/>
        <v>-3.0260575437720538E-3</v>
      </c>
      <c r="F105" s="63">
        <v>-2.7099999999999999E-2</v>
      </c>
      <c r="G105" s="63">
        <v>0</v>
      </c>
      <c r="H105" s="63">
        <f t="shared" si="1"/>
        <v>-3.8085315218607807E-2</v>
      </c>
      <c r="I105" s="63">
        <f t="shared" si="2"/>
        <v>-3.0260575437720538E-3</v>
      </c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2.75" customHeight="1" x14ac:dyDescent="0.35">
      <c r="A106" s="61">
        <v>41547</v>
      </c>
      <c r="B106" s="49">
        <v>25.956577301025391</v>
      </c>
      <c r="C106" s="49">
        <v>53.7423095703125</v>
      </c>
      <c r="D106" s="63">
        <f t="shared" ref="D106:E106" si="107">(B106/B105)-1</f>
        <v>0.13282708438531299</v>
      </c>
      <c r="E106" s="63">
        <f t="shared" si="107"/>
        <v>5.6720199338042843E-3</v>
      </c>
      <c r="F106" s="63">
        <v>3.7699999999999997E-2</v>
      </c>
      <c r="G106" s="63">
        <v>0</v>
      </c>
      <c r="H106" s="63">
        <f t="shared" si="1"/>
        <v>0.13282708438531299</v>
      </c>
      <c r="I106" s="63">
        <f t="shared" si="2"/>
        <v>5.6720199338042843E-3</v>
      </c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2.75" customHeight="1" x14ac:dyDescent="0.35">
      <c r="A107" s="61">
        <v>41578</v>
      </c>
      <c r="B107" s="49">
        <v>26.658107757568359</v>
      </c>
      <c r="C107" s="49">
        <v>58.145896911621087</v>
      </c>
      <c r="D107" s="63">
        <f t="shared" ref="D107:E107" si="108">(B107/B106)-1</f>
        <v>2.7027078663227844E-2</v>
      </c>
      <c r="E107" s="63">
        <f t="shared" si="108"/>
        <v>8.1938929988620179E-2</v>
      </c>
      <c r="F107" s="63">
        <v>4.1799999999999997E-2</v>
      </c>
      <c r="G107" s="63">
        <v>0</v>
      </c>
      <c r="H107" s="63">
        <f t="shared" si="1"/>
        <v>2.7027078663227844E-2</v>
      </c>
      <c r="I107" s="63">
        <f t="shared" si="2"/>
        <v>8.1938929988620179E-2</v>
      </c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2.75" customHeight="1" x14ac:dyDescent="0.35">
      <c r="A108" s="61">
        <v>41608</v>
      </c>
      <c r="B108" s="49">
        <v>28.194784164428711</v>
      </c>
      <c r="C108" s="49">
        <v>56.722866058349609</v>
      </c>
      <c r="D108" s="63">
        <f t="shared" ref="D108:E108" si="109">(B108/B107)-1</f>
        <v>5.764386658029319E-2</v>
      </c>
      <c r="E108" s="63">
        <f t="shared" si="109"/>
        <v>-2.4473452622708947E-2</v>
      </c>
      <c r="F108" s="63">
        <v>3.1300000000000001E-2</v>
      </c>
      <c r="G108" s="63">
        <v>0</v>
      </c>
      <c r="H108" s="63">
        <f t="shared" si="1"/>
        <v>5.764386658029319E-2</v>
      </c>
      <c r="I108" s="63">
        <f t="shared" si="2"/>
        <v>-2.4473452622708947E-2</v>
      </c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2.75" customHeight="1" x14ac:dyDescent="0.35">
      <c r="A109" s="61">
        <v>41639</v>
      </c>
      <c r="B109" s="49">
        <v>29.541322708129879</v>
      </c>
      <c r="C109" s="49">
        <v>58.344104766845703</v>
      </c>
      <c r="D109" s="63">
        <f t="shared" ref="D109:E109" si="110">(B109/B108)-1</f>
        <v>4.7758427085247801E-2</v>
      </c>
      <c r="E109" s="63">
        <f t="shared" si="110"/>
        <v>2.8581748792953388E-2</v>
      </c>
      <c r="F109" s="63">
        <v>2.81E-2</v>
      </c>
      <c r="G109" s="63">
        <v>0</v>
      </c>
      <c r="H109" s="63">
        <f t="shared" si="1"/>
        <v>4.7758427085247801E-2</v>
      </c>
      <c r="I109" s="63">
        <f t="shared" si="2"/>
        <v>2.8581748792953388E-2</v>
      </c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2.75" customHeight="1" x14ac:dyDescent="0.35">
      <c r="A110" s="61">
        <v>41670</v>
      </c>
      <c r="B110" s="49">
        <v>26.3995246887207</v>
      </c>
      <c r="C110" s="49">
        <v>53.832046508789063</v>
      </c>
      <c r="D110" s="63">
        <f t="shared" ref="D110:E110" si="111">(B110/B109)-1</f>
        <v>-0.10635265219673273</v>
      </c>
      <c r="E110" s="63">
        <f t="shared" si="111"/>
        <v>-7.7335289933536444E-2</v>
      </c>
      <c r="F110" s="63">
        <v>-3.32E-2</v>
      </c>
      <c r="G110" s="63">
        <v>0</v>
      </c>
      <c r="H110" s="63">
        <f t="shared" si="1"/>
        <v>-0.10635265219673273</v>
      </c>
      <c r="I110" s="63">
        <f t="shared" si="2"/>
        <v>-7.7335289933536444E-2</v>
      </c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2.75" customHeight="1" x14ac:dyDescent="0.35">
      <c r="A111" s="61">
        <v>41698</v>
      </c>
      <c r="B111" s="49">
        <v>27.798673629760739</v>
      </c>
      <c r="C111" s="49">
        <v>56.567714691162109</v>
      </c>
      <c r="D111" s="63">
        <f t="shared" ref="D111:E111" si="112">(B111/B110)-1</f>
        <v>5.2999020154246512E-2</v>
      </c>
      <c r="E111" s="63">
        <f t="shared" si="112"/>
        <v>5.0818580377143929E-2</v>
      </c>
      <c r="F111" s="63">
        <v>4.6500000000000007E-2</v>
      </c>
      <c r="G111" s="63">
        <v>0</v>
      </c>
      <c r="H111" s="63">
        <f t="shared" si="1"/>
        <v>5.2999020154246512E-2</v>
      </c>
      <c r="I111" s="63">
        <f t="shared" si="2"/>
        <v>5.0818580377143929E-2</v>
      </c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2.75" customHeight="1" x14ac:dyDescent="0.35">
      <c r="A112" s="61">
        <v>41729</v>
      </c>
      <c r="B112" s="49">
        <v>28.963235855102539</v>
      </c>
      <c r="C112" s="49">
        <v>56.720752716064453</v>
      </c>
      <c r="D112" s="63">
        <f t="shared" ref="D112:E112" si="113">(B112/B111)-1</f>
        <v>4.1892726280833736E-2</v>
      </c>
      <c r="E112" s="63">
        <f t="shared" si="113"/>
        <v>2.7053952194793229E-3</v>
      </c>
      <c r="F112" s="63">
        <v>4.3E-3</v>
      </c>
      <c r="G112" s="63">
        <v>0</v>
      </c>
      <c r="H112" s="63">
        <f t="shared" si="1"/>
        <v>4.1892726280833736E-2</v>
      </c>
      <c r="I112" s="63">
        <f t="shared" si="2"/>
        <v>2.7053952194793229E-3</v>
      </c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2.75" customHeight="1" x14ac:dyDescent="0.35">
      <c r="A113" s="61">
        <v>41759</v>
      </c>
      <c r="B113" s="49">
        <v>25.941999435424801</v>
      </c>
      <c r="C113" s="49">
        <v>56.82061767578125</v>
      </c>
      <c r="D113" s="63">
        <f t="shared" ref="D113:E113" si="114">(B113/B112)-1</f>
        <v>-0.10431280657977582</v>
      </c>
      <c r="E113" s="63">
        <f t="shared" si="114"/>
        <v>1.76064235636475E-3</v>
      </c>
      <c r="F113" s="63">
        <v>-1.9E-3</v>
      </c>
      <c r="G113" s="63">
        <v>0</v>
      </c>
      <c r="H113" s="63">
        <f t="shared" si="1"/>
        <v>-0.10431280657977582</v>
      </c>
      <c r="I113" s="63">
        <f t="shared" si="2"/>
        <v>1.76064235636475E-3</v>
      </c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2.75" customHeight="1" x14ac:dyDescent="0.35">
      <c r="A114" s="61">
        <v>41790</v>
      </c>
      <c r="B114" s="49">
        <v>28.195634841918949</v>
      </c>
      <c r="C114" s="49">
        <v>55.436687469482422</v>
      </c>
      <c r="D114" s="63">
        <f t="shared" ref="D114:E114" si="115">(B114/B113)-1</f>
        <v>8.687207831084609E-2</v>
      </c>
      <c r="E114" s="63">
        <f t="shared" si="115"/>
        <v>-2.4356127457035748E-2</v>
      </c>
      <c r="F114" s="63">
        <v>2.06E-2</v>
      </c>
      <c r="G114" s="63">
        <v>0</v>
      </c>
      <c r="H114" s="63">
        <f t="shared" si="1"/>
        <v>8.687207831084609E-2</v>
      </c>
      <c r="I114" s="63">
        <f t="shared" si="2"/>
        <v>-2.4356127457035748E-2</v>
      </c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2.75" customHeight="1" x14ac:dyDescent="0.35">
      <c r="A115" s="61">
        <v>41820</v>
      </c>
      <c r="B115" s="49">
        <v>28.864309310913089</v>
      </c>
      <c r="C115" s="49">
        <v>54.169380187988281</v>
      </c>
      <c r="D115" s="63">
        <f t="shared" ref="D115:E115" si="116">(B115/B114)-1</f>
        <v>2.3715531597111372E-2</v>
      </c>
      <c r="E115" s="63">
        <f t="shared" si="116"/>
        <v>-2.2860443856638879E-2</v>
      </c>
      <c r="F115" s="63">
        <v>2.6099999999999998E-2</v>
      </c>
      <c r="G115" s="63">
        <v>0</v>
      </c>
      <c r="H115" s="63">
        <f t="shared" si="1"/>
        <v>2.3715531597111372E-2</v>
      </c>
      <c r="I115" s="63">
        <f t="shared" si="2"/>
        <v>-2.2860443856638879E-2</v>
      </c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2.75" customHeight="1" x14ac:dyDescent="0.35">
      <c r="A116" s="61">
        <v>41851</v>
      </c>
      <c r="B116" s="49">
        <v>29.497491836547852</v>
      </c>
      <c r="C116" s="49">
        <v>56.461067199707031</v>
      </c>
      <c r="D116" s="63">
        <f t="shared" ref="D116:E116" si="117">(B116/B115)-1</f>
        <v>2.1936520940598614E-2</v>
      </c>
      <c r="E116" s="63">
        <f t="shared" si="117"/>
        <v>4.2305948559236306E-2</v>
      </c>
      <c r="F116" s="63">
        <v>-2.0400000000000001E-2</v>
      </c>
      <c r="G116" s="63">
        <v>0</v>
      </c>
      <c r="H116" s="63">
        <f t="shared" si="1"/>
        <v>2.1936520940598614E-2</v>
      </c>
      <c r="I116" s="63">
        <f t="shared" si="2"/>
        <v>4.2305948559236306E-2</v>
      </c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2.75" customHeight="1" x14ac:dyDescent="0.35">
      <c r="A117" s="61">
        <v>41882</v>
      </c>
      <c r="B117" s="49">
        <v>30.139104843139648</v>
      </c>
      <c r="C117" s="49">
        <v>60.621871948242188</v>
      </c>
      <c r="D117" s="63">
        <f t="shared" ref="D117:E117" si="118">(B117/B116)-1</f>
        <v>2.1751442805616028E-2</v>
      </c>
      <c r="E117" s="63">
        <f t="shared" si="118"/>
        <v>7.3693342242683313E-2</v>
      </c>
      <c r="F117" s="63">
        <v>4.24E-2</v>
      </c>
      <c r="G117" s="63">
        <v>0</v>
      </c>
      <c r="H117" s="63">
        <f t="shared" si="1"/>
        <v>2.1751442805616028E-2</v>
      </c>
      <c r="I117" s="63">
        <f t="shared" si="2"/>
        <v>7.3693342242683313E-2</v>
      </c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2.75" customHeight="1" x14ac:dyDescent="0.35">
      <c r="A118" s="61">
        <v>41912</v>
      </c>
      <c r="B118" s="49">
        <v>29.976617813110352</v>
      </c>
      <c r="C118" s="49">
        <v>60.572452545166023</v>
      </c>
      <c r="D118" s="63">
        <f t="shared" ref="D118:E118" si="119">(B118/B117)-1</f>
        <v>-5.3912360992460773E-3</v>
      </c>
      <c r="E118" s="63">
        <f t="shared" si="119"/>
        <v>-8.1520747360552814E-4</v>
      </c>
      <c r="F118" s="63">
        <v>-1.9699999999999999E-2</v>
      </c>
      <c r="G118" s="63">
        <v>0</v>
      </c>
      <c r="H118" s="63">
        <f t="shared" si="1"/>
        <v>-5.3912360992460773E-3</v>
      </c>
      <c r="I118" s="63">
        <f t="shared" si="2"/>
        <v>-8.1520747360552814E-4</v>
      </c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2.75" customHeight="1" x14ac:dyDescent="0.35">
      <c r="A119" s="61">
        <v>41943</v>
      </c>
      <c r="B119" s="49">
        <v>36.549613952636719</v>
      </c>
      <c r="C119" s="49">
        <v>63.751003265380859</v>
      </c>
      <c r="D119" s="63">
        <f t="shared" ref="D119:E119" si="120">(B119/B118)-1</f>
        <v>0.21927077232347569</v>
      </c>
      <c r="E119" s="63">
        <f t="shared" si="120"/>
        <v>5.2475186106171634E-2</v>
      </c>
      <c r="F119" s="63">
        <v>2.52E-2</v>
      </c>
      <c r="G119" s="63">
        <v>0</v>
      </c>
      <c r="H119" s="63">
        <f t="shared" si="1"/>
        <v>0.21927077232347569</v>
      </c>
      <c r="I119" s="63">
        <f t="shared" si="2"/>
        <v>5.2475186106171634E-2</v>
      </c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2.75" customHeight="1" x14ac:dyDescent="0.35">
      <c r="A120" s="61">
        <v>41973</v>
      </c>
      <c r="B120" s="49">
        <v>32.924304962158203</v>
      </c>
      <c r="C120" s="49">
        <v>65.275566101074219</v>
      </c>
      <c r="D120" s="63">
        <f t="shared" ref="D120:E120" si="121">(B120/B119)-1</f>
        <v>-9.918870812634073E-2</v>
      </c>
      <c r="E120" s="63">
        <f t="shared" si="121"/>
        <v>2.3914334796378833E-2</v>
      </c>
      <c r="F120" s="63">
        <v>2.5499999999999998E-2</v>
      </c>
      <c r="G120" s="63">
        <v>0</v>
      </c>
      <c r="H120" s="63">
        <f t="shared" si="1"/>
        <v>-9.918870812634073E-2</v>
      </c>
      <c r="I120" s="63">
        <f t="shared" si="2"/>
        <v>2.3914334796378833E-2</v>
      </c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2.75" customHeight="1" x14ac:dyDescent="0.35">
      <c r="A121" s="61">
        <v>42004</v>
      </c>
      <c r="B121" s="49">
        <v>35.649398803710938</v>
      </c>
      <c r="C121" s="49">
        <v>65.627647399902344</v>
      </c>
      <c r="D121" s="63">
        <f t="shared" ref="D121:E121" si="122">(B121/B120)-1</f>
        <v>8.2768454632067057E-2</v>
      </c>
      <c r="E121" s="63">
        <f t="shared" si="122"/>
        <v>5.3937686006881869E-3</v>
      </c>
      <c r="F121" s="63">
        <v>-5.9999999999999995E-4</v>
      </c>
      <c r="G121" s="63">
        <v>0</v>
      </c>
      <c r="H121" s="63">
        <f t="shared" si="1"/>
        <v>8.2768454632067057E-2</v>
      </c>
      <c r="I121" s="63">
        <f t="shared" si="2"/>
        <v>5.3937686006881869E-3</v>
      </c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2.75" customHeight="1" x14ac:dyDescent="0.35">
      <c r="A122" s="61">
        <v>42035</v>
      </c>
      <c r="B122" s="49">
        <v>32.956161499023438</v>
      </c>
      <c r="C122" s="49">
        <v>64.631416320800781</v>
      </c>
      <c r="D122" s="63">
        <f t="shared" ref="D122:E122" si="123">(B122/B121)-1</f>
        <v>-7.5547902491055363E-2</v>
      </c>
      <c r="E122" s="63">
        <f t="shared" si="123"/>
        <v>-1.518005167899783E-2</v>
      </c>
      <c r="F122" s="63">
        <v>-3.1099999999999999E-2</v>
      </c>
      <c r="G122" s="63">
        <v>0</v>
      </c>
      <c r="H122" s="63">
        <f t="shared" si="1"/>
        <v>-7.5547902491055363E-2</v>
      </c>
      <c r="I122" s="63">
        <f t="shared" si="2"/>
        <v>-1.518005167899783E-2</v>
      </c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2.75" customHeight="1" x14ac:dyDescent="0.35">
      <c r="A123" s="61">
        <v>42063</v>
      </c>
      <c r="B123" s="49">
        <v>36.014736175537109</v>
      </c>
      <c r="C123" s="49">
        <v>59.036724090576172</v>
      </c>
      <c r="D123" s="63">
        <f t="shared" ref="D123:E123" si="124">(B123/B122)-1</f>
        <v>9.2807370075677742E-2</v>
      </c>
      <c r="E123" s="63">
        <f t="shared" si="124"/>
        <v>-8.656304547706517E-2</v>
      </c>
      <c r="F123" s="63">
        <v>6.13E-2</v>
      </c>
      <c r="G123" s="63">
        <v>0</v>
      </c>
      <c r="H123" s="63">
        <f t="shared" si="1"/>
        <v>9.2807370075677742E-2</v>
      </c>
      <c r="I123" s="63">
        <f t="shared" si="2"/>
        <v>-8.656304547706517E-2</v>
      </c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2.75" customHeight="1" x14ac:dyDescent="0.35">
      <c r="A124" s="61">
        <v>42094</v>
      </c>
      <c r="B124" s="49">
        <v>40.356224060058587</v>
      </c>
      <c r="C124" s="49">
        <v>59.677238464355469</v>
      </c>
      <c r="D124" s="63">
        <f t="shared" ref="D124:E124" si="125">(B124/B123)-1</f>
        <v>0.12054754096658971</v>
      </c>
      <c r="E124" s="63">
        <f t="shared" si="125"/>
        <v>1.0849422688098409E-2</v>
      </c>
      <c r="F124" s="63">
        <v>-1.1200000000000002E-2</v>
      </c>
      <c r="G124" s="63">
        <v>0</v>
      </c>
      <c r="H124" s="63">
        <f t="shared" si="1"/>
        <v>0.12054754096658971</v>
      </c>
      <c r="I124" s="63">
        <f t="shared" si="2"/>
        <v>1.0849422688098409E-2</v>
      </c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2.75" customHeight="1" x14ac:dyDescent="0.35">
      <c r="A125" s="61">
        <v>42124</v>
      </c>
      <c r="B125" s="49">
        <v>40.192176818847663</v>
      </c>
      <c r="C125" s="49">
        <v>62.582832336425781</v>
      </c>
      <c r="D125" s="63">
        <f t="shared" ref="D125:E125" si="126">(B125/B124)-1</f>
        <v>-4.0649799388264851E-3</v>
      </c>
      <c r="E125" s="63">
        <f t="shared" si="126"/>
        <v>4.8688477329690727E-2</v>
      </c>
      <c r="F125" s="63">
        <v>5.8999999999999999E-3</v>
      </c>
      <c r="G125" s="63">
        <v>0</v>
      </c>
      <c r="H125" s="63">
        <f t="shared" si="1"/>
        <v>-4.0649799388264851E-3</v>
      </c>
      <c r="I125" s="63">
        <f t="shared" si="2"/>
        <v>4.8688477329690727E-2</v>
      </c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2.75" customHeight="1" x14ac:dyDescent="0.35">
      <c r="A126" s="61">
        <v>42155</v>
      </c>
      <c r="B126" s="49">
        <v>42.493259429931641</v>
      </c>
      <c r="C126" s="49">
        <v>67.068046569824219</v>
      </c>
      <c r="D126" s="63">
        <f t="shared" ref="D126:E126" si="127">(B126/B125)-1</f>
        <v>5.7252002583868755E-2</v>
      </c>
      <c r="E126" s="63">
        <f t="shared" si="127"/>
        <v>7.1668444299346046E-2</v>
      </c>
      <c r="F126" s="63">
        <v>1.3600000000000001E-2</v>
      </c>
      <c r="G126" s="63">
        <v>0</v>
      </c>
      <c r="H126" s="63">
        <f t="shared" si="1"/>
        <v>5.7252002583868755E-2</v>
      </c>
      <c r="I126" s="63">
        <f t="shared" si="2"/>
        <v>7.1668444299346046E-2</v>
      </c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2.75" customHeight="1" x14ac:dyDescent="0.35">
      <c r="A127" s="61">
        <v>42185</v>
      </c>
      <c r="B127" s="49">
        <v>46.813117980957031</v>
      </c>
      <c r="C127" s="49">
        <v>63.857028961181641</v>
      </c>
      <c r="D127" s="63">
        <f t="shared" ref="D127:E127" si="128">(B127/B126)-1</f>
        <v>0.10165985403281508</v>
      </c>
      <c r="E127" s="63">
        <f t="shared" si="128"/>
        <v>-4.7877011078585774E-2</v>
      </c>
      <c r="F127" s="63">
        <v>-1.5300000000000001E-2</v>
      </c>
      <c r="G127" s="63">
        <v>0</v>
      </c>
      <c r="H127" s="63">
        <f t="shared" si="1"/>
        <v>0.10165985403281508</v>
      </c>
      <c r="I127" s="63">
        <f t="shared" si="2"/>
        <v>-4.7877011078585774E-2</v>
      </c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2.75" customHeight="1" x14ac:dyDescent="0.35">
      <c r="A128" s="61">
        <v>42216</v>
      </c>
      <c r="B128" s="49">
        <v>45.188846588134773</v>
      </c>
      <c r="C128" s="49">
        <v>58.074985504150391</v>
      </c>
      <c r="D128" s="63">
        <f t="shared" ref="D128:E128" si="129">(B128/B127)-1</f>
        <v>-3.4696928187586074E-2</v>
      </c>
      <c r="E128" s="63">
        <f t="shared" si="129"/>
        <v>-9.0546703332316403E-2</v>
      </c>
      <c r="F128" s="63">
        <v>1.54E-2</v>
      </c>
      <c r="G128" s="63">
        <v>0</v>
      </c>
      <c r="H128" s="63">
        <f t="shared" si="1"/>
        <v>-3.4696928187586074E-2</v>
      </c>
      <c r="I128" s="63">
        <f t="shared" si="2"/>
        <v>-9.0546703332316403E-2</v>
      </c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2.75" customHeight="1" x14ac:dyDescent="0.35">
      <c r="A129" s="61">
        <v>42247</v>
      </c>
      <c r="B129" s="49">
        <v>39.281642913818359</v>
      </c>
      <c r="C129" s="49">
        <v>52.692951202392578</v>
      </c>
      <c r="D129" s="63">
        <f t="shared" ref="D129:E129" si="130">(B129/B128)-1</f>
        <v>-0.13072260348126408</v>
      </c>
      <c r="E129" s="63">
        <f t="shared" si="130"/>
        <v>-9.2673881104510691E-2</v>
      </c>
      <c r="F129" s="63">
        <v>-6.0400000000000002E-2</v>
      </c>
      <c r="G129" s="63">
        <v>0</v>
      </c>
      <c r="H129" s="63">
        <f t="shared" si="1"/>
        <v>-0.13072260348126408</v>
      </c>
      <c r="I129" s="63">
        <f t="shared" si="2"/>
        <v>-9.2673881104510691E-2</v>
      </c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2.75" customHeight="1" x14ac:dyDescent="0.35">
      <c r="A130" s="61">
        <v>42277</v>
      </c>
      <c r="B130" s="49">
        <v>38.487133026123047</v>
      </c>
      <c r="C130" s="49">
        <v>53.577957153320313</v>
      </c>
      <c r="D130" s="63">
        <f t="shared" ref="D130:E130" si="131">(B130/B129)-1</f>
        <v>-2.0225984168697364E-2</v>
      </c>
      <c r="E130" s="63">
        <f t="shared" si="131"/>
        <v>1.6795528258199965E-2</v>
      </c>
      <c r="F130" s="63">
        <v>-3.0699999999999998E-2</v>
      </c>
      <c r="G130" s="63">
        <v>0</v>
      </c>
      <c r="H130" s="63">
        <f t="shared" si="1"/>
        <v>-2.0225984168697364E-2</v>
      </c>
      <c r="I130" s="63">
        <f t="shared" si="2"/>
        <v>1.6795528258199965E-2</v>
      </c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2.75" customHeight="1" x14ac:dyDescent="0.35">
      <c r="A131" s="61">
        <v>42308</v>
      </c>
      <c r="B131" s="49">
        <v>42.062351226806641</v>
      </c>
      <c r="C131" s="49">
        <v>53.329441070556641</v>
      </c>
      <c r="D131" s="63">
        <f t="shared" ref="D131:E131" si="132">(B131/B130)-1</f>
        <v>9.2893856194924185E-2</v>
      </c>
      <c r="E131" s="63">
        <f t="shared" si="132"/>
        <v>-4.6384016108063086E-3</v>
      </c>
      <c r="F131" s="63">
        <v>7.7499999999999999E-2</v>
      </c>
      <c r="G131" s="63">
        <v>0</v>
      </c>
      <c r="H131" s="63">
        <f t="shared" si="1"/>
        <v>9.2893856194924185E-2</v>
      </c>
      <c r="I131" s="63">
        <f t="shared" si="2"/>
        <v>-4.6384016108063086E-3</v>
      </c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2.75" customHeight="1" x14ac:dyDescent="0.35">
      <c r="A132" s="61">
        <v>42338</v>
      </c>
      <c r="B132" s="49">
        <v>45.303192138671882</v>
      </c>
      <c r="C132" s="49">
        <v>48.687953948974609</v>
      </c>
      <c r="D132" s="63">
        <f t="shared" ref="D132:E132" si="133">(B132/B131)-1</f>
        <v>7.7048496276162393E-2</v>
      </c>
      <c r="E132" s="63">
        <f t="shared" si="133"/>
        <v>-8.7034235281805983E-2</v>
      </c>
      <c r="F132" s="63">
        <v>5.6000000000000008E-3</v>
      </c>
      <c r="G132" s="63">
        <v>0</v>
      </c>
      <c r="H132" s="63">
        <f t="shared" si="1"/>
        <v>7.7048496276162393E-2</v>
      </c>
      <c r="I132" s="63">
        <f t="shared" si="2"/>
        <v>-8.7034235281805983E-2</v>
      </c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2.75" customHeight="1" x14ac:dyDescent="0.35">
      <c r="A133" s="61">
        <v>42369</v>
      </c>
      <c r="B133" s="49">
        <v>46.163471221923828</v>
      </c>
      <c r="C133" s="49">
        <v>50.181476593017578</v>
      </c>
      <c r="D133" s="63">
        <f t="shared" ref="D133:E133" si="134">(B133/B132)-1</f>
        <v>1.898937012249946E-2</v>
      </c>
      <c r="E133" s="63">
        <f t="shared" si="134"/>
        <v>3.0675403727340678E-2</v>
      </c>
      <c r="F133" s="63">
        <v>-2.1700000000000001E-2</v>
      </c>
      <c r="G133" s="63">
        <v>1E-4</v>
      </c>
      <c r="H133" s="63">
        <f t="shared" si="1"/>
        <v>1.8889370122499461E-2</v>
      </c>
      <c r="I133" s="63">
        <f t="shared" si="2"/>
        <v>3.0575403727340678E-2</v>
      </c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2.75" customHeight="1" x14ac:dyDescent="0.35">
      <c r="A134" s="61">
        <v>42400</v>
      </c>
      <c r="B134" s="49">
        <v>43.987735748291023</v>
      </c>
      <c r="C134" s="49">
        <v>45.573421478271477</v>
      </c>
      <c r="D134" s="63">
        <f t="shared" ref="D134:E134" si="135">(B134/B133)-1</f>
        <v>-4.7131106393045963E-2</v>
      </c>
      <c r="E134" s="63">
        <f t="shared" si="135"/>
        <v>-9.1827810331656989E-2</v>
      </c>
      <c r="F134" s="63">
        <v>-5.7699999999999994E-2</v>
      </c>
      <c r="G134" s="63">
        <v>1E-4</v>
      </c>
      <c r="H134" s="63">
        <f t="shared" si="1"/>
        <v>-4.7231106393045966E-2</v>
      </c>
      <c r="I134" s="63">
        <f t="shared" si="2"/>
        <v>-9.1927810331656992E-2</v>
      </c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2.75" customHeight="1" x14ac:dyDescent="0.35">
      <c r="A135" s="61">
        <v>42429</v>
      </c>
      <c r="B135" s="49">
        <v>43.592144012451172</v>
      </c>
      <c r="C135" s="49">
        <v>36.541057586669922</v>
      </c>
      <c r="D135" s="63">
        <f t="shared" ref="D135:E135" si="136">(B135/B134)-1</f>
        <v>-8.9932279784421532E-3</v>
      </c>
      <c r="E135" s="63">
        <f t="shared" si="136"/>
        <v>-0.198193675142605</v>
      </c>
      <c r="F135" s="63">
        <v>-8.0000000000000004E-4</v>
      </c>
      <c r="G135" s="63">
        <v>2.0000000000000001E-4</v>
      </c>
      <c r="H135" s="63">
        <f t="shared" si="1"/>
        <v>-9.1932279784421537E-3</v>
      </c>
      <c r="I135" s="63">
        <f t="shared" si="2"/>
        <v>-0.198393675142605</v>
      </c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2.75" customHeight="1" x14ac:dyDescent="0.35">
      <c r="A136" s="61">
        <v>42460</v>
      </c>
      <c r="B136" s="49">
        <v>42.766559600830078</v>
      </c>
      <c r="C136" s="49">
        <v>41.982677459716797</v>
      </c>
      <c r="D136" s="63">
        <f t="shared" ref="D136:E136" si="137">(B136/B135)-1</f>
        <v>-1.8938834744748556E-2</v>
      </c>
      <c r="E136" s="63">
        <f t="shared" si="137"/>
        <v>0.14891796331127427</v>
      </c>
      <c r="F136" s="63">
        <v>6.9599999999999995E-2</v>
      </c>
      <c r="G136" s="63">
        <v>2.0000000000000001E-4</v>
      </c>
      <c r="H136" s="63">
        <f t="shared" si="1"/>
        <v>-1.9138834744748555E-2</v>
      </c>
      <c r="I136" s="63">
        <f t="shared" si="2"/>
        <v>0.14871796331127426</v>
      </c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2.75" customHeight="1" x14ac:dyDescent="0.35">
      <c r="A137" s="61">
        <v>42490</v>
      </c>
      <c r="B137" s="49">
        <v>43.024681091308587</v>
      </c>
      <c r="C137" s="49">
        <v>46.301700592041023</v>
      </c>
      <c r="D137" s="63">
        <f t="shared" ref="D137:E137" si="138">(B137/B136)-1</f>
        <v>6.0355916605809856E-3</v>
      </c>
      <c r="E137" s="63">
        <f t="shared" si="138"/>
        <v>0.10287631455779378</v>
      </c>
      <c r="F137" s="63">
        <v>9.1999999999999998E-3</v>
      </c>
      <c r="G137" s="63">
        <v>1E-4</v>
      </c>
      <c r="H137" s="63">
        <f t="shared" si="1"/>
        <v>5.9355916605809854E-3</v>
      </c>
      <c r="I137" s="63">
        <f t="shared" si="2"/>
        <v>0.10277631455779378</v>
      </c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2.75" customHeight="1" x14ac:dyDescent="0.35">
      <c r="A138" s="61">
        <v>42521</v>
      </c>
      <c r="B138" s="49">
        <v>49.85028076171875</v>
      </c>
      <c r="C138" s="49">
        <v>49.687286376953118</v>
      </c>
      <c r="D138" s="63">
        <f t="shared" ref="D138:E138" si="139">(B138/B137)-1</f>
        <v>0.15864381785711834</v>
      </c>
      <c r="E138" s="63">
        <f t="shared" si="139"/>
        <v>7.3120117438927323E-2</v>
      </c>
      <c r="F138" s="63">
        <v>1.78E-2</v>
      </c>
      <c r="G138" s="63">
        <v>1E-4</v>
      </c>
      <c r="H138" s="63">
        <f t="shared" si="1"/>
        <v>0.15854381785711835</v>
      </c>
      <c r="I138" s="63">
        <f t="shared" si="2"/>
        <v>7.3020117438927321E-2</v>
      </c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2.75" customHeight="1" x14ac:dyDescent="0.35">
      <c r="A139" s="61">
        <v>42551</v>
      </c>
      <c r="B139" s="49">
        <v>52.111423492431641</v>
      </c>
      <c r="C139" s="49">
        <v>44.094898223876953</v>
      </c>
      <c r="D139" s="63">
        <f t="shared" ref="D139:E139" si="140">(B139/B138)-1</f>
        <v>4.535867594248888E-2</v>
      </c>
      <c r="E139" s="63">
        <f t="shared" si="140"/>
        <v>-0.11255169200928894</v>
      </c>
      <c r="F139" s="63">
        <v>-5.0000000000000001E-4</v>
      </c>
      <c r="G139" s="63">
        <v>2.0000000000000001E-4</v>
      </c>
      <c r="H139" s="63">
        <f t="shared" si="1"/>
        <v>4.5158675942488881E-2</v>
      </c>
      <c r="I139" s="63">
        <f t="shared" si="2"/>
        <v>-0.11275169200928895</v>
      </c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2.75" customHeight="1" x14ac:dyDescent="0.35">
      <c r="A140" s="61">
        <v>42582</v>
      </c>
      <c r="B140" s="49">
        <v>51.600788116455078</v>
      </c>
      <c r="C140" s="49">
        <v>49.082130432128913</v>
      </c>
      <c r="D140" s="63">
        <f t="shared" ref="D140:E140" si="141">(B140/B139)-1</f>
        <v>-9.7989143599335193E-3</v>
      </c>
      <c r="E140" s="63">
        <f t="shared" si="141"/>
        <v>0.11310225012723629</v>
      </c>
      <c r="F140" s="63">
        <v>3.95E-2</v>
      </c>
      <c r="G140" s="63">
        <v>2.0000000000000001E-4</v>
      </c>
      <c r="H140" s="63">
        <f t="shared" si="1"/>
        <v>-9.9989143599335199E-3</v>
      </c>
      <c r="I140" s="63">
        <f t="shared" si="2"/>
        <v>0.11290225012723629</v>
      </c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2.75" customHeight="1" x14ac:dyDescent="0.35">
      <c r="A141" s="61">
        <v>42613</v>
      </c>
      <c r="B141" s="49">
        <v>54.569442749023438</v>
      </c>
      <c r="C141" s="49">
        <v>47.635902404785163</v>
      </c>
      <c r="D141" s="63">
        <f t="shared" ref="D141:E141" si="142">(B141/B140)-1</f>
        <v>5.7531187815747398E-2</v>
      </c>
      <c r="E141" s="63">
        <f t="shared" si="142"/>
        <v>-2.9465469705794556E-2</v>
      </c>
      <c r="F141" s="63">
        <v>5.0000000000000001E-3</v>
      </c>
      <c r="G141" s="63">
        <v>2.0000000000000001E-4</v>
      </c>
      <c r="H141" s="63">
        <f t="shared" si="1"/>
        <v>5.7331187815747399E-2</v>
      </c>
      <c r="I141" s="63">
        <f t="shared" si="2"/>
        <v>-2.9665469705794555E-2</v>
      </c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2.75" customHeight="1" x14ac:dyDescent="0.35">
      <c r="A142" s="61">
        <v>42643</v>
      </c>
      <c r="B142" s="49">
        <v>54.418357849121087</v>
      </c>
      <c r="C142" s="49">
        <v>44.443939208984382</v>
      </c>
      <c r="D142" s="63">
        <f t="shared" ref="D142:E142" si="143">(B142/B141)-1</f>
        <v>-2.7686722145436882E-3</v>
      </c>
      <c r="E142" s="63">
        <f t="shared" si="143"/>
        <v>-6.700750977019676E-2</v>
      </c>
      <c r="F142" s="63">
        <v>2.5000000000000001E-3</v>
      </c>
      <c r="G142" s="63">
        <v>2.0000000000000001E-4</v>
      </c>
      <c r="H142" s="63">
        <f t="shared" si="1"/>
        <v>-2.9686722145436883E-3</v>
      </c>
      <c r="I142" s="63">
        <f t="shared" si="2"/>
        <v>-6.7207509770196766E-2</v>
      </c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2.75" customHeight="1" x14ac:dyDescent="0.35">
      <c r="A143" s="61">
        <v>42674</v>
      </c>
      <c r="B143" s="49">
        <v>49.384452819824219</v>
      </c>
      <c r="C143" s="49">
        <v>46.529953002929688</v>
      </c>
      <c r="D143" s="63">
        <f t="shared" ref="D143:E143" si="144">(B143/B142)-1</f>
        <v>-9.2503802544974589E-2</v>
      </c>
      <c r="E143" s="63">
        <f t="shared" si="144"/>
        <v>4.6935843920955067E-2</v>
      </c>
      <c r="F143" s="63">
        <v>-2.0199999999999999E-2</v>
      </c>
      <c r="G143" s="63">
        <v>2.0000000000000001E-4</v>
      </c>
      <c r="H143" s="63">
        <f t="shared" si="1"/>
        <v>-9.2703802544974595E-2</v>
      </c>
      <c r="I143" s="63">
        <f t="shared" si="2"/>
        <v>4.6735843920955068E-2</v>
      </c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2.75" customHeight="1" x14ac:dyDescent="0.35">
      <c r="A144" s="61">
        <v>42704</v>
      </c>
      <c r="B144" s="49">
        <v>55.546649932861328</v>
      </c>
      <c r="C144" s="49">
        <v>51.234718322753913</v>
      </c>
      <c r="D144" s="63">
        <f t="shared" ref="D144:E144" si="145">(B144/B143)-1</f>
        <v>0.12478010307250864</v>
      </c>
      <c r="E144" s="63">
        <f t="shared" si="145"/>
        <v>0.10111261706041264</v>
      </c>
      <c r="F144" s="63">
        <v>4.8600000000000004E-2</v>
      </c>
      <c r="G144" s="63">
        <v>1E-4</v>
      </c>
      <c r="H144" s="63">
        <f t="shared" si="1"/>
        <v>0.12468010307250864</v>
      </c>
      <c r="I144" s="63">
        <f t="shared" si="2"/>
        <v>0.10101261706041263</v>
      </c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2.75" customHeight="1" x14ac:dyDescent="0.35">
      <c r="A145" s="61">
        <v>42735</v>
      </c>
      <c r="B145" s="49">
        <v>61.095264434814453</v>
      </c>
      <c r="C145" s="49">
        <v>54.542716979980469</v>
      </c>
      <c r="D145" s="63">
        <f t="shared" ref="D145:E145" si="146">(B145/B144)-1</f>
        <v>9.989107369498762E-2</v>
      </c>
      <c r="E145" s="63">
        <f t="shared" si="146"/>
        <v>6.4565567363672471E-2</v>
      </c>
      <c r="F145" s="63">
        <v>1.8100000000000002E-2</v>
      </c>
      <c r="G145" s="63">
        <v>2.9999999999999997E-4</v>
      </c>
      <c r="H145" s="63">
        <f t="shared" si="1"/>
        <v>9.9591073694987625E-2</v>
      </c>
      <c r="I145" s="63">
        <f t="shared" si="2"/>
        <v>6.4265567363672477E-2</v>
      </c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2.75" customHeight="1" x14ac:dyDescent="0.35">
      <c r="A146" s="61">
        <v>42766</v>
      </c>
      <c r="B146" s="49">
        <v>61.051734924316413</v>
      </c>
      <c r="C146" s="49">
        <v>52.255001068115227</v>
      </c>
      <c r="D146" s="63">
        <f t="shared" ref="D146:E146" si="147">(B146/B145)-1</f>
        <v>-7.1248583504346374E-4</v>
      </c>
      <c r="E146" s="63">
        <f t="shared" si="147"/>
        <v>-4.1943563477135348E-2</v>
      </c>
      <c r="F146" s="63">
        <v>1.9400000000000001E-2</v>
      </c>
      <c r="G146" s="63">
        <v>4.0000000000000002E-4</v>
      </c>
      <c r="H146" s="63">
        <f t="shared" si="1"/>
        <v>-1.1124858350434637E-3</v>
      </c>
      <c r="I146" s="63">
        <f t="shared" si="2"/>
        <v>-4.2343563477135346E-2</v>
      </c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2.75" customHeight="1" x14ac:dyDescent="0.35">
      <c r="A147" s="61">
        <v>42794</v>
      </c>
      <c r="B147" s="49">
        <v>65.838424682617188</v>
      </c>
      <c r="C147" s="49">
        <v>61.798484802246087</v>
      </c>
      <c r="D147" s="63">
        <f t="shared" ref="D147:E147" si="148">(B147/B146)-1</f>
        <v>7.8403828560067224E-2</v>
      </c>
      <c r="E147" s="63">
        <f t="shared" si="148"/>
        <v>0.18263292582638702</v>
      </c>
      <c r="F147" s="63">
        <v>3.5699999999999996E-2</v>
      </c>
      <c r="G147" s="63">
        <v>4.0000000000000002E-4</v>
      </c>
      <c r="H147" s="63">
        <f t="shared" si="1"/>
        <v>7.8003828560067226E-2</v>
      </c>
      <c r="I147" s="63">
        <f t="shared" si="2"/>
        <v>0.182232925826387</v>
      </c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2.75" customHeight="1" x14ac:dyDescent="0.35">
      <c r="A148" s="61">
        <v>42825</v>
      </c>
      <c r="B148" s="49">
        <v>56.830776214599609</v>
      </c>
      <c r="C148" s="49">
        <v>60.212364196777337</v>
      </c>
      <c r="D148" s="63">
        <f t="shared" ref="D148:E148" si="149">(B148/B147)-1</f>
        <v>-0.13681445920737223</v>
      </c>
      <c r="E148" s="63">
        <f t="shared" si="149"/>
        <v>-2.5666011238694719E-2</v>
      </c>
      <c r="F148" s="63">
        <v>1.7000000000000001E-3</v>
      </c>
      <c r="G148" s="63">
        <v>2.9999999999999997E-4</v>
      </c>
      <c r="H148" s="63">
        <f t="shared" si="1"/>
        <v>-0.13711445920737222</v>
      </c>
      <c r="I148" s="63">
        <f t="shared" si="2"/>
        <v>-2.5966011238694721E-2</v>
      </c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2.75" customHeight="1" x14ac:dyDescent="0.35">
      <c r="A149" s="61">
        <v>42855</v>
      </c>
      <c r="B149" s="49">
        <v>57.091873168945313</v>
      </c>
      <c r="C149" s="49">
        <v>60.037673950195313</v>
      </c>
      <c r="D149" s="63">
        <f t="shared" ref="D149:E149" si="150">(B149/B148)-1</f>
        <v>4.5942880202756164E-3</v>
      </c>
      <c r="E149" s="63">
        <f t="shared" si="150"/>
        <v>-2.9012354673721985E-3</v>
      </c>
      <c r="F149" s="63">
        <v>1.09E-2</v>
      </c>
      <c r="G149" s="63">
        <v>5.0000000000000001E-4</v>
      </c>
      <c r="H149" s="63">
        <f t="shared" si="1"/>
        <v>4.094288020275616E-3</v>
      </c>
      <c r="I149" s="63">
        <f t="shared" si="2"/>
        <v>-3.4012354673721985E-3</v>
      </c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2.75" customHeight="1" x14ac:dyDescent="0.35">
      <c r="A150" s="61">
        <v>42886</v>
      </c>
      <c r="B150" s="49">
        <v>55.21563720703125</v>
      </c>
      <c r="C150" s="49">
        <v>60.751758575439453</v>
      </c>
      <c r="D150" s="63">
        <f t="shared" ref="D150:E150" si="151">(B150/B149)-1</f>
        <v>-3.2863450746517531E-2</v>
      </c>
      <c r="E150" s="63">
        <f t="shared" si="151"/>
        <v>1.1893942224285858E-2</v>
      </c>
      <c r="F150" s="63">
        <v>1.06E-2</v>
      </c>
      <c r="G150" s="63">
        <v>5.9999999999999995E-4</v>
      </c>
      <c r="H150" s="63">
        <f t="shared" si="1"/>
        <v>-3.3463450746517534E-2</v>
      </c>
      <c r="I150" s="63">
        <f t="shared" si="2"/>
        <v>1.1293942224285859E-2</v>
      </c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2.75" customHeight="1" x14ac:dyDescent="0.35">
      <c r="A151" s="61">
        <v>42916</v>
      </c>
      <c r="B151" s="49">
        <v>52.727664947509773</v>
      </c>
      <c r="C151" s="49">
        <v>57.014297485351563</v>
      </c>
      <c r="D151" s="63">
        <f t="shared" ref="D151:E151" si="152">(B151/B150)-1</f>
        <v>-4.505919673068004E-2</v>
      </c>
      <c r="E151" s="63">
        <f t="shared" si="152"/>
        <v>-6.1520212381125372E-2</v>
      </c>
      <c r="F151" s="63">
        <v>7.8000000000000005E-3</v>
      </c>
      <c r="G151" s="63">
        <v>5.9999999999999995E-4</v>
      </c>
      <c r="H151" s="63">
        <f t="shared" si="1"/>
        <v>-4.5659196730680043E-2</v>
      </c>
      <c r="I151" s="63">
        <f t="shared" si="2"/>
        <v>-6.2120212381125375E-2</v>
      </c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2.75" customHeight="1" x14ac:dyDescent="0.35">
      <c r="A152" s="61">
        <v>42947</v>
      </c>
      <c r="B152" s="49">
        <v>55.254974365234382</v>
      </c>
      <c r="C152" s="49">
        <v>59.910873413085938</v>
      </c>
      <c r="D152" s="63">
        <f t="shared" ref="D152:E152" si="153">(B152/B151)-1</f>
        <v>4.7931373790979226E-2</v>
      </c>
      <c r="E152" s="63">
        <f t="shared" si="153"/>
        <v>5.0804378120743898E-2</v>
      </c>
      <c r="F152" s="63">
        <v>1.8700000000000001E-2</v>
      </c>
      <c r="G152" s="63">
        <v>7.000000000000001E-4</v>
      </c>
      <c r="H152" s="63">
        <f t="shared" si="1"/>
        <v>4.7231373790979227E-2</v>
      </c>
      <c r="I152" s="63">
        <f t="shared" si="2"/>
        <v>5.0104378120743899E-2</v>
      </c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2.75" customHeight="1" x14ac:dyDescent="0.35">
      <c r="A153" s="61">
        <v>42978</v>
      </c>
      <c r="B153" s="49">
        <v>52.452823638916023</v>
      </c>
      <c r="C153" s="49">
        <v>57.037220001220703</v>
      </c>
      <c r="D153" s="63">
        <f t="shared" ref="D153:E153" si="154">(B153/B152)-1</f>
        <v>-5.0713094314299934E-2</v>
      </c>
      <c r="E153" s="63">
        <f t="shared" si="154"/>
        <v>-4.7965473513486789E-2</v>
      </c>
      <c r="F153" s="63">
        <v>1.6000000000000001E-3</v>
      </c>
      <c r="G153" s="63">
        <v>8.9999999999999998E-4</v>
      </c>
      <c r="H153" s="63">
        <f t="shared" si="1"/>
        <v>-5.1613094314299932E-2</v>
      </c>
      <c r="I153" s="63">
        <f t="shared" si="2"/>
        <v>-4.8865473513486787E-2</v>
      </c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2.75" customHeight="1" x14ac:dyDescent="0.35">
      <c r="A154" s="61">
        <v>43008</v>
      </c>
      <c r="B154" s="49">
        <v>53.989330291748047</v>
      </c>
      <c r="C154" s="49">
        <v>53.411170959472663</v>
      </c>
      <c r="D154" s="63">
        <f t="shared" ref="D154:E154" si="155">(B154/B153)-1</f>
        <v>2.9293116103897399E-2</v>
      </c>
      <c r="E154" s="63">
        <f t="shared" si="155"/>
        <v>-6.3573383164018837E-2</v>
      </c>
      <c r="F154" s="63">
        <v>2.5099999999999997E-2</v>
      </c>
      <c r="G154" s="63">
        <v>8.9999999999999998E-4</v>
      </c>
      <c r="H154" s="63">
        <f t="shared" si="1"/>
        <v>2.8393116103897397E-2</v>
      </c>
      <c r="I154" s="63">
        <f t="shared" si="2"/>
        <v>-6.4473383164018835E-2</v>
      </c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2.75" customHeight="1" x14ac:dyDescent="0.35">
      <c r="A155" s="61">
        <v>43039</v>
      </c>
      <c r="B155" s="49">
        <v>59.700153350830078</v>
      </c>
      <c r="C155" s="49">
        <v>52.888294219970703</v>
      </c>
      <c r="D155" s="63">
        <f t="shared" ref="D155:E155" si="156">(B155/B154)-1</f>
        <v>0.10577688273260355</v>
      </c>
      <c r="E155" s="63">
        <f t="shared" si="156"/>
        <v>-9.7896513053179479E-3</v>
      </c>
      <c r="F155" s="63">
        <v>2.2499999999999999E-2</v>
      </c>
      <c r="G155" s="63">
        <v>8.9999999999999998E-4</v>
      </c>
      <c r="H155" s="63">
        <f t="shared" si="1"/>
        <v>0.10487688273260355</v>
      </c>
      <c r="I155" s="63">
        <f t="shared" si="2"/>
        <v>-1.0689651305317948E-2</v>
      </c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2.75" customHeight="1" x14ac:dyDescent="0.35">
      <c r="A156" s="61">
        <v>43069</v>
      </c>
      <c r="B156" s="49">
        <v>64.18096923828125</v>
      </c>
      <c r="C156" s="49">
        <v>51.450359344482422</v>
      </c>
      <c r="D156" s="63">
        <f t="shared" ref="D156:E156" si="157">(B156/B155)-1</f>
        <v>7.5055349709396868E-2</v>
      </c>
      <c r="E156" s="63">
        <f t="shared" si="157"/>
        <v>-2.7188149980933107E-2</v>
      </c>
      <c r="F156" s="63">
        <v>3.1200000000000002E-2</v>
      </c>
      <c r="G156" s="63">
        <v>8.0000000000000004E-4</v>
      </c>
      <c r="H156" s="63">
        <f t="shared" si="1"/>
        <v>7.4255349709396873E-2</v>
      </c>
      <c r="I156" s="63">
        <f t="shared" si="2"/>
        <v>-2.7988149980933106E-2</v>
      </c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2.75" customHeight="1" x14ac:dyDescent="0.35">
      <c r="A157" s="61">
        <v>43100</v>
      </c>
      <c r="B157" s="49">
        <v>63.622100830078118</v>
      </c>
      <c r="C157" s="49">
        <v>51.945156097412109</v>
      </c>
      <c r="D157" s="63">
        <f t="shared" ref="D157:E157" si="158">(B157/B156)-1</f>
        <v>-8.707696609071891E-3</v>
      </c>
      <c r="E157" s="63">
        <f t="shared" si="158"/>
        <v>9.6169737050193493E-3</v>
      </c>
      <c r="F157" s="63">
        <v>1.06E-2</v>
      </c>
      <c r="G157" s="63">
        <v>8.9999999999999998E-4</v>
      </c>
      <c r="H157" s="63">
        <f t="shared" si="1"/>
        <v>-9.6076966090718908E-3</v>
      </c>
      <c r="I157" s="63">
        <f t="shared" si="2"/>
        <v>8.7169737050193496E-3</v>
      </c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2.75" customHeight="1" x14ac:dyDescent="0.35">
      <c r="A158" s="61">
        <v>43131</v>
      </c>
      <c r="B158" s="49">
        <v>66.926567077636719</v>
      </c>
      <c r="C158" s="49">
        <v>61.508693695068359</v>
      </c>
      <c r="D158" s="63">
        <f t="shared" ref="D158:E158" si="159">(B158/B157)-1</f>
        <v>5.1938967818496939E-2</v>
      </c>
      <c r="E158" s="63">
        <f t="shared" si="159"/>
        <v>0.18410836189849666</v>
      </c>
      <c r="F158" s="63">
        <v>5.5800000000000002E-2</v>
      </c>
      <c r="G158" s="63">
        <v>1.1000000000000001E-3</v>
      </c>
      <c r="H158" s="63">
        <f t="shared" si="1"/>
        <v>5.0838967818496943E-2</v>
      </c>
      <c r="I158" s="63">
        <f t="shared" si="2"/>
        <v>0.18300836189849667</v>
      </c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2.75" customHeight="1" x14ac:dyDescent="0.35">
      <c r="A159" s="61">
        <v>43159</v>
      </c>
      <c r="B159" s="49">
        <v>68.292427062988281</v>
      </c>
      <c r="C159" s="49">
        <v>58.411178588867188</v>
      </c>
      <c r="D159" s="63">
        <f t="shared" ref="D159:E159" si="160">(B159/B158)-1</f>
        <v>2.0408337749747707E-2</v>
      </c>
      <c r="E159" s="63">
        <f t="shared" si="160"/>
        <v>-5.0358980497248407E-2</v>
      </c>
      <c r="F159" s="63">
        <v>-3.6499999999999998E-2</v>
      </c>
      <c r="G159" s="63">
        <v>1.1000000000000001E-3</v>
      </c>
      <c r="H159" s="63">
        <f t="shared" si="1"/>
        <v>1.9308337749747707E-2</v>
      </c>
      <c r="I159" s="63">
        <f t="shared" si="2"/>
        <v>-5.1458980497248404E-2</v>
      </c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2.75" customHeight="1" x14ac:dyDescent="0.35">
      <c r="A160" s="61">
        <v>43190</v>
      </c>
      <c r="B160" s="49">
        <v>71.640975952148438</v>
      </c>
      <c r="C160" s="49">
        <v>57.610446929931641</v>
      </c>
      <c r="D160" s="63">
        <f t="shared" ref="D160:E160" si="161">(B160/B159)-1</f>
        <v>4.9032506723940106E-2</v>
      </c>
      <c r="E160" s="63">
        <f t="shared" si="161"/>
        <v>-1.3708534535342598E-2</v>
      </c>
      <c r="F160" s="63">
        <v>-2.35E-2</v>
      </c>
      <c r="G160" s="63">
        <v>1.1999999999999999E-3</v>
      </c>
      <c r="H160" s="63">
        <f t="shared" si="1"/>
        <v>4.7832506723940106E-2</v>
      </c>
      <c r="I160" s="63">
        <f t="shared" si="2"/>
        <v>-1.4908534535342598E-2</v>
      </c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2.75" customHeight="1" x14ac:dyDescent="0.35">
      <c r="A161" s="61">
        <v>43220</v>
      </c>
      <c r="B161" s="49">
        <v>80.633628845214844</v>
      </c>
      <c r="C161" s="49">
        <v>56.278099060058587</v>
      </c>
      <c r="D161" s="63">
        <f t="shared" ref="D161:E161" si="162">(B161/B160)-1</f>
        <v>0.12552387475950799</v>
      </c>
      <c r="E161" s="63">
        <f t="shared" si="162"/>
        <v>-2.3126844884461928E-2</v>
      </c>
      <c r="F161" s="63">
        <v>2.8999999999999998E-3</v>
      </c>
      <c r="G161" s="63">
        <v>1.4000000000000002E-3</v>
      </c>
      <c r="H161" s="63">
        <f t="shared" si="1"/>
        <v>0.12412387475950799</v>
      </c>
      <c r="I161" s="63">
        <f t="shared" si="2"/>
        <v>-2.4526844884461926E-2</v>
      </c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2.75" customHeight="1" x14ac:dyDescent="0.35">
      <c r="A162" s="61">
        <v>43251</v>
      </c>
      <c r="B162" s="49">
        <v>82.48931884765625</v>
      </c>
      <c r="C162" s="49">
        <v>54.189975738525391</v>
      </c>
      <c r="D162" s="63">
        <f t="shared" ref="D162:E162" si="163">(B162/B161)-1</f>
        <v>2.3013847063780402E-2</v>
      </c>
      <c r="E162" s="63">
        <f t="shared" si="163"/>
        <v>-3.7103657664499301E-2</v>
      </c>
      <c r="F162" s="63">
        <v>2.6499999999999999E-2</v>
      </c>
      <c r="G162" s="63">
        <v>1.4000000000000002E-3</v>
      </c>
      <c r="H162" s="63">
        <f t="shared" si="1"/>
        <v>2.1613847063780403E-2</v>
      </c>
      <c r="I162" s="63">
        <f t="shared" si="2"/>
        <v>-3.8503657664499299E-2</v>
      </c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2.75" customHeight="1" x14ac:dyDescent="0.35">
      <c r="A163" s="61">
        <v>43281</v>
      </c>
      <c r="B163" s="49">
        <v>85.043617248535156</v>
      </c>
      <c r="C163" s="49">
        <v>54.670375823974609</v>
      </c>
      <c r="D163" s="63">
        <f t="shared" ref="D163:E163" si="164">(B163/B162)-1</f>
        <v>3.0965201756560257E-2</v>
      </c>
      <c r="E163" s="63">
        <f t="shared" si="164"/>
        <v>8.8651098086336422E-3</v>
      </c>
      <c r="F163" s="63">
        <v>4.7999999999999996E-3</v>
      </c>
      <c r="G163" s="63">
        <v>1.4000000000000002E-3</v>
      </c>
      <c r="H163" s="63">
        <f t="shared" si="1"/>
        <v>2.9565201756560258E-2</v>
      </c>
      <c r="I163" s="63">
        <f t="shared" si="2"/>
        <v>7.465109808633642E-3</v>
      </c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2.75" customHeight="1" x14ac:dyDescent="0.35">
      <c r="A164" s="61">
        <v>43312</v>
      </c>
      <c r="B164" s="49">
        <v>92.794998168945313</v>
      </c>
      <c r="C164" s="49">
        <v>54.215511322021477</v>
      </c>
      <c r="D164" s="63">
        <f t="shared" ref="D164:E164" si="165">(B164/B163)-1</f>
        <v>9.1145945706391895E-2</v>
      </c>
      <c r="E164" s="63">
        <f t="shared" si="165"/>
        <v>-8.3201275845932177E-3</v>
      </c>
      <c r="F164" s="63">
        <v>3.1899999999999998E-2</v>
      </c>
      <c r="G164" s="63">
        <v>1.6000000000000001E-3</v>
      </c>
      <c r="H164" s="63">
        <f t="shared" si="1"/>
        <v>8.9545945706391891E-2</v>
      </c>
      <c r="I164" s="63">
        <f t="shared" si="2"/>
        <v>-9.9201275845932184E-3</v>
      </c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2.75" customHeight="1" x14ac:dyDescent="0.35">
      <c r="A165" s="61">
        <v>43343</v>
      </c>
      <c r="B165" s="49">
        <v>110.95534515380859</v>
      </c>
      <c r="C165" s="49">
        <v>50.960857391357422</v>
      </c>
      <c r="D165" s="63">
        <f t="shared" ref="D165:E165" si="166">(B165/B164)-1</f>
        <v>0.19570394248836576</v>
      </c>
      <c r="E165" s="63">
        <f t="shared" si="166"/>
        <v>-6.0031785208711441E-2</v>
      </c>
      <c r="F165" s="63">
        <v>3.44E-2</v>
      </c>
      <c r="G165" s="63">
        <v>1.6000000000000001E-3</v>
      </c>
      <c r="H165" s="63">
        <f t="shared" si="1"/>
        <v>0.19410394248836577</v>
      </c>
      <c r="I165" s="63">
        <f t="shared" si="2"/>
        <v>-6.1631785208711438E-2</v>
      </c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2.75" customHeight="1" x14ac:dyDescent="0.35">
      <c r="A166" s="61">
        <v>43373</v>
      </c>
      <c r="B166" s="49">
        <v>105.28050231933589</v>
      </c>
      <c r="C166" s="49">
        <v>54.311634063720703</v>
      </c>
      <c r="D166" s="63">
        <f t="shared" ref="D166:E166" si="167">(B166/B165)-1</f>
        <v>-5.1145285759835346E-2</v>
      </c>
      <c r="E166" s="63">
        <f t="shared" si="167"/>
        <v>6.5751968155299378E-2</v>
      </c>
      <c r="F166" s="63">
        <v>5.9999999999999995E-4</v>
      </c>
      <c r="G166" s="63">
        <v>1.5E-3</v>
      </c>
      <c r="H166" s="63">
        <f t="shared" si="1"/>
        <v>-5.2645285759835347E-2</v>
      </c>
      <c r="I166" s="63">
        <f t="shared" si="2"/>
        <v>6.4251968155299377E-2</v>
      </c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2.75" customHeight="1" x14ac:dyDescent="0.35">
      <c r="A167" s="61">
        <v>43404</v>
      </c>
      <c r="B167" s="49">
        <v>95.444847106933594</v>
      </c>
      <c r="C167" s="49">
        <v>48.849643707275391</v>
      </c>
      <c r="D167" s="63">
        <f t="shared" ref="D167:E167" si="168">(B167/B166)-1</f>
        <v>-9.3423330965584528E-2</v>
      </c>
      <c r="E167" s="63">
        <f t="shared" si="168"/>
        <v>-0.10056759386095937</v>
      </c>
      <c r="F167" s="63">
        <v>-7.6799999999999993E-2</v>
      </c>
      <c r="G167" s="63">
        <v>1.9E-3</v>
      </c>
      <c r="H167" s="63">
        <f t="shared" si="1"/>
        <v>-9.5323330965584527E-2</v>
      </c>
      <c r="I167" s="63">
        <f t="shared" si="2"/>
        <v>-0.10246759386095937</v>
      </c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2.75" customHeight="1" x14ac:dyDescent="0.35">
      <c r="A168" s="61">
        <v>43434</v>
      </c>
      <c r="B168" s="49">
        <v>105.6267013549805</v>
      </c>
      <c r="C168" s="49">
        <v>45.110832214355469</v>
      </c>
      <c r="D168" s="63">
        <f t="shared" ref="D168:E168" si="169">(B168/B167)-1</f>
        <v>0.10667788316156512</v>
      </c>
      <c r="E168" s="63">
        <f t="shared" si="169"/>
        <v>-7.6537129222972955E-2</v>
      </c>
      <c r="F168" s="63">
        <v>1.6899999999999998E-2</v>
      </c>
      <c r="G168" s="63">
        <v>1.8E-3</v>
      </c>
      <c r="H168" s="63">
        <f t="shared" si="1"/>
        <v>0.10487788316156513</v>
      </c>
      <c r="I168" s="63">
        <f t="shared" si="2"/>
        <v>-7.8337129222972951E-2</v>
      </c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2.75" customHeight="1" x14ac:dyDescent="0.35">
      <c r="A169" s="61">
        <v>43465</v>
      </c>
      <c r="B169" s="49">
        <v>91.035270690917969</v>
      </c>
      <c r="C169" s="49">
        <v>42.602474212646477</v>
      </c>
      <c r="D169" s="63">
        <f t="shared" ref="D169:E169" si="170">(B169/B168)-1</f>
        <v>-0.13814149714876534</v>
      </c>
      <c r="E169" s="63">
        <f t="shared" si="170"/>
        <v>-5.5604338882286553E-2</v>
      </c>
      <c r="F169" s="63">
        <v>-9.5500000000000002E-2</v>
      </c>
      <c r="G169" s="63">
        <v>1.9E-3</v>
      </c>
      <c r="H169" s="63">
        <f t="shared" si="1"/>
        <v>-0.14004149714876535</v>
      </c>
      <c r="I169" s="63">
        <f t="shared" si="2"/>
        <v>-5.7504338882286551E-2</v>
      </c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2.75" customHeight="1" x14ac:dyDescent="0.35">
      <c r="A170" s="61">
        <v>43496</v>
      </c>
      <c r="B170" s="49">
        <v>94.183914184570313</v>
      </c>
      <c r="C170" s="49">
        <v>43.901924133300781</v>
      </c>
      <c r="D170" s="63">
        <f t="shared" ref="D170:E170" si="171">(B170/B169)-1</f>
        <v>3.4587072348503112E-2</v>
      </c>
      <c r="E170" s="63">
        <f t="shared" si="171"/>
        <v>3.0501747719351213E-2</v>
      </c>
      <c r="F170" s="63">
        <v>8.4100000000000008E-2</v>
      </c>
      <c r="G170" s="63">
        <v>2.0999999999999999E-3</v>
      </c>
      <c r="H170" s="63">
        <f t="shared" si="1"/>
        <v>3.2487072348503114E-2</v>
      </c>
      <c r="I170" s="63">
        <f t="shared" si="2"/>
        <v>2.8401747719351212E-2</v>
      </c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2.75" customHeight="1" x14ac:dyDescent="0.35">
      <c r="A171" s="61">
        <v>43524</v>
      </c>
      <c r="B171" s="49">
        <v>98.053024291992188</v>
      </c>
      <c r="C171" s="49">
        <v>42.315486907958977</v>
      </c>
      <c r="D171" s="63">
        <f t="shared" ref="D171:E171" si="172">(B171/B170)-1</f>
        <v>4.1080370686650935E-2</v>
      </c>
      <c r="E171" s="63">
        <f t="shared" si="172"/>
        <v>-3.6135938382218846E-2</v>
      </c>
      <c r="F171" s="63">
        <v>3.4000000000000002E-2</v>
      </c>
      <c r="G171" s="63">
        <v>1.8E-3</v>
      </c>
      <c r="H171" s="63">
        <f t="shared" si="1"/>
        <v>3.9280370686650933E-2</v>
      </c>
      <c r="I171" s="63">
        <f t="shared" si="2"/>
        <v>-3.7935938382218849E-2</v>
      </c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2.75" customHeight="1" x14ac:dyDescent="0.35">
      <c r="A172" s="61">
        <v>43555</v>
      </c>
      <c r="B172" s="49">
        <v>93.418983459472656</v>
      </c>
      <c r="C172" s="49">
        <v>42.711135864257813</v>
      </c>
      <c r="D172" s="63">
        <f t="shared" ref="D172:E172" si="173">(B172/B171)-1</f>
        <v>-4.726055994682854E-2</v>
      </c>
      <c r="E172" s="63">
        <f t="shared" si="173"/>
        <v>9.3499800004526179E-3</v>
      </c>
      <c r="F172" s="63">
        <v>1.1000000000000001E-2</v>
      </c>
      <c r="G172" s="63">
        <v>1.9E-3</v>
      </c>
      <c r="H172" s="63">
        <f t="shared" si="1"/>
        <v>-4.9160559946828539E-2</v>
      </c>
      <c r="I172" s="63">
        <f t="shared" si="2"/>
        <v>7.4499800004526181E-3</v>
      </c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2.75" customHeight="1" x14ac:dyDescent="0.35">
      <c r="A173" s="61">
        <v>43585</v>
      </c>
      <c r="B173" s="49">
        <v>103.8719940185547</v>
      </c>
      <c r="C173" s="49">
        <v>42.179969787597663</v>
      </c>
      <c r="D173" s="63">
        <f t="shared" ref="D173:E173" si="174">(B173/B172)-1</f>
        <v>0.11189385895658788</v>
      </c>
      <c r="E173" s="63">
        <f t="shared" si="174"/>
        <v>-1.2436243286721993E-2</v>
      </c>
      <c r="F173" s="63">
        <v>3.9599999999999996E-2</v>
      </c>
      <c r="G173" s="63">
        <v>2.0999999999999999E-3</v>
      </c>
      <c r="H173" s="63">
        <f t="shared" si="1"/>
        <v>0.10979385895658787</v>
      </c>
      <c r="I173" s="63">
        <f t="shared" si="2"/>
        <v>-1.4536243286721992E-2</v>
      </c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2.75" customHeight="1" x14ac:dyDescent="0.35">
      <c r="A174" s="61">
        <v>43616</v>
      </c>
      <c r="B174" s="49">
        <v>99.609748840332031</v>
      </c>
      <c r="C174" s="49">
        <v>42.083389282226563</v>
      </c>
      <c r="D174" s="63">
        <f t="shared" ref="D174:E174" si="175">(B174/B173)-1</f>
        <v>-4.103363200538257E-2</v>
      </c>
      <c r="E174" s="63">
        <f t="shared" si="175"/>
        <v>-2.2897243847599391E-3</v>
      </c>
      <c r="F174" s="63">
        <v>-6.9400000000000003E-2</v>
      </c>
      <c r="G174" s="63">
        <v>2.0999999999999999E-3</v>
      </c>
      <c r="H174" s="63">
        <f t="shared" si="1"/>
        <v>-4.3133632005382568E-2</v>
      </c>
      <c r="I174" s="63">
        <f t="shared" si="2"/>
        <v>-4.3897243847599385E-3</v>
      </c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2.75" customHeight="1" x14ac:dyDescent="0.35">
      <c r="A175" s="61">
        <v>43646</v>
      </c>
      <c r="B175" s="49">
        <v>109.5488739013672</v>
      </c>
      <c r="C175" s="49">
        <v>45.260490417480469</v>
      </c>
      <c r="D175" s="63">
        <f t="shared" ref="D175:E175" si="176">(B175/B174)-1</f>
        <v>9.9780645737466367E-2</v>
      </c>
      <c r="E175" s="63">
        <f t="shared" si="176"/>
        <v>7.5495372151399343E-2</v>
      </c>
      <c r="F175" s="63">
        <v>6.93E-2</v>
      </c>
      <c r="G175" s="63">
        <v>1.8E-3</v>
      </c>
      <c r="H175" s="63">
        <f t="shared" si="1"/>
        <v>9.7980645737466371E-2</v>
      </c>
      <c r="I175" s="63">
        <f t="shared" si="2"/>
        <v>7.3695372151399346E-2</v>
      </c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2.75" customHeight="1" x14ac:dyDescent="0.35">
      <c r="A176" s="61">
        <v>43677</v>
      </c>
      <c r="B176" s="49">
        <v>115.36729431152339</v>
      </c>
      <c r="C176" s="49">
        <v>47.470310211181641</v>
      </c>
      <c r="D176" s="63">
        <f t="shared" ref="D176:E176" si="177">(B176/B175)-1</f>
        <v>5.3112553355818548E-2</v>
      </c>
      <c r="E176" s="63">
        <f t="shared" si="177"/>
        <v>4.8824477448607073E-2</v>
      </c>
      <c r="F176" s="63">
        <v>1.1899999999999999E-2</v>
      </c>
      <c r="G176" s="63">
        <v>1.9E-3</v>
      </c>
      <c r="H176" s="63">
        <f t="shared" si="1"/>
        <v>5.1212553355818549E-2</v>
      </c>
      <c r="I176" s="63">
        <f t="shared" si="2"/>
        <v>4.6924477448607074E-2</v>
      </c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2.75" customHeight="1" x14ac:dyDescent="0.35">
      <c r="A177" s="61">
        <v>43708</v>
      </c>
      <c r="B177" s="49">
        <v>119.33559417724609</v>
      </c>
      <c r="C177" s="49">
        <v>43.391902923583977</v>
      </c>
      <c r="D177" s="63">
        <f t="shared" ref="D177:E177" si="178">(B177/B176)-1</f>
        <v>3.4397095722876081E-2</v>
      </c>
      <c r="E177" s="63">
        <f t="shared" si="178"/>
        <v>-8.5914907011435449E-2</v>
      </c>
      <c r="F177" s="63">
        <v>-2.58E-2</v>
      </c>
      <c r="G177" s="63">
        <v>1.6000000000000001E-3</v>
      </c>
      <c r="H177" s="63">
        <f t="shared" si="1"/>
        <v>3.2797095722876084E-2</v>
      </c>
      <c r="I177" s="63">
        <f t="shared" si="2"/>
        <v>-8.7514907011435453E-2</v>
      </c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2.75" customHeight="1" x14ac:dyDescent="0.35">
      <c r="A178" s="61">
        <v>43738</v>
      </c>
      <c r="B178" s="49">
        <v>116.9425506591797</v>
      </c>
      <c r="C178" s="49">
        <v>46.422843933105469</v>
      </c>
      <c r="D178" s="63">
        <f t="shared" ref="D178:E178" si="179">(B178/B177)-1</f>
        <v>-2.0053057384639694E-2</v>
      </c>
      <c r="E178" s="63">
        <f t="shared" si="179"/>
        <v>6.9850382336519745E-2</v>
      </c>
      <c r="F178" s="63">
        <v>1.43E-2</v>
      </c>
      <c r="G178" s="63">
        <v>1.8E-3</v>
      </c>
      <c r="H178" s="63">
        <f t="shared" si="1"/>
        <v>-2.1853057384639694E-2</v>
      </c>
      <c r="I178" s="63">
        <f t="shared" si="2"/>
        <v>6.8050382336519749E-2</v>
      </c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2.75" customHeight="1" x14ac:dyDescent="0.35">
      <c r="A179" s="61">
        <v>43769</v>
      </c>
      <c r="B179" s="49">
        <v>126.7242965698242</v>
      </c>
      <c r="C179" s="49">
        <v>44.274684906005859</v>
      </c>
      <c r="D179" s="63">
        <f t="shared" ref="D179:E179" si="180">(B179/B178)-1</f>
        <v>8.3645737633623707E-2</v>
      </c>
      <c r="E179" s="63">
        <f t="shared" si="180"/>
        <v>-4.6273748980029561E-2</v>
      </c>
      <c r="F179" s="63">
        <v>2.06E-2</v>
      </c>
      <c r="G179" s="63">
        <v>1.5E-3</v>
      </c>
      <c r="H179" s="63">
        <f t="shared" si="1"/>
        <v>8.2145737633623706E-2</v>
      </c>
      <c r="I179" s="63">
        <f t="shared" si="2"/>
        <v>-4.7773748980029562E-2</v>
      </c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2.75" customHeight="1" x14ac:dyDescent="0.35">
      <c r="A180" s="61">
        <v>43799</v>
      </c>
      <c r="B180" s="49">
        <v>104.6794891357422</v>
      </c>
      <c r="C180" s="49">
        <v>43.766357421875</v>
      </c>
      <c r="D180" s="63">
        <f t="shared" ref="D180:E180" si="181">(B180/B179)-1</f>
        <v>-0.17395880688069532</v>
      </c>
      <c r="E180" s="63">
        <f t="shared" si="181"/>
        <v>-1.1481221949066978E-2</v>
      </c>
      <c r="F180" s="63">
        <v>3.8699999999999998E-2</v>
      </c>
      <c r="G180" s="63">
        <v>1.1999999999999999E-3</v>
      </c>
      <c r="H180" s="63">
        <f t="shared" si="1"/>
        <v>-0.17515880688069532</v>
      </c>
      <c r="I180" s="63">
        <f t="shared" si="2"/>
        <v>-1.2681221949066977E-2</v>
      </c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2.75" customHeight="1" x14ac:dyDescent="0.35">
      <c r="A181" s="61">
        <v>43830</v>
      </c>
      <c r="B181" s="49">
        <v>102.69842529296881</v>
      </c>
      <c r="C181" s="49">
        <v>47.614688873291023</v>
      </c>
      <c r="D181" s="63">
        <f t="shared" ref="D181:E181" si="182">(B181/B180)-1</f>
        <v>-1.8925043092295479E-2</v>
      </c>
      <c r="E181" s="63">
        <f t="shared" si="182"/>
        <v>8.7928986511739637E-2</v>
      </c>
      <c r="F181" s="63">
        <v>2.7699999999999999E-2</v>
      </c>
      <c r="G181" s="63">
        <v>1.4000000000000002E-3</v>
      </c>
      <c r="H181" s="63">
        <f t="shared" si="1"/>
        <v>-2.0325043092295478E-2</v>
      </c>
      <c r="I181" s="63">
        <f t="shared" si="2"/>
        <v>8.6528986511739639E-2</v>
      </c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2.75" customHeight="1" x14ac:dyDescent="0.35">
      <c r="A182" s="61">
        <v>43861</v>
      </c>
      <c r="B182" s="49">
        <v>105.2041397094727</v>
      </c>
      <c r="C182" s="49">
        <v>43.378589630126953</v>
      </c>
      <c r="D182" s="63">
        <f t="shared" ref="D182:E182" si="183">(B182/B181)-1</f>
        <v>2.4398761805313196E-2</v>
      </c>
      <c r="E182" s="63">
        <f t="shared" si="183"/>
        <v>-8.8966227510944962E-2</v>
      </c>
      <c r="F182" s="63">
        <v>-1.1000000000000001E-3</v>
      </c>
      <c r="G182" s="63">
        <v>1.2999999999999999E-3</v>
      </c>
      <c r="H182" s="63">
        <f t="shared" si="1"/>
        <v>2.3098761805313197E-2</v>
      </c>
      <c r="I182" s="63">
        <f t="shared" si="2"/>
        <v>-9.0266227510944957E-2</v>
      </c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2.75" customHeight="1" x14ac:dyDescent="0.35">
      <c r="A183" s="61">
        <v>43890</v>
      </c>
      <c r="B183" s="49">
        <v>93.600616455078125</v>
      </c>
      <c r="C183" s="49">
        <v>38.844657897949219</v>
      </c>
      <c r="D183" s="63">
        <f t="shared" ref="D183:E183" si="184">(B183/B182)-1</f>
        <v>-0.11029531049289865</v>
      </c>
      <c r="E183" s="63">
        <f t="shared" si="184"/>
        <v>-0.104520035594446</v>
      </c>
      <c r="F183" s="63">
        <v>-8.1300000000000011E-2</v>
      </c>
      <c r="G183" s="63">
        <v>1.1999999999999999E-3</v>
      </c>
      <c r="H183" s="63">
        <f t="shared" si="1"/>
        <v>-0.11149531049289865</v>
      </c>
      <c r="I183" s="63">
        <f t="shared" si="2"/>
        <v>-0.10572003559444601</v>
      </c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2.75" customHeight="1" x14ac:dyDescent="0.35">
      <c r="A184" s="61">
        <v>43921</v>
      </c>
      <c r="B184" s="49">
        <v>61.969314575195313</v>
      </c>
      <c r="C184" s="49">
        <v>34.257980346679688</v>
      </c>
      <c r="D184" s="63">
        <f t="shared" ref="D184:E184" si="185">(B184/B183)-1</f>
        <v>-0.33793903371420275</v>
      </c>
      <c r="E184" s="63">
        <f t="shared" si="185"/>
        <v>-0.11807743456820818</v>
      </c>
      <c r="F184" s="63">
        <v>-0.1338</v>
      </c>
      <c r="G184" s="63">
        <v>1.1999999999999999E-3</v>
      </c>
      <c r="H184" s="63">
        <f t="shared" si="1"/>
        <v>-0.33913903371420273</v>
      </c>
      <c r="I184" s="63">
        <f t="shared" si="2"/>
        <v>-0.11927743456820819</v>
      </c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2.75" customHeight="1" x14ac:dyDescent="0.35">
      <c r="A185" s="61">
        <v>43951</v>
      </c>
      <c r="B185" s="49">
        <v>68.040557861328125</v>
      </c>
      <c r="C185" s="49">
        <v>33.122463226318359</v>
      </c>
      <c r="D185" s="63">
        <f t="shared" ref="D185:E185" si="186">(B185/B184)-1</f>
        <v>9.7971767603880711E-2</v>
      </c>
      <c r="E185" s="63">
        <f t="shared" si="186"/>
        <v>-3.3146061410225025E-2</v>
      </c>
      <c r="F185" s="63">
        <v>0.13650000000000001</v>
      </c>
      <c r="G185" s="63">
        <v>0</v>
      </c>
      <c r="H185" s="63">
        <f t="shared" si="1"/>
        <v>9.7971767603880711E-2</v>
      </c>
      <c r="I185" s="63">
        <f t="shared" si="2"/>
        <v>-3.3146061410225025E-2</v>
      </c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2.75" customHeight="1" x14ac:dyDescent="0.35">
      <c r="A186" s="61">
        <v>43982</v>
      </c>
      <c r="B186" s="49">
        <v>66.814926147460938</v>
      </c>
      <c r="C186" s="49">
        <v>32.579730987548828</v>
      </c>
      <c r="D186" s="63">
        <f t="shared" ref="D186:E186" si="187">(B186/B185)-1</f>
        <v>-1.8013251983693634E-2</v>
      </c>
      <c r="E186" s="63">
        <f t="shared" si="187"/>
        <v>-1.6385624313661862E-2</v>
      </c>
      <c r="F186" s="63">
        <v>5.5800000000000002E-2</v>
      </c>
      <c r="G186" s="63">
        <v>1E-4</v>
      </c>
      <c r="H186" s="63">
        <f t="shared" si="1"/>
        <v>-1.8113251983693634E-2</v>
      </c>
      <c r="I186" s="63">
        <f t="shared" si="2"/>
        <v>-1.6485624313661861E-2</v>
      </c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2.75" customHeight="1" x14ac:dyDescent="0.35">
      <c r="A187" s="61">
        <v>44012</v>
      </c>
      <c r="B187" s="49">
        <v>73.015182495117188</v>
      </c>
      <c r="C187" s="49">
        <v>34.842525482177727</v>
      </c>
      <c r="D187" s="63">
        <f t="shared" ref="D187:E187" si="188">(B187/B186)-1</f>
        <v>9.2797473635939376E-2</v>
      </c>
      <c r="E187" s="63">
        <f t="shared" si="188"/>
        <v>6.9454057048343509E-2</v>
      </c>
      <c r="F187" s="63">
        <v>2.46E-2</v>
      </c>
      <c r="G187" s="63">
        <v>1E-4</v>
      </c>
      <c r="H187" s="63">
        <f t="shared" si="1"/>
        <v>9.2697473635939373E-2</v>
      </c>
      <c r="I187" s="63">
        <f t="shared" si="2"/>
        <v>6.9354057048343506E-2</v>
      </c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2.75" customHeight="1" x14ac:dyDescent="0.35">
      <c r="A188" s="61">
        <v>44043</v>
      </c>
      <c r="B188" s="49">
        <v>74.8536376953125</v>
      </c>
      <c r="C188" s="49">
        <v>36.799400329589837</v>
      </c>
      <c r="D188" s="63">
        <f t="shared" ref="D188:E188" si="189">(B188/B187)-1</f>
        <v>2.5179081081092347E-2</v>
      </c>
      <c r="E188" s="63">
        <f t="shared" si="189"/>
        <v>5.6163404355205726E-2</v>
      </c>
      <c r="F188" s="63">
        <v>5.7699999999999994E-2</v>
      </c>
      <c r="G188" s="63">
        <v>1E-4</v>
      </c>
      <c r="H188" s="63">
        <f t="shared" si="1"/>
        <v>2.5079081081092348E-2</v>
      </c>
      <c r="I188" s="63">
        <f t="shared" si="2"/>
        <v>5.6063404355205723E-2</v>
      </c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2.75" customHeight="1" x14ac:dyDescent="0.35">
      <c r="A189" s="61">
        <v>44074</v>
      </c>
      <c r="B189" s="49">
        <v>80.116653442382813</v>
      </c>
      <c r="C189" s="49">
        <v>38.646152496337891</v>
      </c>
      <c r="D189" s="63">
        <f t="shared" ref="D189:E189" si="190">(B189/B188)-1</f>
        <v>7.0310754548671639E-2</v>
      </c>
      <c r="E189" s="63">
        <f t="shared" si="190"/>
        <v>5.0184300564895645E-2</v>
      </c>
      <c r="F189" s="63">
        <v>7.6299999999999993E-2</v>
      </c>
      <c r="G189" s="63">
        <v>1E-4</v>
      </c>
      <c r="H189" s="63">
        <f t="shared" si="1"/>
        <v>7.0210754548671636E-2</v>
      </c>
      <c r="I189" s="63">
        <f t="shared" si="2"/>
        <v>5.0084300564895642E-2</v>
      </c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2.75" customHeight="1" x14ac:dyDescent="0.35">
      <c r="A190" s="61">
        <v>44104</v>
      </c>
      <c r="B190" s="49">
        <v>78.296218872070313</v>
      </c>
      <c r="C190" s="49">
        <v>39.135005950927727</v>
      </c>
      <c r="D190" s="63">
        <f t="shared" ref="D190:E190" si="191">(B190/B189)-1</f>
        <v>-2.2722299198651541E-2</v>
      </c>
      <c r="E190" s="63">
        <f t="shared" si="191"/>
        <v>1.2649472793861083E-2</v>
      </c>
      <c r="F190" s="63">
        <v>-3.6299999999999999E-2</v>
      </c>
      <c r="G190" s="63">
        <v>1E-4</v>
      </c>
      <c r="H190" s="63">
        <f t="shared" si="1"/>
        <v>-2.282229919865154E-2</v>
      </c>
      <c r="I190" s="63">
        <f t="shared" si="2"/>
        <v>1.2549472793861084E-2</v>
      </c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2.75" customHeight="1" x14ac:dyDescent="0.35">
      <c r="A191" s="61">
        <v>44135</v>
      </c>
      <c r="B191" s="49">
        <v>71.492149353027344</v>
      </c>
      <c r="C191" s="49">
        <v>48.580493927001953</v>
      </c>
      <c r="D191" s="63">
        <f t="shared" ref="D191:E191" si="192">(B191/B190)-1</f>
        <v>-8.6901636082328149E-2</v>
      </c>
      <c r="E191" s="63">
        <f t="shared" si="192"/>
        <v>0.24135649775850654</v>
      </c>
      <c r="F191" s="63">
        <v>-2.1000000000000001E-2</v>
      </c>
      <c r="G191" s="63">
        <v>1E-4</v>
      </c>
      <c r="H191" s="63">
        <f t="shared" si="1"/>
        <v>-8.7001636082328151E-2</v>
      </c>
      <c r="I191" s="63">
        <f t="shared" si="2"/>
        <v>0.24125649775850655</v>
      </c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2.75" customHeight="1" x14ac:dyDescent="0.35">
      <c r="A192" s="61">
        <v>44165</v>
      </c>
      <c r="B192" s="49">
        <v>95.725425720214844</v>
      </c>
      <c r="C192" s="49">
        <v>50.430191040039063</v>
      </c>
      <c r="D192" s="63">
        <f t="shared" ref="D192:E192" si="193">(B192/B191)-1</f>
        <v>0.33896416021182807</v>
      </c>
      <c r="E192" s="63">
        <f t="shared" si="193"/>
        <v>3.8074893100438656E-2</v>
      </c>
      <c r="F192" s="63">
        <v>0.12470000000000001</v>
      </c>
      <c r="G192" s="63">
        <v>1E-4</v>
      </c>
      <c r="H192" s="63">
        <f t="shared" si="1"/>
        <v>0.33886416021182808</v>
      </c>
      <c r="I192" s="63">
        <f t="shared" si="2"/>
        <v>3.7974893100438653E-2</v>
      </c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2.75" customHeight="1" x14ac:dyDescent="0.35">
      <c r="A193" s="61">
        <v>44196</v>
      </c>
      <c r="B193" s="49">
        <v>108.369255065918</v>
      </c>
      <c r="C193" s="49">
        <v>56.625663757324219</v>
      </c>
      <c r="D193" s="63">
        <f t="shared" ref="D193:E193" si="194">(B193/B192)-1</f>
        <v>0.13208433653414486</v>
      </c>
      <c r="E193" s="63">
        <f t="shared" si="194"/>
        <v>0.12285245384785992</v>
      </c>
      <c r="F193" s="63">
        <v>4.6300000000000001E-2</v>
      </c>
      <c r="G193" s="63">
        <v>1E-4</v>
      </c>
      <c r="H193" s="63">
        <f t="shared" si="1"/>
        <v>0.13198433653414487</v>
      </c>
      <c r="I193" s="63">
        <f t="shared" si="2"/>
        <v>0.12275245384785992</v>
      </c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2.75" customHeight="1" x14ac:dyDescent="0.35">
      <c r="A194" s="61">
        <v>44227</v>
      </c>
      <c r="B194" s="49">
        <v>108.4503555297852</v>
      </c>
      <c r="C194" s="49">
        <v>56.504772186279297</v>
      </c>
      <c r="D194" s="63">
        <f t="shared" ref="D194:E194" si="195">(B194/B193)-1</f>
        <v>7.4837151752937814E-4</v>
      </c>
      <c r="E194" s="63">
        <f t="shared" si="195"/>
        <v>-2.1349254564682063E-3</v>
      </c>
      <c r="F194" s="63">
        <v>-2.9999999999999997E-4</v>
      </c>
      <c r="G194" s="63">
        <v>0</v>
      </c>
      <c r="H194" s="63">
        <f t="shared" si="1"/>
        <v>7.4837151752937814E-4</v>
      </c>
      <c r="I194" s="63">
        <f t="shared" si="2"/>
        <v>-2.1349254564682063E-3</v>
      </c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2.75" customHeight="1" x14ac:dyDescent="0.35">
      <c r="A195" s="61">
        <v>44255</v>
      </c>
      <c r="B195" s="49">
        <v>105.65663146972661</v>
      </c>
      <c r="C195" s="49">
        <v>66.123725891113281</v>
      </c>
      <c r="D195" s="63">
        <f t="shared" ref="D195:E195" si="196">(B195/B194)-1</f>
        <v>-2.576039558755816E-2</v>
      </c>
      <c r="E195" s="63">
        <f t="shared" si="196"/>
        <v>0.17023258979123357</v>
      </c>
      <c r="F195" s="63">
        <v>2.7799999999999998E-2</v>
      </c>
      <c r="G195" s="63">
        <v>0</v>
      </c>
      <c r="H195" s="63">
        <f t="shared" si="1"/>
        <v>-2.576039558755816E-2</v>
      </c>
      <c r="I195" s="63">
        <f t="shared" si="2"/>
        <v>0.17023258979123357</v>
      </c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2.75" customHeight="1" x14ac:dyDescent="0.35">
      <c r="A196" s="61">
        <v>44286</v>
      </c>
      <c r="B196" s="49">
        <v>93.81488037109375</v>
      </c>
      <c r="C196" s="49">
        <v>68.898445129394531</v>
      </c>
      <c r="D196" s="63">
        <f t="shared" ref="D196:E196" si="197">(B196/B195)-1</f>
        <v>-0.11207768915125627</v>
      </c>
      <c r="E196" s="63">
        <f t="shared" si="197"/>
        <v>4.1962536153065777E-2</v>
      </c>
      <c r="F196" s="63">
        <v>3.0800000000000001E-2</v>
      </c>
      <c r="G196" s="63">
        <v>0</v>
      </c>
      <c r="H196" s="63">
        <f t="shared" si="1"/>
        <v>-0.11207768915125627</v>
      </c>
      <c r="I196" s="63">
        <f t="shared" si="2"/>
        <v>4.1962536153065777E-2</v>
      </c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2.75" customHeight="1" x14ac:dyDescent="0.35">
      <c r="A197" s="61">
        <v>44316</v>
      </c>
      <c r="B197" s="49">
        <v>101.637077331543</v>
      </c>
      <c r="C197" s="49">
        <v>73.374626159667969</v>
      </c>
      <c r="D197" s="63">
        <f t="shared" ref="D197:E197" si="198">(B197/B196)-1</f>
        <v>8.3379064488573684E-2</v>
      </c>
      <c r="E197" s="63">
        <f t="shared" si="198"/>
        <v>6.4967809097389084E-2</v>
      </c>
      <c r="F197" s="63">
        <v>4.9299999999999997E-2</v>
      </c>
      <c r="G197" s="63">
        <v>0</v>
      </c>
      <c r="H197" s="63">
        <f t="shared" si="1"/>
        <v>8.3379064488573684E-2</v>
      </c>
      <c r="I197" s="63">
        <f t="shared" si="2"/>
        <v>6.4967809097389084E-2</v>
      </c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2.75" customHeight="1" x14ac:dyDescent="0.35">
      <c r="A198" s="61">
        <v>44347</v>
      </c>
      <c r="B198" s="49">
        <v>105.1711044311523</v>
      </c>
      <c r="C198" s="49">
        <v>75.46063232421875</v>
      </c>
      <c r="D198" s="63">
        <f t="shared" ref="D198:E198" si="199">(B198/B197)-1</f>
        <v>3.4771042147160536E-2</v>
      </c>
      <c r="E198" s="63">
        <f t="shared" si="199"/>
        <v>2.8429530393947022E-2</v>
      </c>
      <c r="F198" s="63">
        <v>2.8999999999999998E-3</v>
      </c>
      <c r="G198" s="63">
        <v>0</v>
      </c>
      <c r="H198" s="63">
        <f t="shared" si="1"/>
        <v>3.4771042147160536E-2</v>
      </c>
      <c r="I198" s="63">
        <f t="shared" si="2"/>
        <v>2.8429530393947022E-2</v>
      </c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2.75" customHeight="1" x14ac:dyDescent="0.35">
      <c r="A199" s="61">
        <v>44377</v>
      </c>
      <c r="B199" s="49">
        <v>105.05161285400391</v>
      </c>
      <c r="C199" s="49">
        <v>68.306419372558594</v>
      </c>
      <c r="D199" s="63">
        <f t="shared" ref="D199:E199" si="200">(B199/B198)-1</f>
        <v>-1.1361635669293602E-3</v>
      </c>
      <c r="E199" s="63">
        <f t="shared" si="200"/>
        <v>-9.4807222406007363E-2</v>
      </c>
      <c r="F199" s="63">
        <v>2.75E-2</v>
      </c>
      <c r="G199" s="63">
        <v>0</v>
      </c>
      <c r="H199" s="63">
        <f t="shared" si="1"/>
        <v>-1.1361635669293602E-3</v>
      </c>
      <c r="I199" s="63">
        <f t="shared" si="2"/>
        <v>-9.4807222406007363E-2</v>
      </c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2.75" customHeight="1" x14ac:dyDescent="0.35">
      <c r="A200" s="61">
        <v>44408</v>
      </c>
      <c r="B200" s="49">
        <v>107.12782287597661</v>
      </c>
      <c r="C200" s="49">
        <v>67.851913452148438</v>
      </c>
      <c r="D200" s="63">
        <f t="shared" ref="D200:E200" si="201">(B200/B199)-1</f>
        <v>1.9763713907544833E-2</v>
      </c>
      <c r="E200" s="63">
        <f t="shared" si="201"/>
        <v>-6.6539268868885948E-3</v>
      </c>
      <c r="F200" s="63">
        <v>1.2699999999999999E-2</v>
      </c>
      <c r="G200" s="63">
        <v>0</v>
      </c>
      <c r="H200" s="63">
        <f t="shared" si="1"/>
        <v>1.9763713907544833E-2</v>
      </c>
      <c r="I200" s="63">
        <f t="shared" si="2"/>
        <v>-6.6539268868885948E-3</v>
      </c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2.75" customHeight="1" x14ac:dyDescent="0.35">
      <c r="A201" s="61">
        <v>44439</v>
      </c>
      <c r="B201" s="49">
        <v>106.4387588500977</v>
      </c>
      <c r="C201" s="49">
        <v>66.173759460449219</v>
      </c>
      <c r="D201" s="63">
        <f t="shared" ref="D201:E201" si="202">(B201/B200)-1</f>
        <v>-6.4321668020514977E-3</v>
      </c>
      <c r="E201" s="63">
        <f t="shared" si="202"/>
        <v>-2.4732596419446806E-2</v>
      </c>
      <c r="F201" s="63">
        <v>2.8999999999999998E-2</v>
      </c>
      <c r="G201" s="63">
        <v>0</v>
      </c>
      <c r="H201" s="63">
        <f t="shared" si="1"/>
        <v>-6.4321668020514977E-3</v>
      </c>
      <c r="I201" s="63">
        <f t="shared" si="2"/>
        <v>-2.4732596419446806E-2</v>
      </c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2.75" customHeight="1" x14ac:dyDescent="0.35">
      <c r="A202" s="61">
        <v>44469</v>
      </c>
      <c r="B202" s="49">
        <v>100.6243362426758</v>
      </c>
      <c r="C202" s="49">
        <v>71.553794860839844</v>
      </c>
      <c r="D202" s="63">
        <f t="shared" ref="D202:E202" si="203">(B202/B201)-1</f>
        <v>-5.4626929797355173E-2</v>
      </c>
      <c r="E202" s="63">
        <f t="shared" si="203"/>
        <v>8.130164349520097E-2</v>
      </c>
      <c r="F202" s="63">
        <v>-4.3700000000000003E-2</v>
      </c>
      <c r="G202" s="63">
        <v>0</v>
      </c>
      <c r="H202" s="63">
        <f t="shared" si="1"/>
        <v>-5.4626929797355173E-2</v>
      </c>
      <c r="I202" s="63">
        <f t="shared" si="2"/>
        <v>8.130164349520097E-2</v>
      </c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2.75" customHeight="1" x14ac:dyDescent="0.35">
      <c r="A203" s="61">
        <v>44500</v>
      </c>
      <c r="B203" s="49">
        <v>98.131484985351563</v>
      </c>
      <c r="C203" s="49">
        <v>81.514320373535156</v>
      </c>
      <c r="D203" s="63">
        <f t="shared" ref="D203:E203" si="204">(B203/B202)-1</f>
        <v>-2.4773840508246603E-2</v>
      </c>
      <c r="E203" s="63">
        <f t="shared" si="204"/>
        <v>0.13920331593966284</v>
      </c>
      <c r="F203" s="63">
        <v>6.6500000000000004E-2</v>
      </c>
      <c r="G203" s="63">
        <v>0</v>
      </c>
      <c r="H203" s="63">
        <f t="shared" si="1"/>
        <v>-2.4773840508246603E-2</v>
      </c>
      <c r="I203" s="63">
        <f t="shared" si="2"/>
        <v>0.13920331593966284</v>
      </c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2.75" customHeight="1" x14ac:dyDescent="0.35">
      <c r="A204" s="61">
        <v>44530</v>
      </c>
      <c r="B204" s="49">
        <v>78.224960327148438</v>
      </c>
      <c r="C204" s="49">
        <v>76.173294067382813</v>
      </c>
      <c r="D204" s="63">
        <f t="shared" ref="D204:E204" si="205">(B204/B203)-1</f>
        <v>-0.20285563457207079</v>
      </c>
      <c r="E204" s="63">
        <f t="shared" si="205"/>
        <v>-6.55225521316668E-2</v>
      </c>
      <c r="F204" s="63">
        <v>-1.55E-2</v>
      </c>
      <c r="G204" s="63">
        <v>0</v>
      </c>
      <c r="H204" s="63">
        <f t="shared" si="1"/>
        <v>-0.20285563457207079</v>
      </c>
      <c r="I204" s="63">
        <f t="shared" si="2"/>
        <v>-6.55225521316668E-2</v>
      </c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2.75" customHeight="1" x14ac:dyDescent="0.35">
      <c r="A205" s="61">
        <v>44561</v>
      </c>
      <c r="B205" s="49">
        <v>87.256767272949219</v>
      </c>
      <c r="C205" s="49">
        <v>82.600845336914063</v>
      </c>
      <c r="D205" s="63">
        <f t="shared" ref="D205:E205" si="206">(B205/B204)-1</f>
        <v>0.11545939950660777</v>
      </c>
      <c r="E205" s="63">
        <f t="shared" si="206"/>
        <v>8.4380639543373936E-2</v>
      </c>
      <c r="F205" s="63">
        <v>3.1E-2</v>
      </c>
      <c r="G205" s="63">
        <v>1E-4</v>
      </c>
      <c r="H205" s="63">
        <f t="shared" si="1"/>
        <v>0.11535939950660777</v>
      </c>
      <c r="I205" s="63">
        <f t="shared" si="2"/>
        <v>8.4280639543373934E-2</v>
      </c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2.75" customHeight="1" x14ac:dyDescent="0.35">
      <c r="A206" s="61">
        <v>44592</v>
      </c>
      <c r="B206" s="49">
        <v>88.370872497558594</v>
      </c>
      <c r="C206" s="49">
        <v>87.467002868652344</v>
      </c>
      <c r="D206" s="63">
        <f t="shared" ref="D206:E206" si="207">(B206/B205)-1</f>
        <v>1.2768124002626946E-2</v>
      </c>
      <c r="E206" s="63">
        <f t="shared" si="207"/>
        <v>5.8911715877605131E-2</v>
      </c>
      <c r="F206" s="63">
        <v>-6.25E-2</v>
      </c>
      <c r="G206" s="63">
        <v>0</v>
      </c>
      <c r="H206" s="63">
        <f t="shared" si="1"/>
        <v>1.2768124002626946E-2</v>
      </c>
      <c r="I206" s="63">
        <f t="shared" si="2"/>
        <v>5.8911715877605131E-2</v>
      </c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2.75" customHeight="1" x14ac:dyDescent="0.35">
      <c r="A207" s="61">
        <v>44620</v>
      </c>
      <c r="B207" s="49">
        <v>83.987480163574219</v>
      </c>
      <c r="C207" s="49">
        <v>92.501266479492188</v>
      </c>
      <c r="D207" s="63">
        <f t="shared" ref="D207:E207" si="208">(B207/B206)-1</f>
        <v>-4.9602229898833228E-2</v>
      </c>
      <c r="E207" s="63">
        <f t="shared" si="208"/>
        <v>5.7556146269235997E-2</v>
      </c>
      <c r="F207" s="63">
        <v>-2.29E-2</v>
      </c>
      <c r="G207" s="63">
        <v>0</v>
      </c>
      <c r="H207" s="63">
        <f t="shared" si="1"/>
        <v>-4.9602229898833228E-2</v>
      </c>
      <c r="I207" s="63">
        <f t="shared" si="2"/>
        <v>5.7556146269235997E-2</v>
      </c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2.75" customHeight="1" x14ac:dyDescent="0.35">
      <c r="A208" s="61">
        <v>44651</v>
      </c>
      <c r="B208" s="49">
        <v>90.818267822265625</v>
      </c>
      <c r="C208" s="49">
        <v>98.552978515625</v>
      </c>
      <c r="D208" s="63">
        <f t="shared" ref="D208:E208" si="209">(B208/B207)-1</f>
        <v>8.133102273562387E-2</v>
      </c>
      <c r="E208" s="63">
        <f t="shared" si="209"/>
        <v>6.54230181537514E-2</v>
      </c>
      <c r="F208" s="63">
        <v>3.0499999999999999E-2</v>
      </c>
      <c r="G208" s="63">
        <v>1E-4</v>
      </c>
      <c r="H208" s="63">
        <f t="shared" si="1"/>
        <v>8.1231022735623867E-2</v>
      </c>
      <c r="I208" s="63">
        <f t="shared" si="2"/>
        <v>6.5323018153751397E-2</v>
      </c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2.75" customHeight="1" x14ac:dyDescent="0.35">
      <c r="A209" s="61">
        <v>44681</v>
      </c>
      <c r="B209" s="49">
        <v>95.167007446289063</v>
      </c>
      <c r="C209" s="49">
        <v>100.6074600219727</v>
      </c>
      <c r="D209" s="63">
        <f t="shared" ref="D209:E209" si="210">(B209/B208)-1</f>
        <v>4.7883974538405205E-2</v>
      </c>
      <c r="E209" s="63">
        <f t="shared" si="210"/>
        <v>2.0846467933203883E-2</v>
      </c>
      <c r="F209" s="63">
        <v>-9.4600000000000004E-2</v>
      </c>
      <c r="G209" s="63">
        <v>1E-4</v>
      </c>
      <c r="H209" s="63">
        <f t="shared" si="1"/>
        <v>4.7783974538405202E-2</v>
      </c>
      <c r="I209" s="63">
        <f t="shared" si="2"/>
        <v>2.0746467933203883E-2</v>
      </c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2.75" customHeight="1" x14ac:dyDescent="0.35">
      <c r="A210" s="61">
        <v>44712</v>
      </c>
      <c r="B210" s="49">
        <v>103.2558135986328</v>
      </c>
      <c r="C210" s="49">
        <v>105.2322692871094</v>
      </c>
      <c r="D210" s="63">
        <f t="shared" ref="D210:E210" si="211">(B210/B209)-1</f>
        <v>8.4995907398989656E-2</v>
      </c>
      <c r="E210" s="63">
        <f t="shared" si="211"/>
        <v>4.5968850263456096E-2</v>
      </c>
      <c r="F210" s="63">
        <v>-3.4000000000000002E-3</v>
      </c>
      <c r="G210" s="63">
        <v>2.9999999999999997E-4</v>
      </c>
      <c r="H210" s="63">
        <f t="shared" si="1"/>
        <v>8.4695907398989662E-2</v>
      </c>
      <c r="I210" s="63">
        <f t="shared" si="2"/>
        <v>4.5668850263456094E-2</v>
      </c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2.75" customHeight="1" x14ac:dyDescent="0.35">
      <c r="A211" s="61">
        <v>44742</v>
      </c>
      <c r="B211" s="49">
        <v>100.5554580688477</v>
      </c>
      <c r="C211" s="49">
        <v>81.023674011230469</v>
      </c>
      <c r="D211" s="63">
        <f t="shared" ref="D211:E211" si="212">(B211/B210)-1</f>
        <v>-2.6152091932389321E-2</v>
      </c>
      <c r="E211" s="63">
        <f t="shared" si="212"/>
        <v>-0.23004916115445218</v>
      </c>
      <c r="F211" s="63">
        <v>-8.43E-2</v>
      </c>
      <c r="G211" s="63">
        <v>5.9999999999999995E-4</v>
      </c>
      <c r="H211" s="63">
        <f t="shared" si="1"/>
        <v>-2.6752091932389321E-2</v>
      </c>
      <c r="I211" s="63">
        <f t="shared" si="2"/>
        <v>-0.23064916115445216</v>
      </c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2.75" customHeight="1" x14ac:dyDescent="0.35">
      <c r="A212" s="61">
        <v>44773</v>
      </c>
      <c r="B212" s="49">
        <v>119.5062789916992</v>
      </c>
      <c r="C212" s="49">
        <v>82.488876342773438</v>
      </c>
      <c r="D212" s="63">
        <f t="shared" ref="D212:E212" si="213">(B212/B211)-1</f>
        <v>0.18846138525744038</v>
      </c>
      <c r="E212" s="63">
        <f t="shared" si="213"/>
        <v>1.8083632338615985E-2</v>
      </c>
      <c r="F212" s="63">
        <v>9.5700000000000007E-2</v>
      </c>
      <c r="G212" s="63">
        <v>8.0000000000000004E-4</v>
      </c>
      <c r="H212" s="63">
        <f t="shared" si="1"/>
        <v>0.18766138525744039</v>
      </c>
      <c r="I212" s="63">
        <f t="shared" si="2"/>
        <v>1.7283632338615986E-2</v>
      </c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2.75" customHeight="1" x14ac:dyDescent="0.35">
      <c r="A213" s="61">
        <v>44804</v>
      </c>
      <c r="B213" s="49">
        <v>76.07037353515625</v>
      </c>
      <c r="C213" s="49">
        <v>88.599830627441406</v>
      </c>
      <c r="D213" s="63">
        <f t="shared" ref="D213:E213" si="214">(B213/B212)-1</f>
        <v>-0.36346128272942024</v>
      </c>
      <c r="E213" s="63">
        <f t="shared" si="214"/>
        <v>7.4082161809000402E-2</v>
      </c>
      <c r="F213" s="63">
        <v>-3.7699999999999997E-2</v>
      </c>
      <c r="G213" s="63">
        <v>1.9E-3</v>
      </c>
      <c r="H213" s="63">
        <f t="shared" si="1"/>
        <v>-0.36536128272942026</v>
      </c>
      <c r="I213" s="63">
        <f t="shared" si="2"/>
        <v>7.2182161809000403E-2</v>
      </c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2.75" customHeight="1" x14ac:dyDescent="0.35">
      <c r="A214" s="61">
        <v>44834</v>
      </c>
      <c r="B214" s="49">
        <v>70.33160400390625</v>
      </c>
      <c r="C214" s="49">
        <v>74.232643127441406</v>
      </c>
      <c r="D214" s="63">
        <f t="shared" ref="D214:E214" si="215">(B214/B213)-1</f>
        <v>-7.5440270167699386E-2</v>
      </c>
      <c r="E214" s="63">
        <f t="shared" si="215"/>
        <v>-0.16215818245086067</v>
      </c>
      <c r="F214" s="63">
        <v>-9.35E-2</v>
      </c>
      <c r="G214" s="63">
        <v>1.9E-3</v>
      </c>
      <c r="H214" s="63">
        <f t="shared" si="1"/>
        <v>-7.7340270167699385E-2</v>
      </c>
      <c r="I214" s="63">
        <f t="shared" si="2"/>
        <v>-0.16405818245086068</v>
      </c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2.75" customHeight="1" x14ac:dyDescent="0.35">
      <c r="A215" s="61">
        <v>44865</v>
      </c>
      <c r="B215" s="49">
        <v>82.155326843261719</v>
      </c>
      <c r="C215" s="49">
        <v>88.733940124511719</v>
      </c>
      <c r="D215" s="63">
        <f t="shared" ref="D215:E215" si="216">(B215/B214)-1</f>
        <v>0.16811393692512366</v>
      </c>
      <c r="E215" s="63">
        <f t="shared" si="216"/>
        <v>0.19534932862588117</v>
      </c>
      <c r="F215" s="63">
        <v>7.8299999999999995E-2</v>
      </c>
      <c r="G215" s="63">
        <v>2.3E-3</v>
      </c>
      <c r="H215" s="63">
        <f t="shared" si="1"/>
        <v>0.16581393692512367</v>
      </c>
      <c r="I215" s="63">
        <f t="shared" si="2"/>
        <v>0.19304932862588117</v>
      </c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2.75" customHeight="1" x14ac:dyDescent="0.35">
      <c r="A216" s="61">
        <v>44895</v>
      </c>
      <c r="B216" s="49">
        <v>79.94415283203125</v>
      </c>
      <c r="C216" s="49">
        <v>94.253959655761719</v>
      </c>
      <c r="D216" s="63">
        <f t="shared" ref="D216:E216" si="217">(B216/B215)-1</f>
        <v>-2.6914554371489596E-2</v>
      </c>
      <c r="E216" s="63">
        <f t="shared" si="217"/>
        <v>6.2208660220703482E-2</v>
      </c>
      <c r="F216" s="63">
        <v>4.5999999999999999E-2</v>
      </c>
      <c r="G216" s="63">
        <v>2.8999999999999998E-3</v>
      </c>
      <c r="H216" s="63">
        <f t="shared" si="1"/>
        <v>-2.9814554371489596E-2</v>
      </c>
      <c r="I216" s="63">
        <f t="shared" si="2"/>
        <v>5.9308660220703482E-2</v>
      </c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2.75" customHeight="1" x14ac:dyDescent="0.35">
      <c r="A217" s="61">
        <v>44926</v>
      </c>
      <c r="B217" s="49">
        <v>75.330421447753906</v>
      </c>
      <c r="C217" s="49">
        <v>90.263397216796875</v>
      </c>
      <c r="D217" s="63">
        <f t="shared" ref="D217:E217" si="218">(B217/B216)-1</f>
        <v>-5.7711930401853739E-2</v>
      </c>
      <c r="E217" s="63">
        <f t="shared" si="218"/>
        <v>-4.2338406296556053E-2</v>
      </c>
      <c r="F217" s="63">
        <v>-6.4100000000000004E-2</v>
      </c>
      <c r="G217" s="63">
        <v>3.3E-3</v>
      </c>
      <c r="H217" s="63">
        <f t="shared" si="1"/>
        <v>-6.1011930401853737E-2</v>
      </c>
      <c r="I217" s="63">
        <f t="shared" si="2"/>
        <v>-4.563840629655605E-2</v>
      </c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2.75" customHeight="1" x14ac:dyDescent="0.35">
      <c r="A218" s="61">
        <v>44957</v>
      </c>
      <c r="B218" s="49">
        <v>92.175888061523438</v>
      </c>
      <c r="C218" s="49">
        <v>89.657241821289063</v>
      </c>
      <c r="D218" s="63">
        <f t="shared" ref="D218:E218" si="219">(B218/B217)-1</f>
        <v>0.22362103238003073</v>
      </c>
      <c r="E218" s="63">
        <f t="shared" si="219"/>
        <v>-6.7154064016883286E-3</v>
      </c>
      <c r="F218" s="63">
        <v>6.6500000000000004E-2</v>
      </c>
      <c r="G218" s="63">
        <v>3.4999999999999996E-3</v>
      </c>
      <c r="H218" s="63">
        <f t="shared" si="1"/>
        <v>0.22012103238003072</v>
      </c>
      <c r="I218" s="63">
        <f t="shared" si="2"/>
        <v>-1.0215406401688328E-2</v>
      </c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2.75" customHeight="1" x14ac:dyDescent="0.35">
      <c r="A219" s="61">
        <v>44985</v>
      </c>
      <c r="B219" s="49">
        <v>94.202568054199219</v>
      </c>
      <c r="C219" s="49">
        <v>86.4002685546875</v>
      </c>
      <c r="D219" s="63">
        <f t="shared" ref="D219:E219" si="220">(B219/B218)-1</f>
        <v>2.1987094838978427E-2</v>
      </c>
      <c r="E219" s="63">
        <f t="shared" si="220"/>
        <v>-3.6326940249774675E-2</v>
      </c>
      <c r="F219" s="63">
        <v>-2.58E-2</v>
      </c>
      <c r="G219" s="63">
        <v>3.4000000000000002E-3</v>
      </c>
      <c r="H219" s="63">
        <f t="shared" si="1"/>
        <v>1.8587094838978427E-2</v>
      </c>
      <c r="I219" s="63">
        <f t="shared" si="2"/>
        <v>-3.9726940249774675E-2</v>
      </c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2.75" customHeight="1" x14ac:dyDescent="0.35">
      <c r="A220" s="61">
        <v>45016</v>
      </c>
      <c r="B220" s="49">
        <v>91.023117065429688</v>
      </c>
      <c r="C220" s="49">
        <v>86.96209716796875</v>
      </c>
      <c r="D220" s="63">
        <f t="shared" ref="D220:E220" si="221">(B220/B219)-1</f>
        <v>-3.3751213522546841E-2</v>
      </c>
      <c r="E220" s="63">
        <f t="shared" si="221"/>
        <v>6.5026257751228389E-3</v>
      </c>
      <c r="F220" s="63">
        <v>2.5099999999999997E-2</v>
      </c>
      <c r="G220" s="63">
        <v>3.5999999999999999E-3</v>
      </c>
      <c r="H220" s="63">
        <f t="shared" si="1"/>
        <v>-3.735121352254684E-2</v>
      </c>
      <c r="I220" s="63">
        <f t="shared" si="2"/>
        <v>2.902625775122839E-3</v>
      </c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2.75" customHeight="1" x14ac:dyDescent="0.35">
      <c r="A221" s="61">
        <v>45046</v>
      </c>
      <c r="B221" s="49">
        <v>99.417121887207031</v>
      </c>
      <c r="C221" s="49">
        <v>85.214111328125</v>
      </c>
      <c r="D221" s="63">
        <f t="shared" ref="D221:E221" si="222">(B221/B220)-1</f>
        <v>9.2218384652148488E-2</v>
      </c>
      <c r="E221" s="63">
        <f t="shared" si="222"/>
        <v>-2.0100548362667503E-2</v>
      </c>
      <c r="F221" s="63">
        <v>6.0999999999999995E-3</v>
      </c>
      <c r="G221" s="63">
        <v>3.4999999999999996E-3</v>
      </c>
      <c r="H221" s="63">
        <f t="shared" si="1"/>
        <v>8.8718384652148485E-2</v>
      </c>
      <c r="I221" s="63">
        <f t="shared" si="2"/>
        <v>-2.3600548362667503E-2</v>
      </c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2.75" customHeight="1" x14ac:dyDescent="0.35">
      <c r="A222" s="61">
        <v>45077</v>
      </c>
      <c r="B222" s="49">
        <v>95.392234802246094</v>
      </c>
      <c r="C222" s="49">
        <v>84.340126037597656</v>
      </c>
      <c r="D222" s="63">
        <f t="shared" ref="D222:E222" si="223">(B222/B221)-1</f>
        <v>-4.0484848168581555E-2</v>
      </c>
      <c r="E222" s="63">
        <f t="shared" si="223"/>
        <v>-1.02563445995697E-2</v>
      </c>
      <c r="F222" s="63">
        <v>3.4999999999999996E-3</v>
      </c>
      <c r="G222" s="63">
        <v>3.5999999999999999E-3</v>
      </c>
      <c r="H222" s="63">
        <f t="shared" si="1"/>
        <v>-4.4084848168581554E-2</v>
      </c>
      <c r="I222" s="63">
        <f t="shared" si="2"/>
        <v>-1.3856344599569699E-2</v>
      </c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2.75" customHeight="1" x14ac:dyDescent="0.35">
      <c r="A223" s="61">
        <v>45107</v>
      </c>
      <c r="B223" s="49">
        <v>113.79978179931641</v>
      </c>
      <c r="C223" s="49">
        <v>86.49969482421875</v>
      </c>
      <c r="D223" s="63">
        <f t="shared" ref="D223:E223" si="224">(B223/B222)-1</f>
        <v>0.19296693316002367</v>
      </c>
      <c r="E223" s="63">
        <f t="shared" si="224"/>
        <v>2.56054726033772E-2</v>
      </c>
      <c r="F223" s="63">
        <v>6.4600000000000005E-2</v>
      </c>
      <c r="G223" s="63">
        <v>4.0000000000000001E-3</v>
      </c>
      <c r="H223" s="63">
        <f t="shared" si="1"/>
        <v>0.18896693316002366</v>
      </c>
      <c r="I223" s="63">
        <f t="shared" si="2"/>
        <v>2.1605472603377199E-2</v>
      </c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2.75" customHeight="1" x14ac:dyDescent="0.35">
      <c r="A224" s="61">
        <v>45138</v>
      </c>
      <c r="B224" s="49">
        <v>108.9999084472656</v>
      </c>
      <c r="C224" s="49">
        <v>99.628196716308594</v>
      </c>
      <c r="D224" s="63">
        <f t="shared" ref="D224:E224" si="225">(B224/B223)-1</f>
        <v>-4.2178229836286385E-2</v>
      </c>
      <c r="E224" s="63">
        <f t="shared" si="225"/>
        <v>0.15177512381713099</v>
      </c>
      <c r="F224" s="63">
        <v>3.2099999999999997E-2</v>
      </c>
      <c r="G224" s="63">
        <v>4.5000000000000005E-3</v>
      </c>
      <c r="H224" s="63">
        <f t="shared" si="1"/>
        <v>-4.6678229836286389E-2</v>
      </c>
      <c r="I224" s="63">
        <f t="shared" si="2"/>
        <v>0.14727512381713098</v>
      </c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2.75" customHeight="1" x14ac:dyDescent="0.35">
      <c r="A225" s="61">
        <v>45169</v>
      </c>
      <c r="B225" s="49">
        <v>94.525360107421875</v>
      </c>
      <c r="C225" s="49">
        <v>104.8080978393555</v>
      </c>
      <c r="D225" s="63">
        <f t="shared" ref="D225:E225" si="226">(B225/B224)-1</f>
        <v>-0.13279413300467624</v>
      </c>
      <c r="E225" s="63">
        <f t="shared" si="226"/>
        <v>5.1992320384927515E-2</v>
      </c>
      <c r="F225" s="63">
        <v>-2.3900000000000001E-2</v>
      </c>
      <c r="G225" s="63">
        <v>4.5000000000000005E-3</v>
      </c>
      <c r="H225" s="63">
        <f t="shared" si="1"/>
        <v>-0.13729413300467624</v>
      </c>
      <c r="I225" s="63">
        <f t="shared" si="2"/>
        <v>4.7492320384927511E-2</v>
      </c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2.75" customHeight="1" x14ac:dyDescent="0.35">
      <c r="A226" s="61">
        <v>45199</v>
      </c>
      <c r="B226" s="49">
        <v>86.361305236816406</v>
      </c>
      <c r="C226" s="49">
        <v>99.838081359863281</v>
      </c>
      <c r="D226" s="63">
        <f t="shared" ref="D226:E226" si="227">(B226/B225)-1</f>
        <v>-8.6368936985033007E-2</v>
      </c>
      <c r="E226" s="63">
        <f t="shared" si="227"/>
        <v>-4.742015723928128E-2</v>
      </c>
      <c r="F226" s="63">
        <v>-5.2400000000000002E-2</v>
      </c>
      <c r="G226" s="63">
        <v>4.3E-3</v>
      </c>
      <c r="H226" s="63">
        <f t="shared" si="1"/>
        <v>-9.0668936985033005E-2</v>
      </c>
      <c r="I226" s="63">
        <f t="shared" si="2"/>
        <v>-5.1720157239281278E-2</v>
      </c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2.75" customHeight="1" x14ac:dyDescent="0.35">
      <c r="A227" s="61">
        <v>45230</v>
      </c>
      <c r="B227" s="49">
        <v>79.187286376953125</v>
      </c>
      <c r="C227" s="49">
        <v>97.744499206542969</v>
      </c>
      <c r="D227" s="63">
        <f t="shared" ref="D227:E227" si="228">(B227/B226)-1</f>
        <v>-8.3069829018806329E-2</v>
      </c>
      <c r="E227" s="63">
        <f t="shared" si="228"/>
        <v>-2.0969775508546284E-2</v>
      </c>
      <c r="F227" s="63">
        <v>-3.1899999999999998E-2</v>
      </c>
      <c r="G227" s="63">
        <v>4.6999999999999993E-3</v>
      </c>
      <c r="H227" s="63">
        <f t="shared" si="1"/>
        <v>-8.7769829018806325E-2</v>
      </c>
      <c r="I227" s="63">
        <f t="shared" si="2"/>
        <v>-2.5669775508546284E-2</v>
      </c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2.75" customHeight="1" x14ac:dyDescent="0.35">
      <c r="A228" s="61">
        <v>45260</v>
      </c>
      <c r="B228" s="49">
        <v>80.053428649902344</v>
      </c>
      <c r="C228" s="49">
        <v>101.3321990966797</v>
      </c>
      <c r="D228" s="63">
        <f t="shared" ref="D228:E228" si="229">(B228/B227)-1</f>
        <v>1.093789562160441E-2</v>
      </c>
      <c r="E228" s="63">
        <f t="shared" si="229"/>
        <v>3.6704877709338835E-2</v>
      </c>
      <c r="F228" s="63">
        <v>8.8399999999999992E-2</v>
      </c>
      <c r="G228" s="63">
        <v>4.4000000000000003E-3</v>
      </c>
      <c r="H228" s="63">
        <f t="shared" si="1"/>
        <v>6.5378956216044096E-3</v>
      </c>
      <c r="I228" s="63">
        <f t="shared" si="2"/>
        <v>3.2304877709338833E-2</v>
      </c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2.75" customHeight="1" x14ac:dyDescent="0.35">
      <c r="A229" s="61">
        <v>45291</v>
      </c>
      <c r="B229" s="49">
        <v>88.123237609863281</v>
      </c>
      <c r="C229" s="49">
        <v>93.687019348144531</v>
      </c>
      <c r="D229" s="63">
        <f t="shared" ref="D229:E229" si="230">(B229/B228)-1</f>
        <v>0.10080528836875469</v>
      </c>
      <c r="E229" s="63">
        <f t="shared" si="230"/>
        <v>-7.5446697265900697E-2</v>
      </c>
      <c r="F229" s="63">
        <v>4.87E-2</v>
      </c>
      <c r="G229" s="63">
        <v>4.3E-3</v>
      </c>
      <c r="H229" s="63">
        <f t="shared" si="1"/>
        <v>9.6505288368754688E-2</v>
      </c>
      <c r="I229" s="63">
        <f t="shared" si="2"/>
        <v>-7.9746697265900696E-2</v>
      </c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2.75" customHeight="1" x14ac:dyDescent="0.35">
      <c r="A230" s="61">
        <v>45292</v>
      </c>
      <c r="B230" s="49">
        <v>87.290634155273438</v>
      </c>
      <c r="C230" s="49">
        <v>81.752227783203125</v>
      </c>
      <c r="D230" s="63">
        <f t="shared" ref="D230:E230" si="231">(B230/B229)-1</f>
        <v>-9.4481714150803642E-3</v>
      </c>
      <c r="E230" s="63">
        <f t="shared" si="231"/>
        <v>-0.12739002316416181</v>
      </c>
      <c r="F230" s="63">
        <v>6.9999999999999993E-3</v>
      </c>
      <c r="G230" s="63">
        <v>4.6999999999999993E-3</v>
      </c>
      <c r="H230" s="63">
        <f t="shared" si="1"/>
        <v>-1.4148171415080363E-2</v>
      </c>
      <c r="I230" s="63">
        <f t="shared" si="2"/>
        <v>-0.13209002316416182</v>
      </c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2.75" customHeight="1" x14ac:dyDescent="0.35">
      <c r="A231" s="61">
        <v>45323</v>
      </c>
      <c r="B231" s="49">
        <v>100.5460205078125</v>
      </c>
      <c r="C231" s="49">
        <v>87.580429077148438</v>
      </c>
      <c r="D231" s="63">
        <f t="shared" ref="D231:E231" si="232">(B231/B230)-1</f>
        <v>0.15185347753299916</v>
      </c>
      <c r="E231" s="63">
        <f t="shared" si="232"/>
        <v>7.1291039424650204E-2</v>
      </c>
      <c r="F231" s="63">
        <v>5.0700000000000002E-2</v>
      </c>
      <c r="G231" s="63">
        <v>4.1999999999999997E-3</v>
      </c>
      <c r="H231" s="63">
        <f t="shared" si="1"/>
        <v>0.14765347753299915</v>
      </c>
      <c r="I231" s="63">
        <f t="shared" si="2"/>
        <v>6.7091039424650209E-2</v>
      </c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2.75" customHeight="1" x14ac:dyDescent="0.35">
      <c r="A232" s="61">
        <v>45352</v>
      </c>
      <c r="B232" s="49">
        <v>106.79052734375</v>
      </c>
      <c r="C232" s="49">
        <v>95.853958129882813</v>
      </c>
      <c r="D232" s="63">
        <f t="shared" ref="D232:E232" si="233">(B232/B231)-1</f>
        <v>6.2105957097051911E-2</v>
      </c>
      <c r="E232" s="63">
        <f t="shared" si="233"/>
        <v>9.4467783954864215E-2</v>
      </c>
      <c r="F232" s="63">
        <v>2.8300000000000002E-2</v>
      </c>
      <c r="G232" s="63">
        <v>4.3E-3</v>
      </c>
      <c r="H232" s="63">
        <f t="shared" si="1"/>
        <v>5.7805957097051913E-2</v>
      </c>
      <c r="I232" s="63">
        <f t="shared" si="2"/>
        <v>9.0167783954864217E-2</v>
      </c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2.75" customHeight="1" x14ac:dyDescent="0.35">
      <c r="A233" s="61">
        <v>45383</v>
      </c>
      <c r="B233" s="49">
        <v>96.446990966796875</v>
      </c>
      <c r="C233" s="49">
        <v>95.143386840820313</v>
      </c>
      <c r="D233" s="63">
        <f t="shared" ref="D233:E233" si="234">(B233/B232)-1</f>
        <v>-9.6858182408427695E-2</v>
      </c>
      <c r="E233" s="63">
        <f t="shared" si="234"/>
        <v>-7.4130615253223953E-3</v>
      </c>
      <c r="F233" s="63">
        <v>-4.6699999999999998E-2</v>
      </c>
      <c r="G233" s="63">
        <v>4.6999999999999993E-3</v>
      </c>
      <c r="H233" s="63">
        <f t="shared" si="1"/>
        <v>-0.10155818240842769</v>
      </c>
      <c r="I233" s="63">
        <f t="shared" si="2"/>
        <v>-1.2113061525322395E-2</v>
      </c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2.75" customHeight="1" x14ac:dyDescent="0.35">
      <c r="A234" s="61">
        <v>45413</v>
      </c>
      <c r="B234" s="49">
        <v>97.454116821289063</v>
      </c>
      <c r="C234" s="49">
        <v>100.59429931640619</v>
      </c>
      <c r="D234" s="63">
        <f t="shared" ref="D234:E234" si="235">(B234/B233)-1</f>
        <v>1.04422734643832E-2</v>
      </c>
      <c r="E234" s="63">
        <f t="shared" si="235"/>
        <v>5.7291553901749781E-2</v>
      </c>
      <c r="F234" s="63">
        <v>4.3400000000000001E-2</v>
      </c>
      <c r="G234" s="63">
        <v>4.4000000000000003E-3</v>
      </c>
      <c r="H234" s="63">
        <f t="shared" si="1"/>
        <v>6.0422734643832002E-3</v>
      </c>
      <c r="I234" s="63">
        <f t="shared" si="2"/>
        <v>5.289155390174978E-2</v>
      </c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2.75" customHeight="1" x14ac:dyDescent="0.35">
      <c r="A235" s="61">
        <v>45444</v>
      </c>
      <c r="B235" s="49">
        <v>88.176765441894531</v>
      </c>
      <c r="C235" s="49">
        <v>100.48316955566411</v>
      </c>
      <c r="D235" s="63">
        <f t="shared" ref="D235:E235" si="236">(B235/B234)-1</f>
        <v>-9.5197121291523246E-2</v>
      </c>
      <c r="E235" s="63">
        <f t="shared" si="236"/>
        <v>-1.1047321915583774E-3</v>
      </c>
      <c r="F235" s="63">
        <v>2.7699999999999999E-2</v>
      </c>
      <c r="G235" s="63">
        <v>4.0999999999999995E-3</v>
      </c>
      <c r="H235" s="63">
        <f t="shared" si="1"/>
        <v>-9.9297121291523238E-2</v>
      </c>
      <c r="I235" s="63">
        <f t="shared" si="2"/>
        <v>-5.2047321915583769E-3</v>
      </c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2.75" customHeight="1" x14ac:dyDescent="0.35">
      <c r="A236" s="61">
        <v>45474</v>
      </c>
      <c r="B236" s="49">
        <v>93.023529052734375</v>
      </c>
      <c r="C236" s="49">
        <v>99.033851623535156</v>
      </c>
      <c r="D236" s="63">
        <f t="shared" ref="D236:E236" si="237">(B236/B235)-1</f>
        <v>5.4966448208328744E-2</v>
      </c>
      <c r="E236" s="63">
        <f t="shared" si="237"/>
        <v>-1.442348941158822E-2</v>
      </c>
      <c r="F236" s="63">
        <v>1.24E-2</v>
      </c>
      <c r="G236" s="63">
        <v>4.5000000000000005E-3</v>
      </c>
      <c r="H236" s="63">
        <f t="shared" si="1"/>
        <v>5.046644820832874E-2</v>
      </c>
      <c r="I236" s="63">
        <f t="shared" si="2"/>
        <v>-1.892348941158822E-2</v>
      </c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2.75" customHeight="1" x14ac:dyDescent="0.35">
      <c r="A237" s="61">
        <v>45505</v>
      </c>
      <c r="B237" s="49">
        <v>81.669891357421875</v>
      </c>
      <c r="C237" s="49">
        <v>95.410545349121094</v>
      </c>
      <c r="D237" s="63">
        <f t="shared" ref="D237:E237" si="238">(B237/B236)-1</f>
        <v>-0.12205124672142043</v>
      </c>
      <c r="E237" s="63">
        <f t="shared" si="238"/>
        <v>-3.6586543035684538E-2</v>
      </c>
      <c r="F237" s="63">
        <v>1.61E-2</v>
      </c>
      <c r="G237" s="63">
        <v>4.7999999999999996E-3</v>
      </c>
      <c r="H237" s="63">
        <f t="shared" si="1"/>
        <v>-0.12685124672142042</v>
      </c>
      <c r="I237" s="63">
        <f t="shared" si="2"/>
        <v>-4.1386543035684537E-2</v>
      </c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2.75" customHeight="1" x14ac:dyDescent="0.35">
      <c r="A238" s="61">
        <v>45536</v>
      </c>
      <c r="B238" s="49">
        <v>81.177375793457031</v>
      </c>
      <c r="C238" s="49">
        <v>91.595016479492188</v>
      </c>
      <c r="D238" s="63">
        <f t="shared" ref="D238:E238" si="239">(B238/B237)-1</f>
        <v>-6.0305647011257291E-3</v>
      </c>
      <c r="E238" s="63">
        <f t="shared" si="239"/>
        <v>-3.9990641031002694E-2</v>
      </c>
      <c r="F238" s="63">
        <v>1.7399999999999999E-2</v>
      </c>
      <c r="G238" s="63">
        <v>4.0000000000000001E-3</v>
      </c>
      <c r="H238" s="63">
        <f t="shared" si="1"/>
        <v>-1.0030564701125729E-2</v>
      </c>
      <c r="I238" s="63">
        <f t="shared" si="2"/>
        <v>-4.3990641031002697E-2</v>
      </c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2.75" customHeight="1" x14ac:dyDescent="0.35">
      <c r="A239" s="61">
        <v>45566</v>
      </c>
      <c r="B239" s="49">
        <v>76.908920288085938</v>
      </c>
      <c r="C239" s="49">
        <v>79.633834838867188</v>
      </c>
      <c r="D239" s="63">
        <f t="shared" ref="D239:E239" si="240">(B239/B238)-1</f>
        <v>-5.2581836548048821E-2</v>
      </c>
      <c r="E239" s="63">
        <f t="shared" si="240"/>
        <v>-0.13058769025171879</v>
      </c>
      <c r="F239" s="63">
        <v>-9.7000000000000003E-3</v>
      </c>
      <c r="G239" s="63">
        <v>3.9000000000000003E-3</v>
      </c>
      <c r="H239" s="63">
        <f t="shared" si="1"/>
        <v>-5.6481836548048822E-2</v>
      </c>
      <c r="I239" s="63">
        <f t="shared" si="2"/>
        <v>-0.13448769025171878</v>
      </c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2.75" customHeight="1" x14ac:dyDescent="0.35">
      <c r="A240" s="61">
        <v>45597</v>
      </c>
      <c r="B240" s="49">
        <v>94.730911254882813</v>
      </c>
      <c r="C240" s="49">
        <v>85.055221557617188</v>
      </c>
      <c r="D240" s="63">
        <f t="shared" ref="D240:E240" si="241">(B240/B239)-1</f>
        <v>0.23172852901898944</v>
      </c>
      <c r="E240" s="63">
        <f t="shared" si="241"/>
        <v>6.807893566496892E-2</v>
      </c>
      <c r="F240" s="63">
        <v>6.5099999999999991E-2</v>
      </c>
      <c r="G240" s="63">
        <v>4.0000000000000001E-3</v>
      </c>
      <c r="H240" s="63">
        <f t="shared" si="1"/>
        <v>0.22772852901898943</v>
      </c>
      <c r="I240" s="63">
        <f t="shared" si="2"/>
        <v>6.4078935664968917E-2</v>
      </c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2.75" customHeight="1" x14ac:dyDescent="0.35">
      <c r="A241" s="61">
        <v>45627</v>
      </c>
      <c r="B241" s="49">
        <v>85.50811767578125</v>
      </c>
      <c r="C241" s="49">
        <v>74.257987976074219</v>
      </c>
      <c r="D241" s="63">
        <f t="shared" ref="D241:E241" si="242">(B241/B240)-1</f>
        <v>-9.7357804933246417E-2</v>
      </c>
      <c r="E241" s="63">
        <f t="shared" si="242"/>
        <v>-0.12694380643319847</v>
      </c>
      <c r="F241" s="63">
        <v>-3.1699999999999999E-2</v>
      </c>
      <c r="G241" s="63">
        <v>3.7000000000000002E-3</v>
      </c>
      <c r="H241" s="63">
        <f t="shared" si="1"/>
        <v>-0.10105780493324641</v>
      </c>
      <c r="I241" s="63">
        <f t="shared" si="2"/>
        <v>-0.13064380643319848</v>
      </c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2.75" customHeight="1" x14ac:dyDescent="0.35">
      <c r="A242" s="61">
        <v>45658</v>
      </c>
      <c r="B242" s="49">
        <v>85.50811767578125</v>
      </c>
      <c r="C242" s="49">
        <v>72.701385498046875</v>
      </c>
      <c r="D242" s="63">
        <f t="shared" ref="D242:E242" si="243">(B242/B241)-1</f>
        <v>0</v>
      </c>
      <c r="E242" s="63">
        <f t="shared" si="243"/>
        <v>-2.0962087991515221E-2</v>
      </c>
      <c r="F242" s="63">
        <v>2.7999999999999997E-2</v>
      </c>
      <c r="G242" s="63">
        <v>-1.9699999999999999E-2</v>
      </c>
      <c r="H242" s="63">
        <f t="shared" si="1"/>
        <v>1.9699999999999999E-2</v>
      </c>
      <c r="I242" s="63">
        <f t="shared" si="2"/>
        <v>-1.2620879915152226E-3</v>
      </c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2.75" customHeight="1" x14ac:dyDescent="0.35">
      <c r="A243" s="61">
        <v>45689</v>
      </c>
      <c r="B243" s="49">
        <v>78.095672607421875</v>
      </c>
      <c r="C243" s="49">
        <v>70.8487548828125</v>
      </c>
      <c r="D243" s="63">
        <f t="shared" ref="D243:E243" si="244">(B243/B242)-1</f>
        <v>-8.6687033580424955E-2</v>
      </c>
      <c r="E243" s="63">
        <f t="shared" si="244"/>
        <v>-2.5482741526076547E-2</v>
      </c>
      <c r="F243" s="63">
        <v>-2.4399999999999998E-2</v>
      </c>
      <c r="G243" s="63">
        <v>-5.79E-2</v>
      </c>
      <c r="H243" s="63">
        <f t="shared" si="1"/>
        <v>-2.8787033580424955E-2</v>
      </c>
      <c r="I243" s="63">
        <f t="shared" si="2"/>
        <v>3.2417258473923453E-2</v>
      </c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2.75" customHeight="1" x14ac:dyDescent="0.35">
      <c r="A244" s="61">
        <v>45717</v>
      </c>
      <c r="B244" s="49">
        <v>69.748252868652344</v>
      </c>
      <c r="C244" s="49">
        <v>73.689094543457031</v>
      </c>
      <c r="D244" s="63">
        <f t="shared" ref="D244:E244" si="245">(B244/B243)-1</f>
        <v>-0.10688709707042365</v>
      </c>
      <c r="E244" s="63">
        <f t="shared" si="245"/>
        <v>4.0090184581826449E-2</v>
      </c>
      <c r="F244" s="63">
        <v>-6.3899999999999998E-2</v>
      </c>
      <c r="G244" s="63">
        <v>-2.76E-2</v>
      </c>
      <c r="H244" s="63">
        <f t="shared" si="1"/>
        <v>-7.9287097070423654E-2</v>
      </c>
      <c r="I244" s="63">
        <f t="shared" si="2"/>
        <v>6.7690184581826449E-2</v>
      </c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2.75" customHeight="1" x14ac:dyDescent="0.35">
      <c r="A245" s="61">
        <v>45748</v>
      </c>
      <c r="B245" s="49">
        <v>68.946571350097656</v>
      </c>
      <c r="C245" s="49">
        <v>75.906898498535156</v>
      </c>
      <c r="D245" s="63">
        <f t="shared" ref="D245:E245" si="246">(B245/B244)-1</f>
        <v>-1.1493929748525589E-2</v>
      </c>
      <c r="E245" s="63">
        <f t="shared" si="246"/>
        <v>3.0096773054664183E-2</v>
      </c>
      <c r="F245" s="63">
        <v>-8.3999999999999995E-3</v>
      </c>
      <c r="G245" s="63">
        <v>-5.8999999999999999E-3</v>
      </c>
      <c r="H245" s="63">
        <f t="shared" si="1"/>
        <v>-5.5939297485255888E-3</v>
      </c>
      <c r="I245" s="63">
        <f t="shared" si="2"/>
        <v>3.5996773054664186E-2</v>
      </c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2.75" customHeight="1" x14ac:dyDescent="0.35">
      <c r="A246" s="61">
        <v>45778</v>
      </c>
      <c r="B246" s="49">
        <v>72.708518981933594</v>
      </c>
      <c r="C246" s="49">
        <v>75.357254028320313</v>
      </c>
      <c r="D246" s="63">
        <f t="shared" ref="D246:E246" si="247">(B246/B245)-1</f>
        <v>5.4563230022468767E-2</v>
      </c>
      <c r="E246" s="63">
        <f t="shared" si="247"/>
        <v>-7.2410344920817993E-3</v>
      </c>
      <c r="F246" s="63">
        <v>6.0599999999999994E-2</v>
      </c>
      <c r="G246" s="63">
        <v>6.9999999999999993E-3</v>
      </c>
      <c r="H246" s="63">
        <f t="shared" si="1"/>
        <v>4.7563230022468768E-2</v>
      </c>
      <c r="I246" s="63">
        <f t="shared" si="2"/>
        <v>-1.4241034492081799E-2</v>
      </c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2.75" customHeight="1" x14ac:dyDescent="0.35">
      <c r="A247" s="61">
        <v>45809</v>
      </c>
      <c r="B247" s="49">
        <v>76.276084899902344</v>
      </c>
      <c r="C247" s="49">
        <v>78.081459045410156</v>
      </c>
      <c r="D247" s="63">
        <f t="shared" ref="D247:E247" si="248">(B247/B246)-1</f>
        <v>4.9066683903370434E-2</v>
      </c>
      <c r="E247" s="63">
        <f t="shared" si="248"/>
        <v>3.6150534573168525E-2</v>
      </c>
      <c r="F247" s="63">
        <v>4.8600000000000004E-2</v>
      </c>
      <c r="G247" s="63">
        <v>8.3000000000000001E-3</v>
      </c>
      <c r="H247" s="63">
        <f t="shared" si="1"/>
        <v>4.0766683903370432E-2</v>
      </c>
      <c r="I247" s="63">
        <f t="shared" si="2"/>
        <v>2.7850534573168523E-2</v>
      </c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2.75" customHeight="1" x14ac:dyDescent="0.35">
      <c r="A248" s="61">
        <v>45839</v>
      </c>
      <c r="B248" s="49">
        <v>71.350341796875</v>
      </c>
      <c r="C248" s="49">
        <v>77.575698852539063</v>
      </c>
      <c r="D248" s="63">
        <f t="shared" ref="D248:E248" si="249">(B248/B247)-1</f>
        <v>-6.45778176671159E-2</v>
      </c>
      <c r="E248" s="63">
        <f t="shared" si="249"/>
        <v>-6.477340447454405E-3</v>
      </c>
      <c r="F248" s="63">
        <v>1.9799999999999998E-2</v>
      </c>
      <c r="G248" s="63">
        <v>2.7000000000000001E-3</v>
      </c>
      <c r="H248" s="63">
        <f t="shared" si="1"/>
        <v>-6.7277817667115894E-2</v>
      </c>
      <c r="I248" s="63">
        <f t="shared" si="2"/>
        <v>-9.177340447454406E-3</v>
      </c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2.75" customHeight="1" x14ac:dyDescent="0.35">
      <c r="A249" s="61">
        <v>45870</v>
      </c>
      <c r="B249" s="49">
        <v>80.850700378417969</v>
      </c>
      <c r="C249" s="49">
        <v>81.913558959960938</v>
      </c>
      <c r="D249" s="63">
        <f t="shared" ref="D249:E249" si="250">(B249/B248)-1</f>
        <v>0.13315084892780527</v>
      </c>
      <c r="E249" s="63">
        <f t="shared" si="250"/>
        <v>5.591777027581224E-2</v>
      </c>
      <c r="F249" s="63">
        <v>1.84E-2</v>
      </c>
      <c r="G249" s="63">
        <v>3.8699999999999998E-2</v>
      </c>
      <c r="H249" s="63">
        <f t="shared" si="1"/>
        <v>9.4450848927805267E-2</v>
      </c>
      <c r="I249" s="63">
        <f t="shared" si="2"/>
        <v>1.7217770275812241E-2</v>
      </c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2.75" customHeight="1" x14ac:dyDescent="0.35">
      <c r="A250" s="61">
        <v>45901</v>
      </c>
      <c r="B250" s="49">
        <v>83.303810119628906</v>
      </c>
      <c r="C250" s="49">
        <v>79.717483520507813</v>
      </c>
      <c r="D250" s="63">
        <f t="shared" ref="D250:E250" si="251">(B250/B249)-1</f>
        <v>3.0341230561136356E-2</v>
      </c>
      <c r="E250" s="63">
        <f t="shared" si="251"/>
        <v>-2.6809669453216611E-2</v>
      </c>
      <c r="F250" s="63">
        <v>3.39E-2</v>
      </c>
      <c r="G250" s="63">
        <v>-1.8500000000000003E-2</v>
      </c>
      <c r="H250" s="63">
        <f t="shared" si="1"/>
        <v>4.8841230561136359E-2</v>
      </c>
      <c r="I250" s="63">
        <f t="shared" si="2"/>
        <v>-8.3096694532166088E-3</v>
      </c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2.75" customHeight="1" x14ac:dyDescent="0.35">
      <c r="A251" s="61">
        <v>45931</v>
      </c>
      <c r="B251" s="49">
        <v>84.598228454589844</v>
      </c>
      <c r="C251" s="49">
        <v>92.815681457519531</v>
      </c>
      <c r="D251" s="63">
        <f t="shared" ref="D251:E251" si="252">(B251/B250)-1</f>
        <v>1.5538524985857061E-2</v>
      </c>
      <c r="E251" s="63">
        <f t="shared" si="252"/>
        <v>0.1643077196941638</v>
      </c>
      <c r="F251" s="63">
        <v>1.9599999999999999E-2</v>
      </c>
      <c r="G251" s="63">
        <v>-5.5000000000000005E-3</v>
      </c>
      <c r="H251" s="63">
        <f t="shared" si="1"/>
        <v>2.1038524985857062E-2</v>
      </c>
      <c r="I251" s="63">
        <f t="shared" si="2"/>
        <v>0.16980771969416381</v>
      </c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2.75" customHeight="1" x14ac:dyDescent="0.35">
      <c r="A252" s="61">
        <v>45962</v>
      </c>
      <c r="B252" s="49">
        <v>72.418914794921875</v>
      </c>
      <c r="C252" s="49">
        <v>94.257949829101563</v>
      </c>
      <c r="D252" s="63">
        <f t="shared" ref="D252:E252" si="253">(B252/B251)-1</f>
        <v>-0.14396653313142971</v>
      </c>
      <c r="E252" s="63">
        <f t="shared" si="253"/>
        <v>1.5539059229362495E-2</v>
      </c>
      <c r="F252" s="63">
        <v>-1.2999999999999999E-3</v>
      </c>
      <c r="G252" s="63">
        <v>3.8E-3</v>
      </c>
      <c r="H252" s="63">
        <f t="shared" si="1"/>
        <v>-0.14776653313142971</v>
      </c>
      <c r="I252" s="63">
        <f t="shared" si="2"/>
        <v>1.1739059229362496E-2</v>
      </c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2.75" customHeight="1" x14ac:dyDescent="0.35">
      <c r="A253" s="61">
        <v>45992</v>
      </c>
      <c r="B253" s="49">
        <v>77.060592651367188</v>
      </c>
      <c r="C253" s="49">
        <v>88.041702270507813</v>
      </c>
      <c r="D253" s="63">
        <f t="shared" ref="D253:E253" si="254">(B253/B252)-1</f>
        <v>6.4094827568042856E-2</v>
      </c>
      <c r="E253" s="63">
        <f t="shared" si="254"/>
        <v>-6.5949318544105684E-2</v>
      </c>
      <c r="F253" s="63">
        <v>-3.5999999999999999E-3</v>
      </c>
      <c r="G253" s="63">
        <v>-1.06E-2</v>
      </c>
      <c r="H253" s="63">
        <f t="shared" si="1"/>
        <v>7.4694827568042854E-2</v>
      </c>
      <c r="I253" s="63">
        <f t="shared" si="2"/>
        <v>-5.5349318544105686E-2</v>
      </c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2.75" customHeight="1" x14ac:dyDescent="0.35">
      <c r="A254" s="43"/>
      <c r="B254" s="44"/>
      <c r="C254" s="44"/>
      <c r="D254" s="47"/>
      <c r="E254" s="47"/>
      <c r="F254" s="45"/>
      <c r="G254" s="7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27.75" customHeight="1" x14ac:dyDescent="0.35">
      <c r="A255" s="45"/>
      <c r="B255" s="45"/>
      <c r="C255" s="45"/>
      <c r="D255" s="76"/>
      <c r="E255" s="135" t="s">
        <v>100</v>
      </c>
      <c r="F255" s="134"/>
      <c r="G255" s="76"/>
      <c r="H255" s="135" t="s">
        <v>12</v>
      </c>
      <c r="I255" s="13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27.75" customHeight="1" x14ac:dyDescent="0.35">
      <c r="A256" s="136" t="s">
        <v>101</v>
      </c>
      <c r="B256" s="137"/>
      <c r="C256" s="138"/>
      <c r="D256" s="77"/>
      <c r="E256" s="78" t="s">
        <v>102</v>
      </c>
      <c r="F256" s="77" t="s">
        <v>103</v>
      </c>
      <c r="G256" s="77"/>
      <c r="H256" s="78" t="s">
        <v>102</v>
      </c>
      <c r="I256" s="77" t="s">
        <v>103</v>
      </c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2.75" customHeight="1" x14ac:dyDescent="0.35">
      <c r="A257" s="79" t="s">
        <v>104</v>
      </c>
      <c r="B257" s="80" t="s">
        <v>11</v>
      </c>
      <c r="C257" s="80" t="s">
        <v>12</v>
      </c>
      <c r="D257" s="47"/>
      <c r="E257" s="75">
        <f>B260-0.0001</f>
        <v>-0.36546128272942024</v>
      </c>
      <c r="F257" s="45">
        <f t="array" ref="F257:F288">FREQUENCY(H3:H253,E257:E287)</f>
        <v>0</v>
      </c>
      <c r="G257" s="81"/>
      <c r="H257" s="75">
        <f>C260-0.0001</f>
        <v>-0.39295467501166437</v>
      </c>
      <c r="I257" s="45">
        <f t="array" ref="I257:I288">FREQUENCY(I3:I253,H257:H287)</f>
        <v>0</v>
      </c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2.75" customHeight="1" x14ac:dyDescent="0.35">
      <c r="A258" s="82" t="s">
        <v>105</v>
      </c>
      <c r="B258" s="83">
        <f t="shared" ref="B258:C258" si="255">AVERAGE(H3:H253)</f>
        <v>1.1095016095184635E-2</v>
      </c>
      <c r="C258" s="83">
        <f t="shared" si="255"/>
        <v>6.5523233642478546E-3</v>
      </c>
      <c r="D258" s="47"/>
      <c r="E258" s="75">
        <f t="shared" ref="E258:E287" si="256">E257+$B$269</f>
        <v>-0.34198043463137862</v>
      </c>
      <c r="F258" s="45">
        <v>1</v>
      </c>
      <c r="G258" s="75"/>
      <c r="H258" s="75">
        <f t="shared" ref="H258:H287" si="257">H257+$C$269</f>
        <v>-0.36925786115307596</v>
      </c>
      <c r="I258" s="45">
        <v>1</v>
      </c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2.75" customHeight="1" x14ac:dyDescent="0.35">
      <c r="A259" s="82" t="s">
        <v>106</v>
      </c>
      <c r="B259" s="83">
        <f t="shared" ref="B259:C259" si="258">MEDIAN(H3:H253)</f>
        <v>1.1586718604616787E-2</v>
      </c>
      <c r="C259" s="83">
        <f t="shared" si="258"/>
        <v>7.4499800004526181E-3</v>
      </c>
      <c r="D259" s="47"/>
      <c r="E259" s="75">
        <f t="shared" si="256"/>
        <v>-0.31849958653333699</v>
      </c>
      <c r="F259" s="45">
        <v>1</v>
      </c>
      <c r="G259" s="75"/>
      <c r="H259" s="75">
        <f t="shared" si="257"/>
        <v>-0.34556104729448756</v>
      </c>
      <c r="I259" s="45">
        <v>0</v>
      </c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2.75" customHeight="1" x14ac:dyDescent="0.35">
      <c r="A260" s="82" t="s">
        <v>30</v>
      </c>
      <c r="B260" s="83">
        <f t="shared" ref="B260:C260" si="259">MIN(H3:H253)</f>
        <v>-0.36536128272942026</v>
      </c>
      <c r="C260" s="83">
        <f t="shared" si="259"/>
        <v>-0.39285467501166438</v>
      </c>
      <c r="D260" s="47"/>
      <c r="E260" s="75">
        <f t="shared" si="256"/>
        <v>-0.29501873843529536</v>
      </c>
      <c r="F260" s="45">
        <v>0</v>
      </c>
      <c r="G260" s="75"/>
      <c r="H260" s="75">
        <f t="shared" si="257"/>
        <v>-0.32186423343589915</v>
      </c>
      <c r="I260" s="45">
        <v>0</v>
      </c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2.75" customHeight="1" x14ac:dyDescent="0.35">
      <c r="A261" s="82" t="s">
        <v>31</v>
      </c>
      <c r="B261" s="83">
        <f t="shared" ref="B261:C261" si="260">MAX(H3:H253)</f>
        <v>0.33886416021182808</v>
      </c>
      <c r="C261" s="83">
        <f t="shared" si="260"/>
        <v>0.31784974074598837</v>
      </c>
      <c r="D261" s="47"/>
      <c r="E261" s="75">
        <f t="shared" si="256"/>
        <v>-0.27153789033725373</v>
      </c>
      <c r="F261" s="45">
        <v>0</v>
      </c>
      <c r="G261" s="75"/>
      <c r="H261" s="75">
        <f t="shared" si="257"/>
        <v>-0.29816741957731074</v>
      </c>
      <c r="I261" s="45">
        <v>0</v>
      </c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2.75" customHeight="1" x14ac:dyDescent="0.35">
      <c r="A262" s="82" t="s">
        <v>32</v>
      </c>
      <c r="B262" s="84">
        <f t="shared" ref="B262:C262" si="261">_xlfn.VAR.S(H3:H253)</f>
        <v>8.6356035015461279E-3</v>
      </c>
      <c r="C262" s="84">
        <f t="shared" si="261"/>
        <v>7.564516038367366E-3</v>
      </c>
      <c r="D262" s="47"/>
      <c r="E262" s="75">
        <f t="shared" si="256"/>
        <v>-0.24805704223921213</v>
      </c>
      <c r="F262" s="45">
        <v>0</v>
      </c>
      <c r="G262" s="75"/>
      <c r="H262" s="75">
        <f t="shared" si="257"/>
        <v>-0.27447060571872234</v>
      </c>
      <c r="I262" s="45">
        <v>1</v>
      </c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2.75" customHeight="1" x14ac:dyDescent="0.35">
      <c r="A263" s="82" t="s">
        <v>107</v>
      </c>
      <c r="B263" s="83">
        <f t="shared" ref="B263:C263" si="262">_xlfn.STDEV.S(H3:H253)</f>
        <v>9.2927947903448979E-2</v>
      </c>
      <c r="C263" s="83">
        <f t="shared" si="262"/>
        <v>8.6974226287834064E-2</v>
      </c>
      <c r="D263" s="47"/>
      <c r="E263" s="75">
        <f t="shared" si="256"/>
        <v>-0.22457619414117053</v>
      </c>
      <c r="F263" s="45">
        <v>0</v>
      </c>
      <c r="G263" s="75"/>
      <c r="H263" s="75">
        <f t="shared" si="257"/>
        <v>-0.25077379186013393</v>
      </c>
      <c r="I263" s="45">
        <v>0</v>
      </c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2.75" customHeight="1" x14ac:dyDescent="0.35">
      <c r="A264" s="82" t="s">
        <v>34</v>
      </c>
      <c r="B264" s="67">
        <f t="shared" ref="B264:C264" si="263">KURT(H3:H253)</f>
        <v>1.6311828510267081</v>
      </c>
      <c r="C264" s="67">
        <f t="shared" si="263"/>
        <v>2.9047535799462278</v>
      </c>
      <c r="D264" s="47"/>
      <c r="E264" s="75">
        <f t="shared" si="256"/>
        <v>-0.20109534604312893</v>
      </c>
      <c r="F264" s="45">
        <v>2</v>
      </c>
      <c r="G264" s="75"/>
      <c r="H264" s="75">
        <f t="shared" si="257"/>
        <v>-0.2270769780015455</v>
      </c>
      <c r="I264" s="45">
        <v>1</v>
      </c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2.75" customHeight="1" x14ac:dyDescent="0.35">
      <c r="A265" s="82" t="s">
        <v>35</v>
      </c>
      <c r="B265" s="67">
        <f t="shared" ref="B265:C265" si="264">SKEW(H3:H253)</f>
        <v>-0.20587105000696945</v>
      </c>
      <c r="C265" s="67">
        <f t="shared" si="264"/>
        <v>-0.14500233078662175</v>
      </c>
      <c r="D265" s="47"/>
      <c r="E265" s="75">
        <f t="shared" si="256"/>
        <v>-0.17761449794508732</v>
      </c>
      <c r="F265" s="45">
        <v>1</v>
      </c>
      <c r="G265" s="75"/>
      <c r="H265" s="75">
        <f t="shared" si="257"/>
        <v>-0.20338016414295707</v>
      </c>
      <c r="I265" s="45">
        <v>1</v>
      </c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8" customHeight="1" x14ac:dyDescent="0.35">
      <c r="A266" s="85" t="s">
        <v>37</v>
      </c>
      <c r="B266" s="86">
        <f t="shared" ref="B266:C266" si="265">INDEX($A$3:$A$253,MATCH(MAX(H3:H253),H3:H253,0))</f>
        <v>44165</v>
      </c>
      <c r="C266" s="86">
        <f t="shared" si="265"/>
        <v>39964</v>
      </c>
      <c r="D266" s="47"/>
      <c r="E266" s="75">
        <f t="shared" si="256"/>
        <v>-0.15413364984704572</v>
      </c>
      <c r="F266" s="45">
        <v>3</v>
      </c>
      <c r="G266" s="75"/>
      <c r="H266" s="75">
        <f t="shared" si="257"/>
        <v>-0.17968335028436863</v>
      </c>
      <c r="I266" s="45">
        <v>1</v>
      </c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9.5" customHeight="1" x14ac:dyDescent="0.35">
      <c r="A267" s="85" t="s">
        <v>38</v>
      </c>
      <c r="B267" s="86">
        <f t="shared" ref="B267:C267" si="266">INDEX($A$3:$A$253,MATCH(MIN(H3:H253),H3:H253,0))</f>
        <v>44804</v>
      </c>
      <c r="C267" s="86">
        <f t="shared" si="266"/>
        <v>39752</v>
      </c>
      <c r="D267" s="47"/>
      <c r="E267" s="75">
        <f t="shared" si="256"/>
        <v>-0.13065280174900412</v>
      </c>
      <c r="F267" s="45">
        <v>5</v>
      </c>
      <c r="G267" s="75"/>
      <c r="H267" s="75">
        <f t="shared" si="257"/>
        <v>-0.1559865364257802</v>
      </c>
      <c r="I267" s="45">
        <v>2</v>
      </c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2.75" customHeight="1" x14ac:dyDescent="0.35">
      <c r="A268" s="82" t="s">
        <v>108</v>
      </c>
      <c r="B268" s="67">
        <f t="shared" ref="B268:C268" si="267">B261-B260</f>
        <v>0.70422544294124834</v>
      </c>
      <c r="C268" s="67">
        <f t="shared" si="267"/>
        <v>0.71070441575765275</v>
      </c>
      <c r="D268" s="47"/>
      <c r="E268" s="75">
        <f t="shared" si="256"/>
        <v>-0.10717195365096251</v>
      </c>
      <c r="F268" s="45">
        <v>9</v>
      </c>
      <c r="G268" s="75"/>
      <c r="H268" s="75">
        <f t="shared" si="257"/>
        <v>-0.13228972256719176</v>
      </c>
      <c r="I268" s="45">
        <v>3</v>
      </c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2.75" customHeight="1" x14ac:dyDescent="0.35">
      <c r="A269" s="82" t="s">
        <v>102</v>
      </c>
      <c r="B269" s="87">
        <f t="shared" ref="B269:C269" si="268">(B268+0.0002)/30</f>
        <v>2.3480848098041612E-2</v>
      </c>
      <c r="C269" s="87">
        <f t="shared" si="268"/>
        <v>2.3696813858588423E-2</v>
      </c>
      <c r="D269" s="47"/>
      <c r="E269" s="75">
        <f t="shared" si="256"/>
        <v>-8.3691105552920891E-2</v>
      </c>
      <c r="F269" s="45">
        <v>14</v>
      </c>
      <c r="G269" s="75"/>
      <c r="H269" s="75">
        <f t="shared" si="257"/>
        <v>-0.10859290870860334</v>
      </c>
      <c r="I269" s="45">
        <v>5</v>
      </c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2.75" customHeight="1" x14ac:dyDescent="0.35">
      <c r="A270" s="43"/>
      <c r="B270" s="88"/>
      <c r="C270" s="44"/>
      <c r="D270" s="47"/>
      <c r="E270" s="75">
        <f t="shared" si="256"/>
        <v>-6.0210257454879276E-2</v>
      </c>
      <c r="F270" s="45">
        <v>12</v>
      </c>
      <c r="G270" s="75"/>
      <c r="H270" s="75">
        <f t="shared" si="257"/>
        <v>-8.4896094850014925E-2</v>
      </c>
      <c r="I270" s="45">
        <v>15</v>
      </c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2.75" customHeight="1" x14ac:dyDescent="0.35">
      <c r="A271" s="43"/>
      <c r="B271" s="44"/>
      <c r="C271" s="44"/>
      <c r="D271" s="47"/>
      <c r="E271" s="75">
        <f t="shared" si="256"/>
        <v>-3.6729409356837661E-2</v>
      </c>
      <c r="F271" s="45">
        <v>24</v>
      </c>
      <c r="G271" s="75"/>
      <c r="H271" s="75">
        <f t="shared" si="257"/>
        <v>-6.1199280991426505E-2</v>
      </c>
      <c r="I271" s="45">
        <v>17</v>
      </c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2.75" customHeight="1" x14ac:dyDescent="0.35">
      <c r="A272" s="43"/>
      <c r="B272" s="44"/>
      <c r="C272" s="44"/>
      <c r="D272" s="47"/>
      <c r="E272" s="75">
        <f t="shared" si="256"/>
        <v>-1.324856125879605E-2</v>
      </c>
      <c r="F272" s="45">
        <v>20</v>
      </c>
      <c r="G272" s="75"/>
      <c r="H272" s="75">
        <f t="shared" si="257"/>
        <v>-3.7502467132838085E-2</v>
      </c>
      <c r="I272" s="45">
        <v>22</v>
      </c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2.75" customHeight="1" x14ac:dyDescent="0.35">
      <c r="A273" s="43"/>
      <c r="B273" s="44"/>
      <c r="C273" s="44"/>
      <c r="D273" s="47"/>
      <c r="E273" s="75">
        <f t="shared" si="256"/>
        <v>1.0232286839245562E-2</v>
      </c>
      <c r="F273" s="45">
        <v>32</v>
      </c>
      <c r="G273" s="75"/>
      <c r="H273" s="75">
        <f t="shared" si="257"/>
        <v>-1.3805653274249662E-2</v>
      </c>
      <c r="I273" s="45">
        <v>27</v>
      </c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2.75" customHeight="1" x14ac:dyDescent="0.35">
      <c r="A274" s="43"/>
      <c r="B274" s="44"/>
      <c r="C274" s="44"/>
      <c r="D274" s="47"/>
      <c r="E274" s="75">
        <f t="shared" si="256"/>
        <v>3.371313493728717E-2</v>
      </c>
      <c r="F274" s="45">
        <v>27</v>
      </c>
      <c r="G274" s="75"/>
      <c r="H274" s="75">
        <f t="shared" si="257"/>
        <v>9.8911605843387609E-3</v>
      </c>
      <c r="I274" s="45">
        <v>33</v>
      </c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2.75" customHeight="1" x14ac:dyDescent="0.35">
      <c r="A275" s="43"/>
      <c r="B275" s="44"/>
      <c r="C275" s="44"/>
      <c r="D275" s="47"/>
      <c r="E275" s="75">
        <f t="shared" si="256"/>
        <v>5.7193983035328785E-2</v>
      </c>
      <c r="F275" s="45">
        <v>30</v>
      </c>
      <c r="G275" s="75"/>
      <c r="H275" s="75">
        <f t="shared" si="257"/>
        <v>3.3587974442927188E-2</v>
      </c>
      <c r="I275" s="45">
        <v>32</v>
      </c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2.75" customHeight="1" x14ac:dyDescent="0.35">
      <c r="A276" s="43"/>
      <c r="B276" s="44"/>
      <c r="C276" s="44"/>
      <c r="D276" s="47"/>
      <c r="E276" s="75">
        <f t="shared" si="256"/>
        <v>8.06748311333704E-2</v>
      </c>
      <c r="F276" s="45">
        <v>15</v>
      </c>
      <c r="G276" s="75"/>
      <c r="H276" s="75">
        <f t="shared" si="257"/>
        <v>5.7284788301515607E-2</v>
      </c>
      <c r="I276" s="45">
        <v>27</v>
      </c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2.75" customHeight="1" x14ac:dyDescent="0.35">
      <c r="A277" s="43"/>
      <c r="B277" s="44"/>
      <c r="C277" s="44"/>
      <c r="D277" s="47"/>
      <c r="E277" s="75">
        <f t="shared" si="256"/>
        <v>0.10415567923141202</v>
      </c>
      <c r="F277" s="45">
        <v>24</v>
      </c>
      <c r="G277" s="75"/>
      <c r="H277" s="75">
        <f t="shared" si="257"/>
        <v>8.0981602160104027E-2</v>
      </c>
      <c r="I277" s="45">
        <v>28</v>
      </c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2.75" customHeight="1" x14ac:dyDescent="0.35">
      <c r="A278" s="43"/>
      <c r="B278" s="44"/>
      <c r="C278" s="44"/>
      <c r="D278" s="47"/>
      <c r="E278" s="75">
        <f t="shared" si="256"/>
        <v>0.12763652732945363</v>
      </c>
      <c r="F278" s="45">
        <v>10</v>
      </c>
      <c r="G278" s="75"/>
      <c r="H278" s="75">
        <f t="shared" si="257"/>
        <v>0.10467841601869245</v>
      </c>
      <c r="I278" s="45">
        <v>15</v>
      </c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2.75" customHeight="1" x14ac:dyDescent="0.35">
      <c r="A279" s="43"/>
      <c r="B279" s="44"/>
      <c r="C279" s="44"/>
      <c r="D279" s="47"/>
      <c r="E279" s="75">
        <f t="shared" si="256"/>
        <v>0.15111737542749523</v>
      </c>
      <c r="F279" s="45">
        <v>5</v>
      </c>
      <c r="G279" s="75"/>
      <c r="H279" s="75">
        <f t="shared" si="257"/>
        <v>0.12837522987728087</v>
      </c>
      <c r="I279" s="45">
        <v>4</v>
      </c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2.75" customHeight="1" x14ac:dyDescent="0.35">
      <c r="A280" s="43"/>
      <c r="B280" s="44"/>
      <c r="C280" s="44"/>
      <c r="D280" s="47"/>
      <c r="E280" s="75">
        <f t="shared" si="256"/>
        <v>0.17459822352553683</v>
      </c>
      <c r="F280" s="45">
        <v>4</v>
      </c>
      <c r="G280" s="75"/>
      <c r="H280" s="75">
        <f t="shared" si="257"/>
        <v>0.1520720437358693</v>
      </c>
      <c r="I280" s="45">
        <v>3</v>
      </c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2.75" customHeight="1" x14ac:dyDescent="0.35">
      <c r="A281" s="43"/>
      <c r="B281" s="44"/>
      <c r="C281" s="44"/>
      <c r="D281" s="47"/>
      <c r="E281" s="75">
        <f t="shared" si="256"/>
        <v>0.19807907162357843</v>
      </c>
      <c r="F281" s="45">
        <v>5</v>
      </c>
      <c r="G281" s="75"/>
      <c r="H281" s="75">
        <f t="shared" si="257"/>
        <v>0.17576885759445773</v>
      </c>
      <c r="I281" s="45">
        <v>5</v>
      </c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2.75" customHeight="1" x14ac:dyDescent="0.35">
      <c r="A282" s="43"/>
      <c r="B282" s="44"/>
      <c r="C282" s="44"/>
      <c r="D282" s="47"/>
      <c r="E282" s="75">
        <f t="shared" si="256"/>
        <v>0.22155991972162004</v>
      </c>
      <c r="F282" s="45">
        <v>5</v>
      </c>
      <c r="G282" s="75"/>
      <c r="H282" s="75">
        <f t="shared" si="257"/>
        <v>0.19946567145304617</v>
      </c>
      <c r="I282" s="45">
        <v>3</v>
      </c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2.75" customHeight="1" x14ac:dyDescent="0.35">
      <c r="A283" s="43"/>
      <c r="B283" s="44"/>
      <c r="C283" s="44"/>
      <c r="D283" s="47"/>
      <c r="E283" s="75">
        <f t="shared" si="256"/>
        <v>0.24504076781966164</v>
      </c>
      <c r="F283" s="45">
        <v>1</v>
      </c>
      <c r="G283" s="75"/>
      <c r="H283" s="75">
        <f t="shared" si="257"/>
        <v>0.2231624853116346</v>
      </c>
      <c r="I283" s="45">
        <v>1</v>
      </c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2.75" customHeight="1" x14ac:dyDescent="0.35">
      <c r="A284" s="43"/>
      <c r="B284" s="44"/>
      <c r="C284" s="44"/>
      <c r="D284" s="47"/>
      <c r="E284" s="75">
        <f t="shared" si="256"/>
        <v>0.26852161591770324</v>
      </c>
      <c r="F284" s="45">
        <v>0</v>
      </c>
      <c r="G284" s="75"/>
      <c r="H284" s="75">
        <f t="shared" si="257"/>
        <v>0.24685929917022303</v>
      </c>
      <c r="I284" s="45">
        <v>2</v>
      </c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2.75" customHeight="1" x14ac:dyDescent="0.35">
      <c r="A285" s="43"/>
      <c r="B285" s="44"/>
      <c r="C285" s="44"/>
      <c r="D285" s="47"/>
      <c r="E285" s="75">
        <f t="shared" si="256"/>
        <v>0.29200246401574487</v>
      </c>
      <c r="F285" s="45">
        <v>0</v>
      </c>
      <c r="G285" s="75"/>
      <c r="H285" s="75">
        <f t="shared" si="257"/>
        <v>0.27055611302881144</v>
      </c>
      <c r="I285" s="45">
        <v>0</v>
      </c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2.75" customHeight="1" x14ac:dyDescent="0.35">
      <c r="A286" s="43"/>
      <c r="B286" s="44"/>
      <c r="C286" s="44"/>
      <c r="D286" s="47"/>
      <c r="E286" s="75">
        <f t="shared" si="256"/>
        <v>0.3154833121137865</v>
      </c>
      <c r="F286" s="45">
        <v>0</v>
      </c>
      <c r="G286" s="75"/>
      <c r="H286" s="75">
        <f t="shared" si="257"/>
        <v>0.29425292688739985</v>
      </c>
      <c r="I286" s="45">
        <v>0</v>
      </c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2.75" customHeight="1" x14ac:dyDescent="0.35">
      <c r="A287" s="43"/>
      <c r="B287" s="44"/>
      <c r="C287" s="44"/>
      <c r="D287" s="47"/>
      <c r="E287" s="75">
        <f t="shared" si="256"/>
        <v>0.33896416021182812</v>
      </c>
      <c r="F287" s="45">
        <v>1</v>
      </c>
      <c r="G287" s="75"/>
      <c r="H287" s="75">
        <f t="shared" si="257"/>
        <v>0.31794974074598825</v>
      </c>
      <c r="I287" s="45">
        <v>2</v>
      </c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2.75" customHeight="1" x14ac:dyDescent="0.35">
      <c r="A288" s="43"/>
      <c r="B288" s="44"/>
      <c r="C288" s="44"/>
      <c r="D288" s="47"/>
      <c r="E288" s="75"/>
      <c r="F288" s="45">
        <v>0</v>
      </c>
      <c r="G288" s="75"/>
      <c r="H288" s="45"/>
      <c r="I288" s="45">
        <v>0</v>
      </c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2.75" customHeight="1" x14ac:dyDescent="0.35">
      <c r="A289" s="43"/>
      <c r="B289" s="44"/>
      <c r="C289" s="44"/>
      <c r="D289" s="47"/>
      <c r="E289" s="75"/>
      <c r="F289" s="45"/>
      <c r="G289" s="7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2.75" customHeight="1" x14ac:dyDescent="0.35">
      <c r="A290" s="43"/>
      <c r="B290" s="44"/>
      <c r="C290" s="44"/>
      <c r="D290" s="47"/>
      <c r="E290" s="47"/>
      <c r="F290" s="45" t="e">
        <f ca="1">SUM(ANCHORARRAY(F257))</f>
        <v>#NAME?</v>
      </c>
      <c r="G290" s="75"/>
      <c r="H290" s="45"/>
      <c r="I290" s="45" t="e">
        <f ca="1">SUM(ANCHORARRAY(I257))</f>
        <v>#NAME?</v>
      </c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2.75" customHeight="1" x14ac:dyDescent="0.35">
      <c r="A291" s="43"/>
      <c r="B291" s="44"/>
      <c r="C291" s="44"/>
      <c r="D291" s="47"/>
      <c r="E291" s="47"/>
      <c r="F291" s="45"/>
      <c r="G291" s="7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2.75" customHeight="1" x14ac:dyDescent="0.35">
      <c r="A292" s="43"/>
      <c r="B292" s="44"/>
      <c r="C292" s="44"/>
      <c r="D292" s="47"/>
      <c r="E292" s="47"/>
      <c r="F292" s="45"/>
      <c r="G292" s="7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2.75" customHeight="1" x14ac:dyDescent="0.35">
      <c r="A293" s="43"/>
      <c r="B293" s="44"/>
      <c r="C293" s="44"/>
      <c r="D293" s="47"/>
      <c r="E293" s="47"/>
      <c r="F293" s="45"/>
      <c r="G293" s="7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2.75" customHeight="1" x14ac:dyDescent="0.35">
      <c r="A294" s="43"/>
      <c r="B294" s="44"/>
      <c r="C294" s="44"/>
      <c r="D294" s="47"/>
      <c r="E294" s="47"/>
      <c r="F294" s="45"/>
      <c r="G294" s="7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2.75" customHeight="1" x14ac:dyDescent="0.35">
      <c r="A295" s="43"/>
      <c r="B295" s="44"/>
      <c r="C295" s="44"/>
      <c r="D295" s="47"/>
      <c r="E295" s="47"/>
      <c r="F295" s="45"/>
      <c r="G295" s="7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2.75" customHeight="1" x14ac:dyDescent="0.35">
      <c r="A296" s="43"/>
      <c r="B296" s="44"/>
      <c r="C296" s="44"/>
      <c r="D296" s="47"/>
      <c r="E296" s="47"/>
      <c r="F296" s="45"/>
      <c r="G296" s="7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2.75" customHeight="1" x14ac:dyDescent="0.35">
      <c r="A297" s="43"/>
      <c r="B297" s="44"/>
      <c r="C297" s="44"/>
      <c r="D297" s="47"/>
      <c r="E297" s="47"/>
      <c r="F297" s="45"/>
      <c r="G297" s="7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2.75" customHeight="1" x14ac:dyDescent="0.35">
      <c r="A298" s="43"/>
      <c r="B298" s="44"/>
      <c r="C298" s="44"/>
      <c r="D298" s="47"/>
      <c r="E298" s="47"/>
      <c r="F298" s="45"/>
      <c r="G298" s="7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2.75" customHeight="1" x14ac:dyDescent="0.35">
      <c r="A299" s="43"/>
      <c r="B299" s="44"/>
      <c r="C299" s="44"/>
      <c r="D299" s="47"/>
      <c r="E299" s="47"/>
      <c r="F299" s="45"/>
      <c r="G299" s="7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2.75" customHeight="1" x14ac:dyDescent="0.35">
      <c r="A300" s="43"/>
      <c r="B300" s="44"/>
      <c r="C300" s="44"/>
      <c r="D300" s="47"/>
      <c r="E300" s="47"/>
      <c r="F300" s="45"/>
      <c r="G300" s="7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2.75" customHeight="1" x14ac:dyDescent="0.35">
      <c r="A301" s="43"/>
      <c r="B301" s="44"/>
      <c r="C301" s="44"/>
      <c r="D301" s="47"/>
      <c r="E301" s="47"/>
      <c r="F301" s="45"/>
      <c r="G301" s="7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2.75" customHeight="1" x14ac:dyDescent="0.35">
      <c r="A302" s="43"/>
      <c r="B302" s="44"/>
      <c r="C302" s="44"/>
      <c r="D302" s="47"/>
      <c r="E302" s="47"/>
      <c r="F302" s="45"/>
      <c r="G302" s="7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2.75" customHeight="1" x14ac:dyDescent="0.35">
      <c r="A303" s="43"/>
      <c r="B303" s="44"/>
      <c r="C303" s="44"/>
      <c r="D303" s="47"/>
      <c r="E303" s="47"/>
      <c r="F303" s="45"/>
      <c r="G303" s="7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2.75" customHeight="1" x14ac:dyDescent="0.35">
      <c r="A304" s="43"/>
      <c r="B304" s="44"/>
      <c r="C304" s="44"/>
      <c r="D304" s="47"/>
      <c r="E304" s="47"/>
      <c r="F304" s="45"/>
      <c r="G304" s="7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2.75" customHeight="1" x14ac:dyDescent="0.35">
      <c r="A305" s="43"/>
      <c r="B305" s="44"/>
      <c r="C305" s="44"/>
      <c r="D305" s="47"/>
      <c r="E305" s="47"/>
      <c r="F305" s="45"/>
      <c r="G305" s="7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2.75" customHeight="1" x14ac:dyDescent="0.35">
      <c r="A306" s="43"/>
      <c r="B306" s="44"/>
      <c r="C306" s="44"/>
      <c r="D306" s="47"/>
      <c r="E306" s="47"/>
      <c r="F306" s="45"/>
      <c r="G306" s="7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2.75" customHeight="1" x14ac:dyDescent="0.35">
      <c r="A307" s="43"/>
      <c r="B307" s="44"/>
      <c r="C307" s="44"/>
      <c r="D307" s="47"/>
      <c r="E307" s="47"/>
      <c r="F307" s="45"/>
      <c r="G307" s="7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2.75" customHeight="1" x14ac:dyDescent="0.35">
      <c r="A308" s="43"/>
      <c r="B308" s="44"/>
      <c r="C308" s="44"/>
      <c r="D308" s="47"/>
      <c r="E308" s="47"/>
      <c r="F308" s="45"/>
      <c r="G308" s="7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2.75" customHeight="1" x14ac:dyDescent="0.35">
      <c r="A309" s="43"/>
      <c r="B309" s="44"/>
      <c r="C309" s="44"/>
      <c r="D309" s="47"/>
      <c r="E309" s="47"/>
      <c r="F309" s="45"/>
      <c r="G309" s="7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2.75" customHeight="1" x14ac:dyDescent="0.35">
      <c r="A310" s="43"/>
      <c r="B310" s="44"/>
      <c r="C310" s="44"/>
      <c r="D310" s="47"/>
      <c r="E310" s="47"/>
      <c r="F310" s="45"/>
      <c r="G310" s="7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2.75" customHeight="1" x14ac:dyDescent="0.35">
      <c r="A311" s="43"/>
      <c r="B311" s="44"/>
      <c r="C311" s="44"/>
      <c r="D311" s="47"/>
      <c r="E311" s="47"/>
      <c r="F311" s="45"/>
      <c r="G311" s="7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2.75" customHeight="1" x14ac:dyDescent="0.35">
      <c r="A312" s="43"/>
      <c r="B312" s="44"/>
      <c r="C312" s="44"/>
      <c r="D312" s="47"/>
      <c r="E312" s="47"/>
      <c r="F312" s="45"/>
      <c r="G312" s="7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2.75" customHeight="1" x14ac:dyDescent="0.35">
      <c r="A313" s="43"/>
      <c r="B313" s="44"/>
      <c r="C313" s="44"/>
      <c r="D313" s="47"/>
      <c r="E313" s="47"/>
      <c r="F313" s="45"/>
      <c r="G313" s="7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2.75" customHeight="1" x14ac:dyDescent="0.35">
      <c r="A314" s="43"/>
      <c r="B314" s="44"/>
      <c r="C314" s="44"/>
      <c r="D314" s="47"/>
      <c r="E314" s="47"/>
      <c r="F314" s="45"/>
      <c r="G314" s="7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2.75" customHeight="1" x14ac:dyDescent="0.35">
      <c r="A315" s="43"/>
      <c r="B315" s="44"/>
      <c r="C315" s="44"/>
      <c r="D315" s="47"/>
      <c r="E315" s="47"/>
      <c r="F315" s="45"/>
      <c r="G315" s="7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2.75" customHeight="1" x14ac:dyDescent="0.35">
      <c r="A316" s="43"/>
      <c r="B316" s="44"/>
      <c r="C316" s="44"/>
      <c r="D316" s="47"/>
      <c r="E316" s="47"/>
      <c r="F316" s="45"/>
      <c r="G316" s="7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2.75" customHeight="1" x14ac:dyDescent="0.35">
      <c r="A317" s="43"/>
      <c r="B317" s="44"/>
      <c r="C317" s="44"/>
      <c r="D317" s="47"/>
      <c r="E317" s="47"/>
      <c r="F317" s="45"/>
      <c r="G317" s="7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2.75" customHeight="1" x14ac:dyDescent="0.35">
      <c r="A318" s="43"/>
      <c r="B318" s="44"/>
      <c r="C318" s="44"/>
      <c r="D318" s="47"/>
      <c r="E318" s="47"/>
      <c r="F318" s="45"/>
      <c r="G318" s="7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2.75" customHeight="1" x14ac:dyDescent="0.35">
      <c r="A319" s="43"/>
      <c r="B319" s="44"/>
      <c r="C319" s="44"/>
      <c r="D319" s="47"/>
      <c r="E319" s="47"/>
      <c r="F319" s="45"/>
      <c r="G319" s="7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2.75" customHeight="1" x14ac:dyDescent="0.35">
      <c r="A320" s="43"/>
      <c r="B320" s="44"/>
      <c r="C320" s="44"/>
      <c r="D320" s="47"/>
      <c r="E320" s="47"/>
      <c r="F320" s="45"/>
      <c r="G320" s="7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2.75" customHeight="1" x14ac:dyDescent="0.35">
      <c r="A321" s="43"/>
      <c r="B321" s="44"/>
      <c r="C321" s="44"/>
      <c r="D321" s="47"/>
      <c r="E321" s="47"/>
      <c r="F321" s="45"/>
      <c r="G321" s="7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2.75" customHeight="1" x14ac:dyDescent="0.35">
      <c r="A322" s="43"/>
      <c r="B322" s="44"/>
      <c r="C322" s="44"/>
      <c r="D322" s="47"/>
      <c r="E322" s="47"/>
      <c r="F322" s="45"/>
      <c r="G322" s="7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2.75" customHeight="1" x14ac:dyDescent="0.35">
      <c r="A323" s="43"/>
      <c r="B323" s="44"/>
      <c r="C323" s="44"/>
      <c r="D323" s="47"/>
      <c r="E323" s="47"/>
      <c r="F323" s="45"/>
      <c r="G323" s="7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2.75" customHeight="1" x14ac:dyDescent="0.35">
      <c r="A324" s="43"/>
      <c r="B324" s="44"/>
      <c r="C324" s="44"/>
      <c r="D324" s="47"/>
      <c r="E324" s="47"/>
      <c r="F324" s="45"/>
      <c r="G324" s="7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2.75" customHeight="1" x14ac:dyDescent="0.35">
      <c r="A325" s="43"/>
      <c r="B325" s="44"/>
      <c r="C325" s="44"/>
      <c r="D325" s="47"/>
      <c r="E325" s="47"/>
      <c r="F325" s="45"/>
      <c r="G325" s="7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2.75" customHeight="1" x14ac:dyDescent="0.35">
      <c r="A326" s="43"/>
      <c r="B326" s="44"/>
      <c r="C326" s="44"/>
      <c r="D326" s="47"/>
      <c r="E326" s="47"/>
      <c r="F326" s="45"/>
      <c r="G326" s="7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2.75" customHeight="1" x14ac:dyDescent="0.35">
      <c r="A327" s="43"/>
      <c r="B327" s="44"/>
      <c r="C327" s="44"/>
      <c r="D327" s="47"/>
      <c r="E327" s="47"/>
      <c r="F327" s="45"/>
      <c r="G327" s="7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2.75" customHeight="1" x14ac:dyDescent="0.35">
      <c r="A328" s="43"/>
      <c r="B328" s="44"/>
      <c r="C328" s="44"/>
      <c r="D328" s="47"/>
      <c r="E328" s="47"/>
      <c r="F328" s="45"/>
      <c r="G328" s="7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2.75" customHeight="1" x14ac:dyDescent="0.35">
      <c r="A329" s="43"/>
      <c r="B329" s="44"/>
      <c r="C329" s="44"/>
      <c r="D329" s="47"/>
      <c r="E329" s="47"/>
      <c r="F329" s="45"/>
      <c r="G329" s="7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2.75" customHeight="1" x14ac:dyDescent="0.35">
      <c r="A330" s="43"/>
      <c r="B330" s="44"/>
      <c r="C330" s="44"/>
      <c r="D330" s="47"/>
      <c r="E330" s="47"/>
      <c r="F330" s="45"/>
      <c r="G330" s="7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2.75" customHeight="1" x14ac:dyDescent="0.35">
      <c r="A331" s="43"/>
      <c r="B331" s="44"/>
      <c r="C331" s="44"/>
      <c r="D331" s="47"/>
      <c r="E331" s="47"/>
      <c r="F331" s="45"/>
      <c r="G331" s="7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2.75" customHeight="1" x14ac:dyDescent="0.35">
      <c r="A332" s="43"/>
      <c r="B332" s="44"/>
      <c r="C332" s="44"/>
      <c r="D332" s="47"/>
      <c r="E332" s="47"/>
      <c r="F332" s="45"/>
      <c r="G332" s="7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2.75" customHeight="1" x14ac:dyDescent="0.35">
      <c r="A333" s="43"/>
      <c r="B333" s="44"/>
      <c r="C333" s="44"/>
      <c r="D333" s="47"/>
      <c r="E333" s="47"/>
      <c r="F333" s="45"/>
      <c r="G333" s="7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2.75" customHeight="1" x14ac:dyDescent="0.35">
      <c r="A334" s="43"/>
      <c r="B334" s="44"/>
      <c r="C334" s="44"/>
      <c r="D334" s="47"/>
      <c r="E334" s="47"/>
      <c r="F334" s="45"/>
      <c r="G334" s="7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2.75" customHeight="1" x14ac:dyDescent="0.35">
      <c r="A335" s="43"/>
      <c r="B335" s="44"/>
      <c r="C335" s="44"/>
      <c r="D335" s="47"/>
      <c r="E335" s="47"/>
      <c r="F335" s="45"/>
      <c r="G335" s="7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2.75" customHeight="1" x14ac:dyDescent="0.35">
      <c r="A336" s="43"/>
      <c r="B336" s="44"/>
      <c r="C336" s="44"/>
      <c r="D336" s="47"/>
      <c r="E336" s="47"/>
      <c r="F336" s="45"/>
      <c r="G336" s="7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2.75" customHeight="1" x14ac:dyDescent="0.35">
      <c r="A337" s="43"/>
      <c r="B337" s="44"/>
      <c r="C337" s="44"/>
      <c r="D337" s="47"/>
      <c r="E337" s="47"/>
      <c r="F337" s="45"/>
      <c r="G337" s="7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2.75" customHeight="1" x14ac:dyDescent="0.35">
      <c r="A338" s="43"/>
      <c r="B338" s="44"/>
      <c r="C338" s="44"/>
      <c r="D338" s="47"/>
      <c r="E338" s="47"/>
      <c r="F338" s="45"/>
      <c r="G338" s="7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2.75" customHeight="1" x14ac:dyDescent="0.35">
      <c r="A339" s="43"/>
      <c r="B339" s="44"/>
      <c r="C339" s="44"/>
      <c r="D339" s="47"/>
      <c r="E339" s="47"/>
      <c r="F339" s="45"/>
      <c r="G339" s="7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2.75" customHeight="1" x14ac:dyDescent="0.35">
      <c r="A340" s="43"/>
      <c r="B340" s="44"/>
      <c r="C340" s="44"/>
      <c r="D340" s="47"/>
      <c r="E340" s="47"/>
      <c r="F340" s="45"/>
      <c r="G340" s="7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2.75" customHeight="1" x14ac:dyDescent="0.35">
      <c r="A341" s="43"/>
      <c r="B341" s="44"/>
      <c r="C341" s="44"/>
      <c r="D341" s="47"/>
      <c r="E341" s="47"/>
      <c r="F341" s="45"/>
      <c r="G341" s="7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2.75" customHeight="1" x14ac:dyDescent="0.35">
      <c r="A342" s="43"/>
      <c r="B342" s="44"/>
      <c r="C342" s="44"/>
      <c r="D342" s="47"/>
      <c r="E342" s="47"/>
      <c r="F342" s="45"/>
      <c r="G342" s="7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2.75" customHeight="1" x14ac:dyDescent="0.35">
      <c r="A343" s="43"/>
      <c r="B343" s="44"/>
      <c r="C343" s="44"/>
      <c r="D343" s="47"/>
      <c r="E343" s="47"/>
      <c r="F343" s="45"/>
      <c r="G343" s="7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2.75" customHeight="1" x14ac:dyDescent="0.35">
      <c r="A344" s="43"/>
      <c r="B344" s="44"/>
      <c r="C344" s="44"/>
      <c r="D344" s="47"/>
      <c r="E344" s="47"/>
      <c r="F344" s="45"/>
      <c r="G344" s="7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2.75" customHeight="1" x14ac:dyDescent="0.35">
      <c r="A345" s="43"/>
      <c r="B345" s="44"/>
      <c r="C345" s="44"/>
      <c r="D345" s="47"/>
      <c r="E345" s="47"/>
      <c r="F345" s="45"/>
      <c r="G345" s="7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2.75" customHeight="1" x14ac:dyDescent="0.35">
      <c r="A346" s="43"/>
      <c r="B346" s="44"/>
      <c r="C346" s="44"/>
      <c r="D346" s="47"/>
      <c r="E346" s="47"/>
      <c r="F346" s="45"/>
      <c r="G346" s="7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2.75" customHeight="1" x14ac:dyDescent="0.35">
      <c r="A347" s="43"/>
      <c r="B347" s="44"/>
      <c r="C347" s="44"/>
      <c r="D347" s="47"/>
      <c r="E347" s="47"/>
      <c r="F347" s="45"/>
      <c r="G347" s="7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2.75" customHeight="1" x14ac:dyDescent="0.35">
      <c r="A348" s="43"/>
      <c r="B348" s="44"/>
      <c r="C348" s="44"/>
      <c r="D348" s="47"/>
      <c r="E348" s="47"/>
      <c r="F348" s="45"/>
      <c r="G348" s="7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2.75" customHeight="1" x14ac:dyDescent="0.35">
      <c r="A349" s="43"/>
      <c r="B349" s="44"/>
      <c r="C349" s="44"/>
      <c r="D349" s="47"/>
      <c r="E349" s="47"/>
      <c r="F349" s="45"/>
      <c r="G349" s="7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2.75" customHeight="1" x14ac:dyDescent="0.35">
      <c r="A350" s="43"/>
      <c r="B350" s="44"/>
      <c r="C350" s="44"/>
      <c r="D350" s="47"/>
      <c r="E350" s="47"/>
      <c r="F350" s="45"/>
      <c r="G350" s="7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2.75" customHeight="1" x14ac:dyDescent="0.35">
      <c r="A351" s="43"/>
      <c r="B351" s="44"/>
      <c r="C351" s="44"/>
      <c r="D351" s="47"/>
      <c r="E351" s="47"/>
      <c r="F351" s="45"/>
      <c r="G351" s="7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2.75" customHeight="1" x14ac:dyDescent="0.35">
      <c r="A352" s="43"/>
      <c r="B352" s="44"/>
      <c r="C352" s="44"/>
      <c r="D352" s="47"/>
      <c r="E352" s="47"/>
      <c r="F352" s="45"/>
      <c r="G352" s="7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2.75" customHeight="1" x14ac:dyDescent="0.35">
      <c r="A353" s="43"/>
      <c r="B353" s="44"/>
      <c r="C353" s="44"/>
      <c r="D353" s="47"/>
      <c r="E353" s="47"/>
      <c r="F353" s="45"/>
      <c r="G353" s="7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2.75" customHeight="1" x14ac:dyDescent="0.35">
      <c r="A354" s="43"/>
      <c r="B354" s="44"/>
      <c r="C354" s="44"/>
      <c r="D354" s="47"/>
      <c r="E354" s="47"/>
      <c r="F354" s="45"/>
      <c r="G354" s="7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2.75" customHeight="1" x14ac:dyDescent="0.35">
      <c r="A355" s="43"/>
      <c r="B355" s="44"/>
      <c r="C355" s="44"/>
      <c r="D355" s="47"/>
      <c r="E355" s="47"/>
      <c r="F355" s="45"/>
      <c r="G355" s="7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2.75" customHeight="1" x14ac:dyDescent="0.35">
      <c r="A356" s="43"/>
      <c r="B356" s="44"/>
      <c r="C356" s="44"/>
      <c r="D356" s="47"/>
      <c r="E356" s="47"/>
      <c r="F356" s="45"/>
      <c r="G356" s="7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2.75" customHeight="1" x14ac:dyDescent="0.35">
      <c r="A357" s="43"/>
      <c r="B357" s="44"/>
      <c r="C357" s="44"/>
      <c r="D357" s="47"/>
      <c r="E357" s="47"/>
      <c r="F357" s="45"/>
      <c r="G357" s="7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2.75" customHeight="1" x14ac:dyDescent="0.35">
      <c r="A358" s="43"/>
      <c r="B358" s="44"/>
      <c r="C358" s="44"/>
      <c r="D358" s="47"/>
      <c r="E358" s="47"/>
      <c r="F358" s="45"/>
      <c r="G358" s="7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2.75" customHeight="1" x14ac:dyDescent="0.35">
      <c r="A359" s="43"/>
      <c r="B359" s="44"/>
      <c r="C359" s="44"/>
      <c r="D359" s="47"/>
      <c r="E359" s="47"/>
      <c r="F359" s="45"/>
      <c r="G359" s="7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2.75" customHeight="1" x14ac:dyDescent="0.35">
      <c r="A360" s="43"/>
      <c r="B360" s="44"/>
      <c r="C360" s="44"/>
      <c r="D360" s="47"/>
      <c r="E360" s="47"/>
      <c r="F360" s="45"/>
      <c r="G360" s="7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2.75" customHeight="1" x14ac:dyDescent="0.35">
      <c r="A361" s="43"/>
      <c r="B361" s="44"/>
      <c r="C361" s="44"/>
      <c r="D361" s="47"/>
      <c r="E361" s="47"/>
      <c r="F361" s="45"/>
      <c r="G361" s="7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2.75" customHeight="1" x14ac:dyDescent="0.35">
      <c r="A362" s="43"/>
      <c r="B362" s="44"/>
      <c r="C362" s="44"/>
      <c r="D362" s="47"/>
      <c r="E362" s="47"/>
      <c r="F362" s="45"/>
      <c r="G362" s="7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2.75" customHeight="1" x14ac:dyDescent="0.35">
      <c r="A363" s="43"/>
      <c r="B363" s="44"/>
      <c r="C363" s="44"/>
      <c r="D363" s="47"/>
      <c r="E363" s="47"/>
      <c r="F363" s="45"/>
      <c r="G363" s="7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2.75" customHeight="1" x14ac:dyDescent="0.35">
      <c r="A364" s="43"/>
      <c r="B364" s="44"/>
      <c r="C364" s="44"/>
      <c r="D364" s="47"/>
      <c r="E364" s="47"/>
      <c r="F364" s="45"/>
      <c r="G364" s="7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2.75" customHeight="1" x14ac:dyDescent="0.35">
      <c r="A365" s="43"/>
      <c r="B365" s="44"/>
      <c r="C365" s="44"/>
      <c r="D365" s="47"/>
      <c r="E365" s="47"/>
      <c r="F365" s="45"/>
      <c r="G365" s="7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2.75" customHeight="1" x14ac:dyDescent="0.35">
      <c r="A366" s="43"/>
      <c r="B366" s="44"/>
      <c r="C366" s="44"/>
      <c r="D366" s="47"/>
      <c r="E366" s="47"/>
      <c r="F366" s="45"/>
      <c r="G366" s="7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2.75" customHeight="1" x14ac:dyDescent="0.35">
      <c r="A367" s="43"/>
      <c r="B367" s="44"/>
      <c r="C367" s="44"/>
      <c r="D367" s="47"/>
      <c r="E367" s="47"/>
      <c r="F367" s="45"/>
      <c r="G367" s="7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2.75" customHeight="1" x14ac:dyDescent="0.35">
      <c r="A368" s="43"/>
      <c r="B368" s="44"/>
      <c r="C368" s="44"/>
      <c r="D368" s="47"/>
      <c r="E368" s="47"/>
      <c r="F368" s="45"/>
      <c r="G368" s="7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2.75" customHeight="1" x14ac:dyDescent="0.35">
      <c r="A369" s="43"/>
      <c r="B369" s="44"/>
      <c r="C369" s="44"/>
      <c r="D369" s="47"/>
      <c r="E369" s="47"/>
      <c r="F369" s="45"/>
      <c r="G369" s="7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2.75" customHeight="1" x14ac:dyDescent="0.35">
      <c r="A370" s="43"/>
      <c r="B370" s="44"/>
      <c r="C370" s="44"/>
      <c r="D370" s="47"/>
      <c r="E370" s="47"/>
      <c r="F370" s="45"/>
      <c r="G370" s="7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2.75" customHeight="1" x14ac:dyDescent="0.35">
      <c r="A371" s="43"/>
      <c r="B371" s="44"/>
      <c r="C371" s="44"/>
      <c r="D371" s="47"/>
      <c r="E371" s="47"/>
      <c r="F371" s="45"/>
      <c r="G371" s="7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2.75" customHeight="1" x14ac:dyDescent="0.35">
      <c r="A372" s="43"/>
      <c r="B372" s="44"/>
      <c r="C372" s="44"/>
      <c r="D372" s="47"/>
      <c r="E372" s="47"/>
      <c r="F372" s="45"/>
      <c r="G372" s="7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2.75" customHeight="1" x14ac:dyDescent="0.35">
      <c r="A373" s="43"/>
      <c r="B373" s="44"/>
      <c r="C373" s="44"/>
      <c r="D373" s="47"/>
      <c r="E373" s="47"/>
      <c r="F373" s="45"/>
      <c r="G373" s="7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2.75" customHeight="1" x14ac:dyDescent="0.35">
      <c r="A374" s="43"/>
      <c r="B374" s="44"/>
      <c r="C374" s="44"/>
      <c r="D374" s="47"/>
      <c r="E374" s="47"/>
      <c r="F374" s="45"/>
      <c r="G374" s="7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2.75" customHeight="1" x14ac:dyDescent="0.35">
      <c r="A375" s="43"/>
      <c r="B375" s="44"/>
      <c r="C375" s="44"/>
      <c r="D375" s="47"/>
      <c r="E375" s="47"/>
      <c r="F375" s="45"/>
      <c r="G375" s="7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2.75" customHeight="1" x14ac:dyDescent="0.35">
      <c r="A376" s="43"/>
      <c r="B376" s="44"/>
      <c r="C376" s="44"/>
      <c r="D376" s="47"/>
      <c r="E376" s="47"/>
      <c r="F376" s="45"/>
      <c r="G376" s="7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2.75" customHeight="1" x14ac:dyDescent="0.35">
      <c r="A377" s="43"/>
      <c r="B377" s="44"/>
      <c r="C377" s="44"/>
      <c r="D377" s="47"/>
      <c r="E377" s="47"/>
      <c r="F377" s="45"/>
      <c r="G377" s="7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2.75" customHeight="1" x14ac:dyDescent="0.35">
      <c r="A378" s="43"/>
      <c r="B378" s="44"/>
      <c r="C378" s="44"/>
      <c r="D378" s="47"/>
      <c r="E378" s="47"/>
      <c r="F378" s="45"/>
      <c r="G378" s="7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2.75" customHeight="1" x14ac:dyDescent="0.35">
      <c r="A379" s="43"/>
      <c r="B379" s="44"/>
      <c r="C379" s="44"/>
      <c r="D379" s="47"/>
      <c r="E379" s="47"/>
      <c r="F379" s="45"/>
      <c r="G379" s="7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2.75" customHeight="1" x14ac:dyDescent="0.35">
      <c r="A380" s="43"/>
      <c r="B380" s="44"/>
      <c r="C380" s="44"/>
      <c r="D380" s="47"/>
      <c r="E380" s="47"/>
      <c r="F380" s="45"/>
      <c r="G380" s="7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2.75" customHeight="1" x14ac:dyDescent="0.35">
      <c r="A381" s="43"/>
      <c r="B381" s="44"/>
      <c r="C381" s="44"/>
      <c r="D381" s="47"/>
      <c r="E381" s="47"/>
      <c r="F381" s="45"/>
      <c r="G381" s="7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2.75" customHeight="1" x14ac:dyDescent="0.35">
      <c r="A382" s="43"/>
      <c r="B382" s="44"/>
      <c r="C382" s="44"/>
      <c r="D382" s="47"/>
      <c r="E382" s="47"/>
      <c r="F382" s="45"/>
      <c r="G382" s="7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2.75" customHeight="1" x14ac:dyDescent="0.35">
      <c r="A383" s="43"/>
      <c r="B383" s="44"/>
      <c r="C383" s="44"/>
      <c r="D383" s="47"/>
      <c r="E383" s="47"/>
      <c r="F383" s="45"/>
      <c r="G383" s="7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2.75" customHeight="1" x14ac:dyDescent="0.35">
      <c r="A384" s="43"/>
      <c r="B384" s="44"/>
      <c r="C384" s="44"/>
      <c r="D384" s="47"/>
      <c r="E384" s="47"/>
      <c r="F384" s="45"/>
      <c r="G384" s="7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2.75" customHeight="1" x14ac:dyDescent="0.35">
      <c r="A385" s="43"/>
      <c r="B385" s="44"/>
      <c r="C385" s="44"/>
      <c r="D385" s="47"/>
      <c r="E385" s="47"/>
      <c r="F385" s="45"/>
      <c r="G385" s="7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2.75" customHeight="1" x14ac:dyDescent="0.35">
      <c r="A386" s="43"/>
      <c r="B386" s="44"/>
      <c r="C386" s="44"/>
      <c r="D386" s="47"/>
      <c r="E386" s="47"/>
      <c r="F386" s="45"/>
      <c r="G386" s="7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2.75" customHeight="1" x14ac:dyDescent="0.35">
      <c r="A387" s="43"/>
      <c r="B387" s="44"/>
      <c r="C387" s="44"/>
      <c r="D387" s="47"/>
      <c r="E387" s="47"/>
      <c r="F387" s="45"/>
      <c r="G387" s="7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2.75" customHeight="1" x14ac:dyDescent="0.35">
      <c r="A388" s="43"/>
      <c r="B388" s="44"/>
      <c r="C388" s="44"/>
      <c r="D388" s="47"/>
      <c r="E388" s="47"/>
      <c r="F388" s="45"/>
      <c r="G388" s="7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2.75" customHeight="1" x14ac:dyDescent="0.35">
      <c r="A389" s="43"/>
      <c r="B389" s="44"/>
      <c r="C389" s="44"/>
      <c r="D389" s="47"/>
      <c r="E389" s="47"/>
      <c r="F389" s="45"/>
      <c r="G389" s="7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2.75" customHeight="1" x14ac:dyDescent="0.35">
      <c r="A390" s="43"/>
      <c r="B390" s="44"/>
      <c r="C390" s="44"/>
      <c r="D390" s="47"/>
      <c r="E390" s="47"/>
      <c r="F390" s="45"/>
      <c r="G390" s="7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2.75" customHeight="1" x14ac:dyDescent="0.35">
      <c r="A391" s="43"/>
      <c r="B391" s="44"/>
      <c r="C391" s="44"/>
      <c r="D391" s="47"/>
      <c r="E391" s="47"/>
      <c r="F391" s="45"/>
      <c r="G391" s="7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2.75" customHeight="1" x14ac:dyDescent="0.35">
      <c r="A392" s="43"/>
      <c r="B392" s="44"/>
      <c r="C392" s="44"/>
      <c r="D392" s="47"/>
      <c r="E392" s="47"/>
      <c r="F392" s="45"/>
      <c r="G392" s="7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2.75" customHeight="1" x14ac:dyDescent="0.35">
      <c r="A393" s="43"/>
      <c r="B393" s="44"/>
      <c r="C393" s="44"/>
      <c r="D393" s="47"/>
      <c r="E393" s="47"/>
      <c r="F393" s="45"/>
      <c r="G393" s="7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2.75" customHeight="1" x14ac:dyDescent="0.35">
      <c r="A394" s="43"/>
      <c r="B394" s="44"/>
      <c r="C394" s="44"/>
      <c r="D394" s="47"/>
      <c r="E394" s="47"/>
      <c r="F394" s="45"/>
      <c r="G394" s="7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2.75" customHeight="1" x14ac:dyDescent="0.35">
      <c r="A395" s="43"/>
      <c r="B395" s="44"/>
      <c r="C395" s="44"/>
      <c r="D395" s="47"/>
      <c r="E395" s="47"/>
      <c r="F395" s="45"/>
      <c r="G395" s="7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2.75" customHeight="1" x14ac:dyDescent="0.35">
      <c r="A396" s="43"/>
      <c r="B396" s="44"/>
      <c r="C396" s="44"/>
      <c r="D396" s="47"/>
      <c r="E396" s="47"/>
      <c r="F396" s="45"/>
      <c r="G396" s="7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2.75" customHeight="1" x14ac:dyDescent="0.35">
      <c r="A397" s="43"/>
      <c r="B397" s="44"/>
      <c r="C397" s="44"/>
      <c r="D397" s="47"/>
      <c r="E397" s="47"/>
      <c r="F397" s="45"/>
      <c r="G397" s="7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2.75" customHeight="1" x14ac:dyDescent="0.35">
      <c r="A398" s="43"/>
      <c r="B398" s="44"/>
      <c r="C398" s="44"/>
      <c r="D398" s="47"/>
      <c r="E398" s="47"/>
      <c r="F398" s="45"/>
      <c r="G398" s="7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2.75" customHeight="1" x14ac:dyDescent="0.35">
      <c r="A399" s="43"/>
      <c r="B399" s="44"/>
      <c r="C399" s="44"/>
      <c r="D399" s="47"/>
      <c r="E399" s="47"/>
      <c r="F399" s="45"/>
      <c r="G399" s="7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2.75" customHeight="1" x14ac:dyDescent="0.35">
      <c r="A400" s="43"/>
      <c r="B400" s="44"/>
      <c r="C400" s="44"/>
      <c r="D400" s="47"/>
      <c r="E400" s="47"/>
      <c r="F400" s="45"/>
      <c r="G400" s="7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2.75" customHeight="1" x14ac:dyDescent="0.35">
      <c r="A401" s="43"/>
      <c r="B401" s="44"/>
      <c r="C401" s="44"/>
      <c r="D401" s="47"/>
      <c r="E401" s="47"/>
      <c r="F401" s="45"/>
      <c r="G401" s="7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2.75" customHeight="1" x14ac:dyDescent="0.35">
      <c r="A402" s="43"/>
      <c r="B402" s="44"/>
      <c r="C402" s="44"/>
      <c r="D402" s="47"/>
      <c r="E402" s="47"/>
      <c r="F402" s="45"/>
      <c r="G402" s="7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2.75" customHeight="1" x14ac:dyDescent="0.35">
      <c r="A403" s="43"/>
      <c r="B403" s="44"/>
      <c r="C403" s="44"/>
      <c r="D403" s="47"/>
      <c r="E403" s="47"/>
      <c r="F403" s="45"/>
      <c r="G403" s="7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2.75" customHeight="1" x14ac:dyDescent="0.35">
      <c r="A404" s="43"/>
      <c r="B404" s="44"/>
      <c r="C404" s="44"/>
      <c r="D404" s="47"/>
      <c r="E404" s="47"/>
      <c r="F404" s="45"/>
      <c r="G404" s="7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2.75" customHeight="1" x14ac:dyDescent="0.35">
      <c r="A405" s="43"/>
      <c r="B405" s="44"/>
      <c r="C405" s="44"/>
      <c r="D405" s="47"/>
      <c r="E405" s="47"/>
      <c r="F405" s="45"/>
      <c r="G405" s="7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2.75" customHeight="1" x14ac:dyDescent="0.35">
      <c r="A406" s="43"/>
      <c r="B406" s="44"/>
      <c r="C406" s="44"/>
      <c r="D406" s="47"/>
      <c r="E406" s="47"/>
      <c r="F406" s="45"/>
      <c r="G406" s="7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2.75" customHeight="1" x14ac:dyDescent="0.35">
      <c r="A407" s="43"/>
      <c r="B407" s="44"/>
      <c r="C407" s="44"/>
      <c r="D407" s="47"/>
      <c r="E407" s="47"/>
      <c r="F407" s="45"/>
      <c r="G407" s="7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2.75" customHeight="1" x14ac:dyDescent="0.35">
      <c r="A408" s="43"/>
      <c r="B408" s="44"/>
      <c r="C408" s="44"/>
      <c r="D408" s="47"/>
      <c r="E408" s="47"/>
      <c r="F408" s="45"/>
      <c r="G408" s="7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2.75" customHeight="1" x14ac:dyDescent="0.35">
      <c r="A409" s="43"/>
      <c r="B409" s="44"/>
      <c r="C409" s="44"/>
      <c r="D409" s="47"/>
      <c r="E409" s="47"/>
      <c r="F409" s="45"/>
      <c r="G409" s="7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2.75" customHeight="1" x14ac:dyDescent="0.35">
      <c r="A410" s="43"/>
      <c r="B410" s="44"/>
      <c r="C410" s="44"/>
      <c r="D410" s="47"/>
      <c r="E410" s="47"/>
      <c r="F410" s="45"/>
      <c r="G410" s="7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2.75" customHeight="1" x14ac:dyDescent="0.35">
      <c r="A411" s="43"/>
      <c r="B411" s="44"/>
      <c r="C411" s="44"/>
      <c r="D411" s="47"/>
      <c r="E411" s="47"/>
      <c r="F411" s="45"/>
      <c r="G411" s="7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2.75" customHeight="1" x14ac:dyDescent="0.35">
      <c r="A412" s="43"/>
      <c r="B412" s="44"/>
      <c r="C412" s="44"/>
      <c r="D412" s="47"/>
      <c r="E412" s="47"/>
      <c r="F412" s="45"/>
      <c r="G412" s="7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2.75" customHeight="1" x14ac:dyDescent="0.35">
      <c r="A413" s="43"/>
      <c r="B413" s="44"/>
      <c r="C413" s="44"/>
      <c r="D413" s="47"/>
      <c r="E413" s="47"/>
      <c r="F413" s="45"/>
      <c r="G413" s="7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2.75" customHeight="1" x14ac:dyDescent="0.35">
      <c r="A414" s="43"/>
      <c r="B414" s="44"/>
      <c r="C414" s="44"/>
      <c r="D414" s="47"/>
      <c r="E414" s="47"/>
      <c r="F414" s="45"/>
      <c r="G414" s="7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2.75" customHeight="1" x14ac:dyDescent="0.35">
      <c r="A415" s="43"/>
      <c r="B415" s="44"/>
      <c r="C415" s="44"/>
      <c r="D415" s="47"/>
      <c r="E415" s="47"/>
      <c r="F415" s="45"/>
      <c r="G415" s="7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2.75" customHeight="1" x14ac:dyDescent="0.35">
      <c r="A416" s="43"/>
      <c r="B416" s="44"/>
      <c r="C416" s="44"/>
      <c r="D416" s="47"/>
      <c r="E416" s="47"/>
      <c r="F416" s="45"/>
      <c r="G416" s="7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2.75" customHeight="1" x14ac:dyDescent="0.35">
      <c r="A417" s="43"/>
      <c r="B417" s="44"/>
      <c r="C417" s="44"/>
      <c r="D417" s="47"/>
      <c r="E417" s="47"/>
      <c r="F417" s="45"/>
      <c r="G417" s="7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2.75" customHeight="1" x14ac:dyDescent="0.35">
      <c r="A418" s="43"/>
      <c r="B418" s="44"/>
      <c r="C418" s="44"/>
      <c r="D418" s="47"/>
      <c r="E418" s="47"/>
      <c r="F418" s="45"/>
      <c r="G418" s="7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2.75" customHeight="1" x14ac:dyDescent="0.35">
      <c r="A419" s="43"/>
      <c r="B419" s="44"/>
      <c r="C419" s="44"/>
      <c r="D419" s="47"/>
      <c r="E419" s="47"/>
      <c r="F419" s="45"/>
      <c r="G419" s="7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2.75" customHeight="1" x14ac:dyDescent="0.35">
      <c r="A420" s="43"/>
      <c r="B420" s="44"/>
      <c r="C420" s="44"/>
      <c r="D420" s="47"/>
      <c r="E420" s="47"/>
      <c r="F420" s="45"/>
      <c r="G420" s="7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2.75" customHeight="1" x14ac:dyDescent="0.35">
      <c r="A421" s="43"/>
      <c r="B421" s="44"/>
      <c r="C421" s="44"/>
      <c r="D421" s="47"/>
      <c r="E421" s="47"/>
      <c r="F421" s="45"/>
      <c r="G421" s="7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2.75" customHeight="1" x14ac:dyDescent="0.35">
      <c r="A422" s="43"/>
      <c r="B422" s="44"/>
      <c r="C422" s="44"/>
      <c r="D422" s="47"/>
      <c r="E422" s="47"/>
      <c r="F422" s="45"/>
      <c r="G422" s="7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2.75" customHeight="1" x14ac:dyDescent="0.35">
      <c r="A423" s="43"/>
      <c r="B423" s="44"/>
      <c r="C423" s="44"/>
      <c r="D423" s="47"/>
      <c r="E423" s="47"/>
      <c r="F423" s="45"/>
      <c r="G423" s="7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2.75" customHeight="1" x14ac:dyDescent="0.35">
      <c r="A424" s="43"/>
      <c r="B424" s="44"/>
      <c r="C424" s="44"/>
      <c r="D424" s="47"/>
      <c r="E424" s="47"/>
      <c r="F424" s="45"/>
      <c r="G424" s="7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2.75" customHeight="1" x14ac:dyDescent="0.35">
      <c r="A425" s="43"/>
      <c r="B425" s="44"/>
      <c r="C425" s="44"/>
      <c r="D425" s="47"/>
      <c r="E425" s="47"/>
      <c r="F425" s="45"/>
      <c r="G425" s="7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2.75" customHeight="1" x14ac:dyDescent="0.35">
      <c r="A426" s="43"/>
      <c r="B426" s="44"/>
      <c r="C426" s="44"/>
      <c r="D426" s="47"/>
      <c r="E426" s="47"/>
      <c r="F426" s="45"/>
      <c r="G426" s="7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2.75" customHeight="1" x14ac:dyDescent="0.35">
      <c r="A427" s="43"/>
      <c r="B427" s="44"/>
      <c r="C427" s="44"/>
      <c r="D427" s="47"/>
      <c r="E427" s="47"/>
      <c r="F427" s="45"/>
      <c r="G427" s="7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2.75" customHeight="1" x14ac:dyDescent="0.35">
      <c r="A428" s="43"/>
      <c r="B428" s="44"/>
      <c r="C428" s="44"/>
      <c r="D428" s="47"/>
      <c r="E428" s="47"/>
      <c r="F428" s="45"/>
      <c r="G428" s="7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2.75" customHeight="1" x14ac:dyDescent="0.35">
      <c r="A429" s="43"/>
      <c r="B429" s="44"/>
      <c r="C429" s="44"/>
      <c r="D429" s="47"/>
      <c r="E429" s="47"/>
      <c r="F429" s="45"/>
      <c r="G429" s="7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2.75" customHeight="1" x14ac:dyDescent="0.35">
      <c r="A430" s="43"/>
      <c r="B430" s="44"/>
      <c r="C430" s="44"/>
      <c r="D430" s="47"/>
      <c r="E430" s="47"/>
      <c r="F430" s="45"/>
      <c r="G430" s="7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2.75" customHeight="1" x14ac:dyDescent="0.35">
      <c r="A431" s="43"/>
      <c r="B431" s="44"/>
      <c r="C431" s="44"/>
      <c r="D431" s="47"/>
      <c r="E431" s="47"/>
      <c r="F431" s="45"/>
      <c r="G431" s="7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2.75" customHeight="1" x14ac:dyDescent="0.35">
      <c r="A432" s="43"/>
      <c r="B432" s="44"/>
      <c r="C432" s="44"/>
      <c r="D432" s="47"/>
      <c r="E432" s="47"/>
      <c r="F432" s="45"/>
      <c r="G432" s="7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2.75" customHeight="1" x14ac:dyDescent="0.35">
      <c r="A433" s="43"/>
      <c r="B433" s="44"/>
      <c r="C433" s="44"/>
      <c r="D433" s="47"/>
      <c r="E433" s="47"/>
      <c r="F433" s="45"/>
      <c r="G433" s="7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2.75" customHeight="1" x14ac:dyDescent="0.35">
      <c r="A434" s="43"/>
      <c r="B434" s="44"/>
      <c r="C434" s="44"/>
      <c r="D434" s="47"/>
      <c r="E434" s="47"/>
      <c r="F434" s="45"/>
      <c r="G434" s="7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2.75" customHeight="1" x14ac:dyDescent="0.35">
      <c r="A435" s="43"/>
      <c r="B435" s="44"/>
      <c r="C435" s="44"/>
      <c r="D435" s="47"/>
      <c r="E435" s="47"/>
      <c r="F435" s="45"/>
      <c r="G435" s="7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2.75" customHeight="1" x14ac:dyDescent="0.35">
      <c r="A436" s="43"/>
      <c r="B436" s="44"/>
      <c r="C436" s="44"/>
      <c r="D436" s="47"/>
      <c r="E436" s="47"/>
      <c r="F436" s="45"/>
      <c r="G436" s="7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2.75" customHeight="1" x14ac:dyDescent="0.35">
      <c r="A437" s="43"/>
      <c r="B437" s="44"/>
      <c r="C437" s="44"/>
      <c r="D437" s="47"/>
      <c r="E437" s="47"/>
      <c r="F437" s="45"/>
      <c r="G437" s="7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2.75" customHeight="1" x14ac:dyDescent="0.35">
      <c r="A438" s="43"/>
      <c r="B438" s="44"/>
      <c r="C438" s="44"/>
      <c r="D438" s="47"/>
      <c r="E438" s="47"/>
      <c r="F438" s="45"/>
      <c r="G438" s="7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2.75" customHeight="1" x14ac:dyDescent="0.35">
      <c r="A439" s="43"/>
      <c r="B439" s="44"/>
      <c r="C439" s="44"/>
      <c r="D439" s="47"/>
      <c r="E439" s="47"/>
      <c r="F439" s="45"/>
      <c r="G439" s="7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2.75" customHeight="1" x14ac:dyDescent="0.35">
      <c r="A440" s="43"/>
      <c r="B440" s="44"/>
      <c r="C440" s="44"/>
      <c r="D440" s="47"/>
      <c r="E440" s="47"/>
      <c r="F440" s="45"/>
      <c r="G440" s="7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2.75" customHeight="1" x14ac:dyDescent="0.35">
      <c r="A441" s="43"/>
      <c r="B441" s="44"/>
      <c r="C441" s="44"/>
      <c r="D441" s="47"/>
      <c r="E441" s="47"/>
      <c r="F441" s="45"/>
      <c r="G441" s="7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2.75" customHeight="1" x14ac:dyDescent="0.35">
      <c r="A442" s="43"/>
      <c r="B442" s="44"/>
      <c r="C442" s="44"/>
      <c r="D442" s="47"/>
      <c r="E442" s="47"/>
      <c r="F442" s="45"/>
      <c r="G442" s="7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2.75" customHeight="1" x14ac:dyDescent="0.35">
      <c r="A443" s="43"/>
      <c r="B443" s="44"/>
      <c r="C443" s="44"/>
      <c r="D443" s="47"/>
      <c r="E443" s="47"/>
      <c r="F443" s="45"/>
      <c r="G443" s="7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2.75" customHeight="1" x14ac:dyDescent="0.35">
      <c r="A444" s="43"/>
      <c r="B444" s="44"/>
      <c r="C444" s="44"/>
      <c r="D444" s="47"/>
      <c r="E444" s="47"/>
      <c r="F444" s="45"/>
      <c r="G444" s="7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2.75" customHeight="1" x14ac:dyDescent="0.35">
      <c r="A445" s="43"/>
      <c r="B445" s="44"/>
      <c r="C445" s="44"/>
      <c r="D445" s="47"/>
      <c r="E445" s="47"/>
      <c r="F445" s="45"/>
      <c r="G445" s="7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2.75" customHeight="1" x14ac:dyDescent="0.35">
      <c r="A446" s="43"/>
      <c r="B446" s="44"/>
      <c r="C446" s="44"/>
      <c r="D446" s="47"/>
      <c r="E446" s="47"/>
      <c r="F446" s="45"/>
      <c r="G446" s="7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2.75" customHeight="1" x14ac:dyDescent="0.35">
      <c r="A447" s="43"/>
      <c r="B447" s="44"/>
      <c r="C447" s="44"/>
      <c r="D447" s="47"/>
      <c r="E447" s="47"/>
      <c r="F447" s="45"/>
      <c r="G447" s="7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2.75" customHeight="1" x14ac:dyDescent="0.35">
      <c r="A448" s="43"/>
      <c r="B448" s="44"/>
      <c r="C448" s="44"/>
      <c r="D448" s="47"/>
      <c r="E448" s="47"/>
      <c r="F448" s="45"/>
      <c r="G448" s="7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2.75" customHeight="1" x14ac:dyDescent="0.35">
      <c r="A449" s="43"/>
      <c r="B449" s="44"/>
      <c r="C449" s="44"/>
      <c r="D449" s="47"/>
      <c r="E449" s="47"/>
      <c r="F449" s="45"/>
      <c r="G449" s="7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2.75" customHeight="1" x14ac:dyDescent="0.35">
      <c r="A450" s="43"/>
      <c r="B450" s="44"/>
      <c r="C450" s="44"/>
      <c r="D450" s="47"/>
      <c r="E450" s="47"/>
      <c r="F450" s="45"/>
      <c r="G450" s="7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2.75" customHeight="1" x14ac:dyDescent="0.35">
      <c r="A451" s="43"/>
      <c r="B451" s="44"/>
      <c r="C451" s="44"/>
      <c r="D451" s="47"/>
      <c r="E451" s="47"/>
      <c r="F451" s="45"/>
      <c r="G451" s="7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2.75" customHeight="1" x14ac:dyDescent="0.35">
      <c r="A452" s="43"/>
      <c r="B452" s="44"/>
      <c r="C452" s="44"/>
      <c r="D452" s="47"/>
      <c r="E452" s="47"/>
      <c r="F452" s="45"/>
      <c r="G452" s="7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2.75" customHeight="1" x14ac:dyDescent="0.35">
      <c r="A453" s="43"/>
      <c r="B453" s="44"/>
      <c r="C453" s="44"/>
      <c r="D453" s="47"/>
      <c r="E453" s="47"/>
      <c r="F453" s="45"/>
      <c r="G453" s="7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2.75" customHeight="1" x14ac:dyDescent="0.35">
      <c r="A454" s="43"/>
      <c r="B454" s="44"/>
      <c r="C454" s="44"/>
      <c r="D454" s="47"/>
      <c r="E454" s="47"/>
      <c r="F454" s="45"/>
      <c r="G454" s="7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2.75" customHeight="1" x14ac:dyDescent="0.35">
      <c r="A455" s="43"/>
      <c r="B455" s="44"/>
      <c r="C455" s="44"/>
      <c r="D455" s="47"/>
      <c r="E455" s="47"/>
      <c r="F455" s="45"/>
      <c r="G455" s="7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2.75" customHeight="1" x14ac:dyDescent="0.35">
      <c r="A456" s="43"/>
      <c r="B456" s="44"/>
      <c r="C456" s="44"/>
      <c r="D456" s="47"/>
      <c r="E456" s="47"/>
      <c r="F456" s="45"/>
      <c r="G456" s="7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2.75" customHeight="1" x14ac:dyDescent="0.35">
      <c r="A457" s="43"/>
      <c r="B457" s="44"/>
      <c r="C457" s="44"/>
      <c r="D457" s="47"/>
      <c r="E457" s="47"/>
      <c r="F457" s="45"/>
      <c r="G457" s="7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2.75" customHeight="1" x14ac:dyDescent="0.35">
      <c r="A458" s="43"/>
      <c r="B458" s="44"/>
      <c r="C458" s="44"/>
      <c r="D458" s="47"/>
      <c r="E458" s="47"/>
      <c r="F458" s="45"/>
      <c r="G458" s="7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2.75" customHeight="1" x14ac:dyDescent="0.35">
      <c r="A459" s="43"/>
      <c r="B459" s="44"/>
      <c r="C459" s="44"/>
      <c r="D459" s="47"/>
      <c r="E459" s="47"/>
      <c r="F459" s="45"/>
      <c r="G459" s="7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2.75" customHeight="1" x14ac:dyDescent="0.35">
      <c r="A460" s="43"/>
      <c r="B460" s="44"/>
      <c r="C460" s="44"/>
      <c r="D460" s="47"/>
      <c r="E460" s="47"/>
      <c r="F460" s="45"/>
      <c r="G460" s="7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2.75" customHeight="1" x14ac:dyDescent="0.35">
      <c r="A461" s="43"/>
      <c r="B461" s="44"/>
      <c r="C461" s="44"/>
      <c r="D461" s="47"/>
      <c r="E461" s="47"/>
      <c r="F461" s="45"/>
      <c r="G461" s="7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2.75" customHeight="1" x14ac:dyDescent="0.35">
      <c r="A462" s="43"/>
      <c r="B462" s="44"/>
      <c r="C462" s="44"/>
      <c r="D462" s="47"/>
      <c r="E462" s="47"/>
      <c r="F462" s="45"/>
      <c r="G462" s="7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2.75" customHeight="1" x14ac:dyDescent="0.35">
      <c r="A463" s="43"/>
      <c r="B463" s="44"/>
      <c r="C463" s="44"/>
      <c r="D463" s="47"/>
      <c r="E463" s="47"/>
      <c r="F463" s="45"/>
      <c r="G463" s="7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2.75" customHeight="1" x14ac:dyDescent="0.35">
      <c r="A464" s="43"/>
      <c r="B464" s="44"/>
      <c r="C464" s="44"/>
      <c r="D464" s="47"/>
      <c r="E464" s="47"/>
      <c r="F464" s="45"/>
      <c r="G464" s="7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2.75" customHeight="1" x14ac:dyDescent="0.35">
      <c r="A465" s="43"/>
      <c r="B465" s="44"/>
      <c r="C465" s="44"/>
      <c r="D465" s="47"/>
      <c r="E465" s="47"/>
      <c r="F465" s="45"/>
      <c r="G465" s="7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2.75" customHeight="1" x14ac:dyDescent="0.35">
      <c r="A466" s="43"/>
      <c r="B466" s="44"/>
      <c r="C466" s="44"/>
      <c r="D466" s="47"/>
      <c r="E466" s="47"/>
      <c r="F466" s="45"/>
      <c r="G466" s="7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2.75" customHeight="1" x14ac:dyDescent="0.35">
      <c r="A467" s="43"/>
      <c r="B467" s="44"/>
      <c r="C467" s="44"/>
      <c r="D467" s="47"/>
      <c r="E467" s="47"/>
      <c r="F467" s="45"/>
      <c r="G467" s="7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2.75" customHeight="1" x14ac:dyDescent="0.35">
      <c r="A468" s="43"/>
      <c r="B468" s="44"/>
      <c r="C468" s="44"/>
      <c r="D468" s="47"/>
      <c r="E468" s="47"/>
      <c r="F468" s="45"/>
      <c r="G468" s="7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2.75" customHeight="1" x14ac:dyDescent="0.35">
      <c r="A469" s="43"/>
      <c r="B469" s="44"/>
      <c r="C469" s="44"/>
      <c r="D469" s="47"/>
      <c r="E469" s="47"/>
      <c r="F469" s="45"/>
      <c r="G469" s="7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2.75" customHeight="1" x14ac:dyDescent="0.35">
      <c r="A470" s="43"/>
      <c r="B470" s="44"/>
      <c r="C470" s="44"/>
      <c r="D470" s="47"/>
      <c r="E470" s="47"/>
      <c r="F470" s="45"/>
      <c r="G470" s="7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2.75" customHeight="1" x14ac:dyDescent="0.35">
      <c r="A471" s="43"/>
      <c r="B471" s="44"/>
      <c r="C471" s="44"/>
      <c r="D471" s="47"/>
      <c r="E471" s="47"/>
      <c r="F471" s="45"/>
      <c r="G471" s="7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2.75" customHeight="1" x14ac:dyDescent="0.35">
      <c r="A472" s="43"/>
      <c r="B472" s="44"/>
      <c r="C472" s="44"/>
      <c r="D472" s="47"/>
      <c r="E472" s="47"/>
      <c r="F472" s="45"/>
      <c r="G472" s="7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2.75" customHeight="1" x14ac:dyDescent="0.35">
      <c r="A473" s="43"/>
      <c r="B473" s="44"/>
      <c r="C473" s="44"/>
      <c r="D473" s="47"/>
      <c r="E473" s="47"/>
      <c r="F473" s="45"/>
      <c r="G473" s="7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2.75" customHeight="1" x14ac:dyDescent="0.35">
      <c r="A474" s="43"/>
      <c r="B474" s="44"/>
      <c r="C474" s="44"/>
      <c r="D474" s="47"/>
      <c r="E474" s="47"/>
      <c r="F474" s="45"/>
      <c r="G474" s="7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2.75" customHeight="1" x14ac:dyDescent="0.35">
      <c r="A475" s="43"/>
      <c r="B475" s="44"/>
      <c r="C475" s="44"/>
      <c r="D475" s="47"/>
      <c r="E475" s="47"/>
      <c r="F475" s="45"/>
      <c r="G475" s="7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2.75" customHeight="1" x14ac:dyDescent="0.35">
      <c r="A476" s="43"/>
      <c r="B476" s="44"/>
      <c r="C476" s="44"/>
      <c r="D476" s="47"/>
      <c r="E476" s="47"/>
      <c r="F476" s="45"/>
      <c r="G476" s="7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2.75" customHeight="1" x14ac:dyDescent="0.35">
      <c r="A477" s="43"/>
      <c r="B477" s="44"/>
      <c r="C477" s="44"/>
      <c r="D477" s="47"/>
      <c r="E477" s="47"/>
      <c r="F477" s="45"/>
      <c r="G477" s="7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2.75" customHeight="1" x14ac:dyDescent="0.35">
      <c r="A478" s="43"/>
      <c r="B478" s="44"/>
      <c r="C478" s="44"/>
      <c r="D478" s="47"/>
      <c r="E478" s="47"/>
      <c r="F478" s="45"/>
      <c r="G478" s="7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2.75" customHeight="1" x14ac:dyDescent="0.35">
      <c r="A479" s="43"/>
      <c r="B479" s="44"/>
      <c r="C479" s="44"/>
      <c r="D479" s="47"/>
      <c r="E479" s="47"/>
      <c r="F479" s="45"/>
      <c r="G479" s="7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2.75" customHeight="1" x14ac:dyDescent="0.35">
      <c r="A480" s="43"/>
      <c r="B480" s="44"/>
      <c r="C480" s="44"/>
      <c r="D480" s="47"/>
      <c r="E480" s="47"/>
      <c r="F480" s="45"/>
      <c r="G480" s="7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2.75" customHeight="1" x14ac:dyDescent="0.35">
      <c r="A481" s="43"/>
      <c r="B481" s="44"/>
      <c r="C481" s="44"/>
      <c r="D481" s="47"/>
      <c r="E481" s="47"/>
      <c r="F481" s="45"/>
      <c r="G481" s="7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2.75" customHeight="1" x14ac:dyDescent="0.35">
      <c r="A482" s="43"/>
      <c r="B482" s="44"/>
      <c r="C482" s="44"/>
      <c r="D482" s="47"/>
      <c r="E482" s="47"/>
      <c r="F482" s="45"/>
      <c r="G482" s="7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2.75" customHeight="1" x14ac:dyDescent="0.35">
      <c r="A483" s="43"/>
      <c r="B483" s="44"/>
      <c r="C483" s="44"/>
      <c r="D483" s="47"/>
      <c r="E483" s="47"/>
      <c r="F483" s="45"/>
      <c r="G483" s="7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2.75" customHeight="1" x14ac:dyDescent="0.35">
      <c r="A484" s="43"/>
      <c r="B484" s="44"/>
      <c r="C484" s="44"/>
      <c r="D484" s="47"/>
      <c r="E484" s="47"/>
      <c r="F484" s="45"/>
      <c r="G484" s="7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2.75" customHeight="1" x14ac:dyDescent="0.35">
      <c r="A485" s="43"/>
      <c r="B485" s="44"/>
      <c r="C485" s="44"/>
      <c r="D485" s="47"/>
      <c r="E485" s="47"/>
      <c r="F485" s="45"/>
      <c r="G485" s="7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2.75" customHeight="1" x14ac:dyDescent="0.35">
      <c r="A486" s="43"/>
      <c r="B486" s="44"/>
      <c r="C486" s="44"/>
      <c r="D486" s="47"/>
      <c r="E486" s="47"/>
      <c r="F486" s="45"/>
      <c r="G486" s="7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2.75" customHeight="1" x14ac:dyDescent="0.35">
      <c r="A487" s="43"/>
      <c r="B487" s="44"/>
      <c r="C487" s="44"/>
      <c r="D487" s="47"/>
      <c r="E487" s="47"/>
      <c r="F487" s="45"/>
      <c r="G487" s="7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2.75" customHeight="1" x14ac:dyDescent="0.35">
      <c r="A488" s="43"/>
      <c r="B488" s="44"/>
      <c r="C488" s="44"/>
      <c r="D488" s="47"/>
      <c r="E488" s="47"/>
      <c r="F488" s="45"/>
      <c r="G488" s="7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2.75" customHeight="1" x14ac:dyDescent="0.35">
      <c r="A489" s="43"/>
      <c r="B489" s="44"/>
      <c r="C489" s="44"/>
      <c r="D489" s="47"/>
      <c r="E489" s="47"/>
      <c r="F489" s="45"/>
      <c r="G489" s="7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2.75" customHeight="1" x14ac:dyDescent="0.35">
      <c r="A490" s="43"/>
      <c r="B490" s="44"/>
      <c r="C490" s="44"/>
      <c r="D490" s="47"/>
      <c r="E490" s="47"/>
      <c r="F490" s="45"/>
      <c r="G490" s="7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2.75" customHeight="1" x14ac:dyDescent="0.35">
      <c r="A491" s="43"/>
      <c r="B491" s="44"/>
      <c r="C491" s="44"/>
      <c r="D491" s="47"/>
      <c r="E491" s="47"/>
      <c r="F491" s="45"/>
      <c r="G491" s="7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2.75" customHeight="1" x14ac:dyDescent="0.35">
      <c r="A492" s="43"/>
      <c r="B492" s="44"/>
      <c r="C492" s="44"/>
      <c r="D492" s="47"/>
      <c r="E492" s="47"/>
      <c r="F492" s="45"/>
      <c r="G492" s="7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2.75" customHeight="1" x14ac:dyDescent="0.35">
      <c r="A493" s="43"/>
      <c r="B493" s="44"/>
      <c r="C493" s="44"/>
      <c r="D493" s="47"/>
      <c r="E493" s="47"/>
      <c r="F493" s="45"/>
      <c r="G493" s="7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2.75" customHeight="1" x14ac:dyDescent="0.35">
      <c r="A494" s="43"/>
      <c r="B494" s="44"/>
      <c r="C494" s="44"/>
      <c r="D494" s="47"/>
      <c r="E494" s="47"/>
      <c r="F494" s="45"/>
      <c r="G494" s="7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2.75" customHeight="1" x14ac:dyDescent="0.35">
      <c r="A495" s="43"/>
      <c r="B495" s="44"/>
      <c r="C495" s="44"/>
      <c r="D495" s="47"/>
      <c r="E495" s="47"/>
      <c r="F495" s="45"/>
      <c r="G495" s="7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2.75" customHeight="1" x14ac:dyDescent="0.35">
      <c r="A496" s="43"/>
      <c r="B496" s="44"/>
      <c r="C496" s="44"/>
      <c r="D496" s="47"/>
      <c r="E496" s="47"/>
      <c r="F496" s="45"/>
      <c r="G496" s="7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2.75" customHeight="1" x14ac:dyDescent="0.35">
      <c r="A497" s="43"/>
      <c r="B497" s="44"/>
      <c r="C497" s="44"/>
      <c r="D497" s="47"/>
      <c r="E497" s="47"/>
      <c r="F497" s="45"/>
      <c r="G497" s="7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2.75" customHeight="1" x14ac:dyDescent="0.35">
      <c r="A498" s="43"/>
      <c r="B498" s="44"/>
      <c r="C498" s="44"/>
      <c r="D498" s="47"/>
      <c r="E498" s="47"/>
      <c r="F498" s="45"/>
      <c r="G498" s="7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2.75" customHeight="1" x14ac:dyDescent="0.35">
      <c r="A499" s="43"/>
      <c r="B499" s="44"/>
      <c r="C499" s="44"/>
      <c r="D499" s="47"/>
      <c r="E499" s="47"/>
      <c r="F499" s="45"/>
      <c r="G499" s="7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2.75" customHeight="1" x14ac:dyDescent="0.35">
      <c r="A500" s="43"/>
      <c r="B500" s="44"/>
      <c r="C500" s="44"/>
      <c r="D500" s="47"/>
      <c r="E500" s="47"/>
      <c r="F500" s="45"/>
      <c r="G500" s="7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2.75" customHeight="1" x14ac:dyDescent="0.35">
      <c r="A501" s="43"/>
      <c r="B501" s="44"/>
      <c r="C501" s="44"/>
      <c r="D501" s="47"/>
      <c r="E501" s="47"/>
      <c r="F501" s="45"/>
      <c r="G501" s="7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2.75" customHeight="1" x14ac:dyDescent="0.35">
      <c r="A502" s="43"/>
      <c r="B502" s="44"/>
      <c r="C502" s="44"/>
      <c r="D502" s="47"/>
      <c r="E502" s="47"/>
      <c r="F502" s="45"/>
      <c r="G502" s="7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2.75" customHeight="1" x14ac:dyDescent="0.35">
      <c r="A503" s="43"/>
      <c r="B503" s="44"/>
      <c r="C503" s="44"/>
      <c r="D503" s="47"/>
      <c r="E503" s="47"/>
      <c r="F503" s="45"/>
      <c r="G503" s="7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2.75" customHeight="1" x14ac:dyDescent="0.35">
      <c r="A504" s="43"/>
      <c r="B504" s="44"/>
      <c r="C504" s="44"/>
      <c r="D504" s="47"/>
      <c r="E504" s="47"/>
      <c r="F504" s="45"/>
      <c r="G504" s="7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2.75" customHeight="1" x14ac:dyDescent="0.35">
      <c r="A505" s="43"/>
      <c r="B505" s="44"/>
      <c r="C505" s="44"/>
      <c r="D505" s="47"/>
      <c r="E505" s="47"/>
      <c r="F505" s="45"/>
      <c r="G505" s="7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2.75" customHeight="1" x14ac:dyDescent="0.35">
      <c r="A506" s="43"/>
      <c r="B506" s="44"/>
      <c r="C506" s="44"/>
      <c r="D506" s="47"/>
      <c r="E506" s="47"/>
      <c r="F506" s="45"/>
      <c r="G506" s="7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2.75" customHeight="1" x14ac:dyDescent="0.35">
      <c r="A507" s="43"/>
      <c r="B507" s="44"/>
      <c r="C507" s="44"/>
      <c r="D507" s="47"/>
      <c r="E507" s="47"/>
      <c r="F507" s="45"/>
      <c r="G507" s="7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2.75" customHeight="1" x14ac:dyDescent="0.35">
      <c r="A508" s="43"/>
      <c r="B508" s="44"/>
      <c r="C508" s="44"/>
      <c r="D508" s="47"/>
      <c r="E508" s="47"/>
      <c r="F508" s="45"/>
      <c r="G508" s="7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2.75" customHeight="1" x14ac:dyDescent="0.35">
      <c r="A509" s="43"/>
      <c r="B509" s="44"/>
      <c r="C509" s="44"/>
      <c r="D509" s="47"/>
      <c r="E509" s="47"/>
      <c r="F509" s="45"/>
      <c r="G509" s="7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2.75" customHeight="1" x14ac:dyDescent="0.35">
      <c r="A510" s="43"/>
      <c r="B510" s="44"/>
      <c r="C510" s="44"/>
      <c r="D510" s="47"/>
      <c r="E510" s="47"/>
      <c r="F510" s="45"/>
      <c r="G510" s="7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2.75" customHeight="1" x14ac:dyDescent="0.35">
      <c r="A511" s="43"/>
      <c r="B511" s="44"/>
      <c r="C511" s="44"/>
      <c r="D511" s="47"/>
      <c r="E511" s="47"/>
      <c r="F511" s="45"/>
      <c r="G511" s="7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2.75" customHeight="1" x14ac:dyDescent="0.35">
      <c r="A512" s="43"/>
      <c r="B512" s="44"/>
      <c r="C512" s="44"/>
      <c r="D512" s="47"/>
      <c r="E512" s="47"/>
      <c r="F512" s="45"/>
      <c r="G512" s="7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2.75" customHeight="1" x14ac:dyDescent="0.35">
      <c r="A513" s="43"/>
      <c r="B513" s="44"/>
      <c r="C513" s="44"/>
      <c r="D513" s="47"/>
      <c r="E513" s="47"/>
      <c r="F513" s="45"/>
      <c r="G513" s="7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2.75" customHeight="1" x14ac:dyDescent="0.35">
      <c r="A514" s="43"/>
      <c r="B514" s="44"/>
      <c r="C514" s="44"/>
      <c r="D514" s="47"/>
      <c r="E514" s="47"/>
      <c r="F514" s="45"/>
      <c r="G514" s="7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2.75" customHeight="1" x14ac:dyDescent="0.35">
      <c r="A515" s="43"/>
      <c r="B515" s="44"/>
      <c r="C515" s="44"/>
      <c r="D515" s="47"/>
      <c r="E515" s="47"/>
      <c r="F515" s="45"/>
      <c r="G515" s="7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2.75" customHeight="1" x14ac:dyDescent="0.35">
      <c r="A516" s="43"/>
      <c r="B516" s="44"/>
      <c r="C516" s="44"/>
      <c r="D516" s="47"/>
      <c r="E516" s="47"/>
      <c r="F516" s="45"/>
      <c r="G516" s="7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2.75" customHeight="1" x14ac:dyDescent="0.35">
      <c r="A517" s="43"/>
      <c r="B517" s="44"/>
      <c r="C517" s="44"/>
      <c r="D517" s="47"/>
      <c r="E517" s="47"/>
      <c r="F517" s="45"/>
      <c r="G517" s="7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2.75" customHeight="1" x14ac:dyDescent="0.35">
      <c r="A518" s="43"/>
      <c r="B518" s="44"/>
      <c r="C518" s="44"/>
      <c r="D518" s="47"/>
      <c r="E518" s="47"/>
      <c r="F518" s="45"/>
      <c r="G518" s="7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2.75" customHeight="1" x14ac:dyDescent="0.35">
      <c r="A519" s="43"/>
      <c r="B519" s="44"/>
      <c r="C519" s="44"/>
      <c r="D519" s="47"/>
      <c r="E519" s="47"/>
      <c r="F519" s="45"/>
      <c r="G519" s="7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2.75" customHeight="1" x14ac:dyDescent="0.35">
      <c r="A520" s="43"/>
      <c r="B520" s="44"/>
      <c r="C520" s="44"/>
      <c r="D520" s="47"/>
      <c r="E520" s="47"/>
      <c r="F520" s="45"/>
      <c r="G520" s="7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2.75" customHeight="1" x14ac:dyDescent="0.35">
      <c r="A521" s="43"/>
      <c r="B521" s="44"/>
      <c r="C521" s="44"/>
      <c r="D521" s="47"/>
      <c r="E521" s="47"/>
      <c r="F521" s="45"/>
      <c r="G521" s="7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2.75" customHeight="1" x14ac:dyDescent="0.35">
      <c r="A522" s="43"/>
      <c r="B522" s="44"/>
      <c r="C522" s="44"/>
      <c r="D522" s="47"/>
      <c r="E522" s="47"/>
      <c r="F522" s="45"/>
      <c r="G522" s="7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2.75" customHeight="1" x14ac:dyDescent="0.35">
      <c r="A523" s="43"/>
      <c r="B523" s="44"/>
      <c r="C523" s="44"/>
      <c r="D523" s="47"/>
      <c r="E523" s="47"/>
      <c r="F523" s="45"/>
      <c r="G523" s="7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2.75" customHeight="1" x14ac:dyDescent="0.35">
      <c r="A524" s="43"/>
      <c r="B524" s="44"/>
      <c r="C524" s="44"/>
      <c r="D524" s="47"/>
      <c r="E524" s="47"/>
      <c r="F524" s="45"/>
      <c r="G524" s="7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2.75" customHeight="1" x14ac:dyDescent="0.35">
      <c r="A525" s="43"/>
      <c r="B525" s="44"/>
      <c r="C525" s="44"/>
      <c r="D525" s="47"/>
      <c r="E525" s="47"/>
      <c r="F525" s="45"/>
      <c r="G525" s="7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2.75" customHeight="1" x14ac:dyDescent="0.35">
      <c r="A526" s="43"/>
      <c r="B526" s="44"/>
      <c r="C526" s="44"/>
      <c r="D526" s="47"/>
      <c r="E526" s="47"/>
      <c r="F526" s="45"/>
      <c r="G526" s="7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2.75" customHeight="1" x14ac:dyDescent="0.35">
      <c r="A527" s="43"/>
      <c r="B527" s="44"/>
      <c r="C527" s="44"/>
      <c r="D527" s="47"/>
      <c r="E527" s="47"/>
      <c r="F527" s="45"/>
      <c r="G527" s="7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2.75" customHeight="1" x14ac:dyDescent="0.35">
      <c r="A528" s="43"/>
      <c r="B528" s="44"/>
      <c r="C528" s="44"/>
      <c r="D528" s="47"/>
      <c r="E528" s="47"/>
      <c r="F528" s="45"/>
      <c r="G528" s="7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2.75" customHeight="1" x14ac:dyDescent="0.35">
      <c r="A529" s="43"/>
      <c r="B529" s="44"/>
      <c r="C529" s="44"/>
      <c r="D529" s="47"/>
      <c r="E529" s="47"/>
      <c r="F529" s="45"/>
      <c r="G529" s="7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2.75" customHeight="1" x14ac:dyDescent="0.35">
      <c r="A530" s="43"/>
      <c r="B530" s="44"/>
      <c r="C530" s="44"/>
      <c r="D530" s="47"/>
      <c r="E530" s="47"/>
      <c r="F530" s="45"/>
      <c r="G530" s="7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2.75" customHeight="1" x14ac:dyDescent="0.35">
      <c r="A531" s="43"/>
      <c r="B531" s="44"/>
      <c r="C531" s="44"/>
      <c r="D531" s="47"/>
      <c r="E531" s="47"/>
      <c r="F531" s="45"/>
      <c r="G531" s="7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2.75" customHeight="1" x14ac:dyDescent="0.35">
      <c r="A532" s="43"/>
      <c r="B532" s="44"/>
      <c r="C532" s="44"/>
      <c r="D532" s="47"/>
      <c r="E532" s="47"/>
      <c r="F532" s="45"/>
      <c r="G532" s="7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2.75" customHeight="1" x14ac:dyDescent="0.35">
      <c r="A533" s="43"/>
      <c r="B533" s="44"/>
      <c r="C533" s="44"/>
      <c r="D533" s="47"/>
      <c r="E533" s="47"/>
      <c r="F533" s="45"/>
      <c r="G533" s="7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2.75" customHeight="1" x14ac:dyDescent="0.35">
      <c r="A534" s="43"/>
      <c r="B534" s="44"/>
      <c r="C534" s="44"/>
      <c r="D534" s="47"/>
      <c r="E534" s="47"/>
      <c r="F534" s="45"/>
      <c r="G534" s="7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2.75" customHeight="1" x14ac:dyDescent="0.35">
      <c r="A535" s="43"/>
      <c r="B535" s="44"/>
      <c r="C535" s="44"/>
      <c r="D535" s="47"/>
      <c r="E535" s="47"/>
      <c r="F535" s="45"/>
      <c r="G535" s="7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2.75" customHeight="1" x14ac:dyDescent="0.35">
      <c r="A536" s="43"/>
      <c r="B536" s="44"/>
      <c r="C536" s="44"/>
      <c r="D536" s="47"/>
      <c r="E536" s="47"/>
      <c r="F536" s="45"/>
      <c r="G536" s="7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2.75" customHeight="1" x14ac:dyDescent="0.35">
      <c r="A537" s="43"/>
      <c r="B537" s="44"/>
      <c r="C537" s="44"/>
      <c r="D537" s="47"/>
      <c r="E537" s="47"/>
      <c r="F537" s="45"/>
      <c r="G537" s="7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2.75" customHeight="1" x14ac:dyDescent="0.35">
      <c r="A538" s="43"/>
      <c r="B538" s="44"/>
      <c r="C538" s="44"/>
      <c r="D538" s="47"/>
      <c r="E538" s="47"/>
      <c r="F538" s="45"/>
      <c r="G538" s="7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2.75" customHeight="1" x14ac:dyDescent="0.35">
      <c r="A539" s="43"/>
      <c r="B539" s="44"/>
      <c r="C539" s="44"/>
      <c r="D539" s="47"/>
      <c r="E539" s="47"/>
      <c r="F539" s="45"/>
      <c r="G539" s="7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2.75" customHeight="1" x14ac:dyDescent="0.35">
      <c r="A540" s="43"/>
      <c r="B540" s="44"/>
      <c r="C540" s="44"/>
      <c r="D540" s="47"/>
      <c r="E540" s="47"/>
      <c r="F540" s="45"/>
      <c r="G540" s="7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2.75" customHeight="1" x14ac:dyDescent="0.35">
      <c r="A541" s="43"/>
      <c r="B541" s="44"/>
      <c r="C541" s="44"/>
      <c r="D541" s="47"/>
      <c r="E541" s="47"/>
      <c r="F541" s="45"/>
      <c r="G541" s="7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2.75" customHeight="1" x14ac:dyDescent="0.35">
      <c r="A542" s="43"/>
      <c r="B542" s="44"/>
      <c r="C542" s="44"/>
      <c r="D542" s="47"/>
      <c r="E542" s="47"/>
      <c r="F542" s="45"/>
      <c r="G542" s="7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2.75" customHeight="1" x14ac:dyDescent="0.35">
      <c r="A543" s="43"/>
      <c r="B543" s="44"/>
      <c r="C543" s="44"/>
      <c r="D543" s="47"/>
      <c r="E543" s="47"/>
      <c r="F543" s="45"/>
      <c r="G543" s="7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2.75" customHeight="1" x14ac:dyDescent="0.35">
      <c r="A544" s="43"/>
      <c r="B544" s="44"/>
      <c r="C544" s="44"/>
      <c r="D544" s="47"/>
      <c r="E544" s="47"/>
      <c r="F544" s="45"/>
      <c r="G544" s="7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2.75" customHeight="1" x14ac:dyDescent="0.35">
      <c r="A545" s="43"/>
      <c r="B545" s="44"/>
      <c r="C545" s="44"/>
      <c r="D545" s="47"/>
      <c r="E545" s="47"/>
      <c r="F545" s="45"/>
      <c r="G545" s="7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2.75" customHeight="1" x14ac:dyDescent="0.35">
      <c r="A546" s="43"/>
      <c r="B546" s="44"/>
      <c r="C546" s="44"/>
      <c r="D546" s="47"/>
      <c r="E546" s="47"/>
      <c r="F546" s="45"/>
      <c r="G546" s="7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2.75" customHeight="1" x14ac:dyDescent="0.35">
      <c r="A547" s="43"/>
      <c r="B547" s="44"/>
      <c r="C547" s="44"/>
      <c r="D547" s="47"/>
      <c r="E547" s="47"/>
      <c r="F547" s="45"/>
      <c r="G547" s="7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2.75" customHeight="1" x14ac:dyDescent="0.35">
      <c r="A548" s="43"/>
      <c r="B548" s="44"/>
      <c r="C548" s="44"/>
      <c r="D548" s="47"/>
      <c r="E548" s="47"/>
      <c r="F548" s="45"/>
      <c r="G548" s="7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2.75" customHeight="1" x14ac:dyDescent="0.35">
      <c r="A549" s="43"/>
      <c r="B549" s="44"/>
      <c r="C549" s="44"/>
      <c r="D549" s="47"/>
      <c r="E549" s="47"/>
      <c r="F549" s="45"/>
      <c r="G549" s="7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2.75" customHeight="1" x14ac:dyDescent="0.35">
      <c r="A550" s="43"/>
      <c r="B550" s="44"/>
      <c r="C550" s="44"/>
      <c r="D550" s="47"/>
      <c r="E550" s="47"/>
      <c r="F550" s="45"/>
      <c r="G550" s="7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2.75" customHeight="1" x14ac:dyDescent="0.35">
      <c r="A551" s="43"/>
      <c r="B551" s="44"/>
      <c r="C551" s="44"/>
      <c r="D551" s="47"/>
      <c r="E551" s="47"/>
      <c r="F551" s="45"/>
      <c r="G551" s="7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2.75" customHeight="1" x14ac:dyDescent="0.35">
      <c r="A552" s="43"/>
      <c r="B552" s="44"/>
      <c r="C552" s="44"/>
      <c r="D552" s="47"/>
      <c r="E552" s="47"/>
      <c r="F552" s="45"/>
      <c r="G552" s="7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2.75" customHeight="1" x14ac:dyDescent="0.35">
      <c r="A553" s="43"/>
      <c r="B553" s="44"/>
      <c r="C553" s="44"/>
      <c r="D553" s="47"/>
      <c r="E553" s="47"/>
      <c r="F553" s="45"/>
      <c r="G553" s="7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2.75" customHeight="1" x14ac:dyDescent="0.35">
      <c r="A554" s="43"/>
      <c r="B554" s="44"/>
      <c r="C554" s="44"/>
      <c r="D554" s="47"/>
      <c r="E554" s="47"/>
      <c r="F554" s="45"/>
      <c r="G554" s="7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2.75" customHeight="1" x14ac:dyDescent="0.35">
      <c r="A555" s="43"/>
      <c r="B555" s="44"/>
      <c r="C555" s="44"/>
      <c r="D555" s="47"/>
      <c r="E555" s="47"/>
      <c r="F555" s="45"/>
      <c r="G555" s="7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2.75" customHeight="1" x14ac:dyDescent="0.35">
      <c r="A556" s="43"/>
      <c r="B556" s="44"/>
      <c r="C556" s="44"/>
      <c r="D556" s="47"/>
      <c r="E556" s="47"/>
      <c r="F556" s="45"/>
      <c r="G556" s="7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2.75" customHeight="1" x14ac:dyDescent="0.35">
      <c r="A557" s="43"/>
      <c r="B557" s="44"/>
      <c r="C557" s="44"/>
      <c r="D557" s="47"/>
      <c r="E557" s="47"/>
      <c r="F557" s="45"/>
      <c r="G557" s="7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2.75" customHeight="1" x14ac:dyDescent="0.35">
      <c r="A558" s="43"/>
      <c r="B558" s="44"/>
      <c r="C558" s="44"/>
      <c r="D558" s="47"/>
      <c r="E558" s="47"/>
      <c r="F558" s="45"/>
      <c r="G558" s="7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2.75" customHeight="1" x14ac:dyDescent="0.35">
      <c r="A559" s="43"/>
      <c r="B559" s="44"/>
      <c r="C559" s="44"/>
      <c r="D559" s="47"/>
      <c r="E559" s="47"/>
      <c r="F559" s="45"/>
      <c r="G559" s="7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2.75" customHeight="1" x14ac:dyDescent="0.35">
      <c r="A560" s="43"/>
      <c r="B560" s="44"/>
      <c r="C560" s="44"/>
      <c r="D560" s="47"/>
      <c r="E560" s="47"/>
      <c r="F560" s="45"/>
      <c r="G560" s="7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2.75" customHeight="1" x14ac:dyDescent="0.35">
      <c r="A561" s="43"/>
      <c r="B561" s="44"/>
      <c r="C561" s="44"/>
      <c r="D561" s="47"/>
      <c r="E561" s="47"/>
      <c r="F561" s="45"/>
      <c r="G561" s="7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2.75" customHeight="1" x14ac:dyDescent="0.35">
      <c r="A562" s="43"/>
      <c r="B562" s="44"/>
      <c r="C562" s="44"/>
      <c r="D562" s="47"/>
      <c r="E562" s="47"/>
      <c r="F562" s="45"/>
      <c r="G562" s="7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2.75" customHeight="1" x14ac:dyDescent="0.35">
      <c r="A563" s="43"/>
      <c r="B563" s="44"/>
      <c r="C563" s="44"/>
      <c r="D563" s="47"/>
      <c r="E563" s="47"/>
      <c r="F563" s="45"/>
      <c r="G563" s="7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2.75" customHeight="1" x14ac:dyDescent="0.35">
      <c r="A564" s="43"/>
      <c r="B564" s="44"/>
      <c r="C564" s="44"/>
      <c r="D564" s="47"/>
      <c r="E564" s="47"/>
      <c r="F564" s="45"/>
      <c r="G564" s="7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2.75" customHeight="1" x14ac:dyDescent="0.35">
      <c r="A565" s="43"/>
      <c r="B565" s="44"/>
      <c r="C565" s="44"/>
      <c r="D565" s="47"/>
      <c r="E565" s="47"/>
      <c r="F565" s="45"/>
      <c r="G565" s="7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2.75" customHeight="1" x14ac:dyDescent="0.35">
      <c r="A566" s="43"/>
      <c r="B566" s="44"/>
      <c r="C566" s="44"/>
      <c r="D566" s="47"/>
      <c r="E566" s="47"/>
      <c r="F566" s="45"/>
      <c r="G566" s="7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2.75" customHeight="1" x14ac:dyDescent="0.35">
      <c r="A567" s="43"/>
      <c r="B567" s="44"/>
      <c r="C567" s="44"/>
      <c r="D567" s="47"/>
      <c r="E567" s="47"/>
      <c r="F567" s="45"/>
      <c r="G567" s="7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2.75" customHeight="1" x14ac:dyDescent="0.35">
      <c r="A568" s="43"/>
      <c r="B568" s="44"/>
      <c r="C568" s="44"/>
      <c r="D568" s="47"/>
      <c r="E568" s="47"/>
      <c r="F568" s="45"/>
      <c r="G568" s="7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2.75" customHeight="1" x14ac:dyDescent="0.35">
      <c r="A569" s="43"/>
      <c r="B569" s="44"/>
      <c r="C569" s="44"/>
      <c r="D569" s="47"/>
      <c r="E569" s="47"/>
      <c r="F569" s="45"/>
      <c r="G569" s="7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2.75" customHeight="1" x14ac:dyDescent="0.35">
      <c r="A570" s="43"/>
      <c r="B570" s="44"/>
      <c r="C570" s="44"/>
      <c r="D570" s="47"/>
      <c r="E570" s="47"/>
      <c r="F570" s="45"/>
      <c r="G570" s="7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2.75" customHeight="1" x14ac:dyDescent="0.35">
      <c r="A571" s="43"/>
      <c r="B571" s="44"/>
      <c r="C571" s="44"/>
      <c r="D571" s="47"/>
      <c r="E571" s="47"/>
      <c r="F571" s="45"/>
      <c r="G571" s="7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2.75" customHeight="1" x14ac:dyDescent="0.35">
      <c r="A572" s="43"/>
      <c r="B572" s="44"/>
      <c r="C572" s="44"/>
      <c r="D572" s="47"/>
      <c r="E572" s="47"/>
      <c r="F572" s="45"/>
      <c r="G572" s="7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2.75" customHeight="1" x14ac:dyDescent="0.35">
      <c r="A573" s="43"/>
      <c r="B573" s="44"/>
      <c r="C573" s="44"/>
      <c r="D573" s="47"/>
      <c r="E573" s="47"/>
      <c r="F573" s="45"/>
      <c r="G573" s="7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2.75" customHeight="1" x14ac:dyDescent="0.35">
      <c r="A574" s="43"/>
      <c r="B574" s="44"/>
      <c r="C574" s="44"/>
      <c r="D574" s="47"/>
      <c r="E574" s="47"/>
      <c r="F574" s="45"/>
      <c r="G574" s="7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2.75" customHeight="1" x14ac:dyDescent="0.35">
      <c r="A575" s="43"/>
      <c r="B575" s="44"/>
      <c r="C575" s="44"/>
      <c r="D575" s="47"/>
      <c r="E575" s="47"/>
      <c r="F575" s="45"/>
      <c r="G575" s="7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2.75" customHeight="1" x14ac:dyDescent="0.35">
      <c r="A576" s="43"/>
      <c r="B576" s="44"/>
      <c r="C576" s="44"/>
      <c r="D576" s="47"/>
      <c r="E576" s="47"/>
      <c r="F576" s="45"/>
      <c r="G576" s="7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2.75" customHeight="1" x14ac:dyDescent="0.35">
      <c r="A577" s="43"/>
      <c r="B577" s="44"/>
      <c r="C577" s="44"/>
      <c r="D577" s="47"/>
      <c r="E577" s="47"/>
      <c r="F577" s="45"/>
      <c r="G577" s="7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2.75" customHeight="1" x14ac:dyDescent="0.35">
      <c r="A578" s="43"/>
      <c r="B578" s="44"/>
      <c r="C578" s="44"/>
      <c r="D578" s="47"/>
      <c r="E578" s="47"/>
      <c r="F578" s="45"/>
      <c r="G578" s="7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2.75" customHeight="1" x14ac:dyDescent="0.35">
      <c r="A579" s="43"/>
      <c r="B579" s="44"/>
      <c r="C579" s="44"/>
      <c r="D579" s="47"/>
      <c r="E579" s="47"/>
      <c r="F579" s="45"/>
      <c r="G579" s="7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2.75" customHeight="1" x14ac:dyDescent="0.35">
      <c r="A580" s="43"/>
      <c r="B580" s="44"/>
      <c r="C580" s="44"/>
      <c r="D580" s="47"/>
      <c r="E580" s="47"/>
      <c r="F580" s="45"/>
      <c r="G580" s="7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2.75" customHeight="1" x14ac:dyDescent="0.35">
      <c r="A581" s="43"/>
      <c r="B581" s="44"/>
      <c r="C581" s="44"/>
      <c r="D581" s="47"/>
      <c r="E581" s="47"/>
      <c r="F581" s="45"/>
      <c r="G581" s="7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2.75" customHeight="1" x14ac:dyDescent="0.35">
      <c r="A582" s="43"/>
      <c r="B582" s="44"/>
      <c r="C582" s="44"/>
      <c r="D582" s="47"/>
      <c r="E582" s="47"/>
      <c r="F582" s="45"/>
      <c r="G582" s="7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2.75" customHeight="1" x14ac:dyDescent="0.35">
      <c r="A583" s="43"/>
      <c r="B583" s="44"/>
      <c r="C583" s="44"/>
      <c r="D583" s="47"/>
      <c r="E583" s="47"/>
      <c r="F583" s="45"/>
      <c r="G583" s="7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2.75" customHeight="1" x14ac:dyDescent="0.35">
      <c r="A584" s="43"/>
      <c r="B584" s="44"/>
      <c r="C584" s="44"/>
      <c r="D584" s="47"/>
      <c r="E584" s="47"/>
      <c r="F584" s="45"/>
      <c r="G584" s="7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2.75" customHeight="1" x14ac:dyDescent="0.35">
      <c r="A585" s="43"/>
      <c r="B585" s="44"/>
      <c r="C585" s="44"/>
      <c r="D585" s="47"/>
      <c r="E585" s="47"/>
      <c r="F585" s="45"/>
      <c r="G585" s="7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2.75" customHeight="1" x14ac:dyDescent="0.35">
      <c r="A586" s="43"/>
      <c r="B586" s="44"/>
      <c r="C586" s="44"/>
      <c r="D586" s="47"/>
      <c r="E586" s="47"/>
      <c r="F586" s="45"/>
      <c r="G586" s="7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2.75" customHeight="1" x14ac:dyDescent="0.35">
      <c r="A587" s="43"/>
      <c r="B587" s="44"/>
      <c r="C587" s="44"/>
      <c r="D587" s="47"/>
      <c r="E587" s="47"/>
      <c r="F587" s="45"/>
      <c r="G587" s="7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2.75" customHeight="1" x14ac:dyDescent="0.35">
      <c r="A588" s="43"/>
      <c r="B588" s="44"/>
      <c r="C588" s="44"/>
      <c r="D588" s="47"/>
      <c r="E588" s="47"/>
      <c r="F588" s="45"/>
      <c r="G588" s="7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2.75" customHeight="1" x14ac:dyDescent="0.35">
      <c r="A589" s="43"/>
      <c r="B589" s="44"/>
      <c r="C589" s="44"/>
      <c r="D589" s="47"/>
      <c r="E589" s="47"/>
      <c r="F589" s="45"/>
      <c r="G589" s="7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2.75" customHeight="1" x14ac:dyDescent="0.35">
      <c r="A590" s="43"/>
      <c r="B590" s="44"/>
      <c r="C590" s="44"/>
      <c r="D590" s="47"/>
      <c r="E590" s="47"/>
      <c r="F590" s="45"/>
      <c r="G590" s="7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2.75" customHeight="1" x14ac:dyDescent="0.35">
      <c r="A591" s="43"/>
      <c r="B591" s="44"/>
      <c r="C591" s="44"/>
      <c r="D591" s="47"/>
      <c r="E591" s="47"/>
      <c r="F591" s="45"/>
      <c r="G591" s="7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2.75" customHeight="1" x14ac:dyDescent="0.35">
      <c r="A592" s="43"/>
      <c r="B592" s="44"/>
      <c r="C592" s="44"/>
      <c r="D592" s="47"/>
      <c r="E592" s="47"/>
      <c r="F592" s="45"/>
      <c r="G592" s="7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2.75" customHeight="1" x14ac:dyDescent="0.35">
      <c r="A593" s="43"/>
      <c r="B593" s="44"/>
      <c r="C593" s="44"/>
      <c r="D593" s="47"/>
      <c r="E593" s="47"/>
      <c r="F593" s="45"/>
      <c r="G593" s="7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2.75" customHeight="1" x14ac:dyDescent="0.35">
      <c r="A594" s="43"/>
      <c r="B594" s="44"/>
      <c r="C594" s="44"/>
      <c r="D594" s="47"/>
      <c r="E594" s="47"/>
      <c r="F594" s="45"/>
      <c r="G594" s="7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2.75" customHeight="1" x14ac:dyDescent="0.35">
      <c r="A595" s="43"/>
      <c r="B595" s="44"/>
      <c r="C595" s="44"/>
      <c r="D595" s="47"/>
      <c r="E595" s="47"/>
      <c r="F595" s="45"/>
      <c r="G595" s="7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2.75" customHeight="1" x14ac:dyDescent="0.35">
      <c r="A596" s="43"/>
      <c r="B596" s="44"/>
      <c r="C596" s="44"/>
      <c r="D596" s="47"/>
      <c r="E596" s="47"/>
      <c r="F596" s="45"/>
      <c r="G596" s="7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2.75" customHeight="1" x14ac:dyDescent="0.35">
      <c r="A597" s="43"/>
      <c r="B597" s="44"/>
      <c r="C597" s="44"/>
      <c r="D597" s="47"/>
      <c r="E597" s="47"/>
      <c r="F597" s="45"/>
      <c r="G597" s="7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2.75" customHeight="1" x14ac:dyDescent="0.35">
      <c r="A598" s="43"/>
      <c r="B598" s="44"/>
      <c r="C598" s="44"/>
      <c r="D598" s="47"/>
      <c r="E598" s="47"/>
      <c r="F598" s="45"/>
      <c r="G598" s="7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2.75" customHeight="1" x14ac:dyDescent="0.35">
      <c r="A599" s="43"/>
      <c r="B599" s="44"/>
      <c r="C599" s="44"/>
      <c r="D599" s="47"/>
      <c r="E599" s="47"/>
      <c r="F599" s="45"/>
      <c r="G599" s="7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2.75" customHeight="1" x14ac:dyDescent="0.35">
      <c r="A600" s="43"/>
      <c r="B600" s="44"/>
      <c r="C600" s="44"/>
      <c r="D600" s="47"/>
      <c r="E600" s="47"/>
      <c r="F600" s="45"/>
      <c r="G600" s="7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2.75" customHeight="1" x14ac:dyDescent="0.35">
      <c r="A601" s="43"/>
      <c r="B601" s="44"/>
      <c r="C601" s="44"/>
      <c r="D601" s="47"/>
      <c r="E601" s="47"/>
      <c r="F601" s="45"/>
      <c r="G601" s="7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2.75" customHeight="1" x14ac:dyDescent="0.35">
      <c r="A602" s="43"/>
      <c r="B602" s="44"/>
      <c r="C602" s="44"/>
      <c r="D602" s="47"/>
      <c r="E602" s="47"/>
      <c r="F602" s="45"/>
      <c r="G602" s="7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2.75" customHeight="1" x14ac:dyDescent="0.35">
      <c r="A603" s="43"/>
      <c r="B603" s="44"/>
      <c r="C603" s="44"/>
      <c r="D603" s="47"/>
      <c r="E603" s="47"/>
      <c r="F603" s="45"/>
      <c r="G603" s="7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2.75" customHeight="1" x14ac:dyDescent="0.35">
      <c r="A604" s="43"/>
      <c r="B604" s="44"/>
      <c r="C604" s="44"/>
      <c r="D604" s="47"/>
      <c r="E604" s="47"/>
      <c r="F604" s="45"/>
      <c r="G604" s="7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2.75" customHeight="1" x14ac:dyDescent="0.35">
      <c r="A605" s="43"/>
      <c r="B605" s="44"/>
      <c r="C605" s="44"/>
      <c r="D605" s="47"/>
      <c r="E605" s="47"/>
      <c r="F605" s="45"/>
      <c r="G605" s="7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2.75" customHeight="1" x14ac:dyDescent="0.35">
      <c r="A606" s="43"/>
      <c r="B606" s="44"/>
      <c r="C606" s="44"/>
      <c r="D606" s="47"/>
      <c r="E606" s="47"/>
      <c r="F606" s="45"/>
      <c r="G606" s="7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2.75" customHeight="1" x14ac:dyDescent="0.35">
      <c r="A607" s="43"/>
      <c r="B607" s="44"/>
      <c r="C607" s="44"/>
      <c r="D607" s="47"/>
      <c r="E607" s="47"/>
      <c r="F607" s="45"/>
      <c r="G607" s="7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2.75" customHeight="1" x14ac:dyDescent="0.35">
      <c r="A608" s="43"/>
      <c r="B608" s="44"/>
      <c r="C608" s="44"/>
      <c r="D608" s="47"/>
      <c r="E608" s="47"/>
      <c r="F608" s="45"/>
      <c r="G608" s="7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2.75" customHeight="1" x14ac:dyDescent="0.35">
      <c r="A609" s="43"/>
      <c r="B609" s="44"/>
      <c r="C609" s="44"/>
      <c r="D609" s="47"/>
      <c r="E609" s="47"/>
      <c r="F609" s="45"/>
      <c r="G609" s="7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2.75" customHeight="1" x14ac:dyDescent="0.35">
      <c r="A610" s="43"/>
      <c r="B610" s="44"/>
      <c r="C610" s="44"/>
      <c r="D610" s="47"/>
      <c r="E610" s="47"/>
      <c r="F610" s="45"/>
      <c r="G610" s="7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2.75" customHeight="1" x14ac:dyDescent="0.35">
      <c r="A611" s="43"/>
      <c r="B611" s="44"/>
      <c r="C611" s="44"/>
      <c r="D611" s="47"/>
      <c r="E611" s="47"/>
      <c r="F611" s="45"/>
      <c r="G611" s="7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2.75" customHeight="1" x14ac:dyDescent="0.35">
      <c r="A612" s="43"/>
      <c r="B612" s="44"/>
      <c r="C612" s="44"/>
      <c r="D612" s="47"/>
      <c r="E612" s="47"/>
      <c r="F612" s="45"/>
      <c r="G612" s="7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2.75" customHeight="1" x14ac:dyDescent="0.35">
      <c r="A613" s="43"/>
      <c r="B613" s="44"/>
      <c r="C613" s="44"/>
      <c r="D613" s="47"/>
      <c r="E613" s="47"/>
      <c r="F613" s="45"/>
      <c r="G613" s="7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2.75" customHeight="1" x14ac:dyDescent="0.35">
      <c r="A614" s="43"/>
      <c r="B614" s="44"/>
      <c r="C614" s="44"/>
      <c r="D614" s="47"/>
      <c r="E614" s="47"/>
      <c r="F614" s="45"/>
      <c r="G614" s="7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2.75" customHeight="1" x14ac:dyDescent="0.35">
      <c r="A615" s="43"/>
      <c r="B615" s="44"/>
      <c r="C615" s="44"/>
      <c r="D615" s="47"/>
      <c r="E615" s="47"/>
      <c r="F615" s="45"/>
      <c r="G615" s="7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2.75" customHeight="1" x14ac:dyDescent="0.35">
      <c r="A616" s="43"/>
      <c r="B616" s="44"/>
      <c r="C616" s="44"/>
      <c r="D616" s="47"/>
      <c r="E616" s="47"/>
      <c r="F616" s="45"/>
      <c r="G616" s="7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2.75" customHeight="1" x14ac:dyDescent="0.35">
      <c r="A617" s="43"/>
      <c r="B617" s="44"/>
      <c r="C617" s="44"/>
      <c r="D617" s="47"/>
      <c r="E617" s="47"/>
      <c r="F617" s="45"/>
      <c r="G617" s="7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2.75" customHeight="1" x14ac:dyDescent="0.35">
      <c r="A618" s="43"/>
      <c r="B618" s="44"/>
      <c r="C618" s="44"/>
      <c r="D618" s="47"/>
      <c r="E618" s="47"/>
      <c r="F618" s="45"/>
      <c r="G618" s="7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2.75" customHeight="1" x14ac:dyDescent="0.35">
      <c r="A619" s="43"/>
      <c r="B619" s="44"/>
      <c r="C619" s="44"/>
      <c r="D619" s="47"/>
      <c r="E619" s="47"/>
      <c r="F619" s="45"/>
      <c r="G619" s="7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2.75" customHeight="1" x14ac:dyDescent="0.35">
      <c r="A620" s="43"/>
      <c r="B620" s="44"/>
      <c r="C620" s="44"/>
      <c r="D620" s="47"/>
      <c r="E620" s="47"/>
      <c r="F620" s="45"/>
      <c r="G620" s="7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2.75" customHeight="1" x14ac:dyDescent="0.35">
      <c r="A621" s="43"/>
      <c r="B621" s="44"/>
      <c r="C621" s="44"/>
      <c r="D621" s="47"/>
      <c r="E621" s="47"/>
      <c r="F621" s="45"/>
      <c r="G621" s="7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2.75" customHeight="1" x14ac:dyDescent="0.35">
      <c r="A622" s="43"/>
      <c r="B622" s="44"/>
      <c r="C622" s="44"/>
      <c r="D622" s="47"/>
      <c r="E622" s="47"/>
      <c r="F622" s="45"/>
      <c r="G622" s="7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2.75" customHeight="1" x14ac:dyDescent="0.35">
      <c r="A623" s="43"/>
      <c r="B623" s="44"/>
      <c r="C623" s="44"/>
      <c r="D623" s="47"/>
      <c r="E623" s="47"/>
      <c r="F623" s="45"/>
      <c r="G623" s="7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2.75" customHeight="1" x14ac:dyDescent="0.35">
      <c r="A624" s="43"/>
      <c r="B624" s="44"/>
      <c r="C624" s="44"/>
      <c r="D624" s="47"/>
      <c r="E624" s="47"/>
      <c r="F624" s="45"/>
      <c r="G624" s="7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2.75" customHeight="1" x14ac:dyDescent="0.35">
      <c r="A625" s="43"/>
      <c r="B625" s="44"/>
      <c r="C625" s="44"/>
      <c r="D625" s="47"/>
      <c r="E625" s="47"/>
      <c r="F625" s="45"/>
      <c r="G625" s="7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2.75" customHeight="1" x14ac:dyDescent="0.35">
      <c r="A626" s="43"/>
      <c r="B626" s="44"/>
      <c r="C626" s="44"/>
      <c r="D626" s="47"/>
      <c r="E626" s="47"/>
      <c r="F626" s="45"/>
      <c r="G626" s="7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2.75" customHeight="1" x14ac:dyDescent="0.35">
      <c r="A627" s="43"/>
      <c r="B627" s="44"/>
      <c r="C627" s="44"/>
      <c r="D627" s="47"/>
      <c r="E627" s="47"/>
      <c r="F627" s="45"/>
      <c r="G627" s="7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2.75" customHeight="1" x14ac:dyDescent="0.35">
      <c r="A628" s="43"/>
      <c r="B628" s="44"/>
      <c r="C628" s="44"/>
      <c r="D628" s="47"/>
      <c r="E628" s="47"/>
      <c r="F628" s="45"/>
      <c r="G628" s="7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2.75" customHeight="1" x14ac:dyDescent="0.35">
      <c r="A629" s="43"/>
      <c r="B629" s="44"/>
      <c r="C629" s="44"/>
      <c r="D629" s="47"/>
      <c r="E629" s="47"/>
      <c r="F629" s="45"/>
      <c r="G629" s="7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2.75" customHeight="1" x14ac:dyDescent="0.35">
      <c r="A630" s="43"/>
      <c r="B630" s="44"/>
      <c r="C630" s="44"/>
      <c r="D630" s="47"/>
      <c r="E630" s="47"/>
      <c r="F630" s="45"/>
      <c r="G630" s="7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2.75" customHeight="1" x14ac:dyDescent="0.35">
      <c r="A631" s="43"/>
      <c r="B631" s="44"/>
      <c r="C631" s="44"/>
      <c r="D631" s="47"/>
      <c r="E631" s="47"/>
      <c r="F631" s="45"/>
      <c r="G631" s="7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2.75" customHeight="1" x14ac:dyDescent="0.35">
      <c r="A632" s="43"/>
      <c r="B632" s="44"/>
      <c r="C632" s="44"/>
      <c r="D632" s="47"/>
      <c r="E632" s="47"/>
      <c r="F632" s="45"/>
      <c r="G632" s="7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2.75" customHeight="1" x14ac:dyDescent="0.35">
      <c r="A633" s="43"/>
      <c r="B633" s="44"/>
      <c r="C633" s="44"/>
      <c r="D633" s="47"/>
      <c r="E633" s="47"/>
      <c r="F633" s="45"/>
      <c r="G633" s="7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2.75" customHeight="1" x14ac:dyDescent="0.35">
      <c r="A634" s="43"/>
      <c r="B634" s="44"/>
      <c r="C634" s="44"/>
      <c r="D634" s="47"/>
      <c r="E634" s="47"/>
      <c r="F634" s="45"/>
      <c r="G634" s="7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2.75" customHeight="1" x14ac:dyDescent="0.35">
      <c r="A635" s="43"/>
      <c r="B635" s="44"/>
      <c r="C635" s="44"/>
      <c r="D635" s="47"/>
      <c r="E635" s="47"/>
      <c r="F635" s="45"/>
      <c r="G635" s="7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2.75" customHeight="1" x14ac:dyDescent="0.35">
      <c r="A636" s="43"/>
      <c r="B636" s="44"/>
      <c r="C636" s="44"/>
      <c r="D636" s="47"/>
      <c r="E636" s="47"/>
      <c r="F636" s="45"/>
      <c r="G636" s="7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2.75" customHeight="1" x14ac:dyDescent="0.35">
      <c r="A637" s="43"/>
      <c r="B637" s="44"/>
      <c r="C637" s="44"/>
      <c r="D637" s="47"/>
      <c r="E637" s="47"/>
      <c r="F637" s="45"/>
      <c r="G637" s="7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2.75" customHeight="1" x14ac:dyDescent="0.35">
      <c r="A638" s="43"/>
      <c r="B638" s="44"/>
      <c r="C638" s="44"/>
      <c r="D638" s="47"/>
      <c r="E638" s="47"/>
      <c r="F638" s="45"/>
      <c r="G638" s="7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2.75" customHeight="1" x14ac:dyDescent="0.35">
      <c r="A639" s="43"/>
      <c r="B639" s="44"/>
      <c r="C639" s="44"/>
      <c r="D639" s="47"/>
      <c r="E639" s="47"/>
      <c r="F639" s="45"/>
      <c r="G639" s="7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2.75" customHeight="1" x14ac:dyDescent="0.35">
      <c r="A640" s="43"/>
      <c r="B640" s="44"/>
      <c r="C640" s="44"/>
      <c r="D640" s="47"/>
      <c r="E640" s="47"/>
      <c r="F640" s="45"/>
      <c r="G640" s="7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2.75" customHeight="1" x14ac:dyDescent="0.35">
      <c r="A641" s="43"/>
      <c r="B641" s="44"/>
      <c r="C641" s="44"/>
      <c r="D641" s="47"/>
      <c r="E641" s="47"/>
      <c r="F641" s="45"/>
      <c r="G641" s="7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2.75" customHeight="1" x14ac:dyDescent="0.35">
      <c r="A642" s="43"/>
      <c r="B642" s="44"/>
      <c r="C642" s="44"/>
      <c r="D642" s="47"/>
      <c r="E642" s="47"/>
      <c r="F642" s="45"/>
      <c r="G642" s="7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2.75" customHeight="1" x14ac:dyDescent="0.35">
      <c r="A643" s="43"/>
      <c r="B643" s="44"/>
      <c r="C643" s="44"/>
      <c r="D643" s="47"/>
      <c r="E643" s="47"/>
      <c r="F643" s="45"/>
      <c r="G643" s="7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2.75" customHeight="1" x14ac:dyDescent="0.35">
      <c r="A644" s="43"/>
      <c r="B644" s="44"/>
      <c r="C644" s="44"/>
      <c r="D644" s="47"/>
      <c r="E644" s="47"/>
      <c r="F644" s="45"/>
      <c r="G644" s="7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2.75" customHeight="1" x14ac:dyDescent="0.35">
      <c r="A645" s="43"/>
      <c r="B645" s="44"/>
      <c r="C645" s="44"/>
      <c r="D645" s="47"/>
      <c r="E645" s="47"/>
      <c r="F645" s="45"/>
      <c r="G645" s="7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2.75" customHeight="1" x14ac:dyDescent="0.35">
      <c r="A646" s="43"/>
      <c r="B646" s="44"/>
      <c r="C646" s="44"/>
      <c r="D646" s="47"/>
      <c r="E646" s="47"/>
      <c r="F646" s="45"/>
      <c r="G646" s="7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2.75" customHeight="1" x14ac:dyDescent="0.35">
      <c r="A647" s="43"/>
      <c r="B647" s="44"/>
      <c r="C647" s="44"/>
      <c r="D647" s="47"/>
      <c r="E647" s="47"/>
      <c r="F647" s="45"/>
      <c r="G647" s="7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2.75" customHeight="1" x14ac:dyDescent="0.35">
      <c r="A648" s="43"/>
      <c r="B648" s="44"/>
      <c r="C648" s="44"/>
      <c r="D648" s="47"/>
      <c r="E648" s="47"/>
      <c r="F648" s="45"/>
      <c r="G648" s="7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2.75" customHeight="1" x14ac:dyDescent="0.35">
      <c r="A649" s="43"/>
      <c r="B649" s="44"/>
      <c r="C649" s="44"/>
      <c r="D649" s="47"/>
      <c r="E649" s="47"/>
      <c r="F649" s="45"/>
      <c r="G649" s="7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2.75" customHeight="1" x14ac:dyDescent="0.35">
      <c r="A650" s="43"/>
      <c r="B650" s="44"/>
      <c r="C650" s="44"/>
      <c r="D650" s="47"/>
      <c r="E650" s="47"/>
      <c r="F650" s="45"/>
      <c r="G650" s="7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2.75" customHeight="1" x14ac:dyDescent="0.35">
      <c r="A651" s="43"/>
      <c r="B651" s="44"/>
      <c r="C651" s="44"/>
      <c r="D651" s="47"/>
      <c r="E651" s="47"/>
      <c r="F651" s="45"/>
      <c r="G651" s="7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2.75" customHeight="1" x14ac:dyDescent="0.35">
      <c r="A652" s="43"/>
      <c r="B652" s="44"/>
      <c r="C652" s="44"/>
      <c r="D652" s="47"/>
      <c r="E652" s="47"/>
      <c r="F652" s="45"/>
      <c r="G652" s="7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2.75" customHeight="1" x14ac:dyDescent="0.35">
      <c r="A653" s="43"/>
      <c r="B653" s="44"/>
      <c r="C653" s="44"/>
      <c r="D653" s="47"/>
      <c r="E653" s="47"/>
      <c r="F653" s="45"/>
      <c r="G653" s="7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2.75" customHeight="1" x14ac:dyDescent="0.35">
      <c r="A654" s="43"/>
      <c r="B654" s="44"/>
      <c r="C654" s="44"/>
      <c r="D654" s="47"/>
      <c r="E654" s="47"/>
      <c r="F654" s="45"/>
      <c r="G654" s="7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2.75" customHeight="1" x14ac:dyDescent="0.35">
      <c r="A655" s="43"/>
      <c r="B655" s="44"/>
      <c r="C655" s="44"/>
      <c r="D655" s="47"/>
      <c r="E655" s="47"/>
      <c r="F655" s="45"/>
      <c r="G655" s="7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2.75" customHeight="1" x14ac:dyDescent="0.35">
      <c r="A656" s="43"/>
      <c r="B656" s="44"/>
      <c r="C656" s="44"/>
      <c r="D656" s="47"/>
      <c r="E656" s="47"/>
      <c r="F656" s="45"/>
      <c r="G656" s="7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2.75" customHeight="1" x14ac:dyDescent="0.35">
      <c r="A657" s="43"/>
      <c r="B657" s="44"/>
      <c r="C657" s="44"/>
      <c r="D657" s="47"/>
      <c r="E657" s="47"/>
      <c r="F657" s="45"/>
      <c r="G657" s="7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2.75" customHeight="1" x14ac:dyDescent="0.35">
      <c r="A658" s="43"/>
      <c r="B658" s="44"/>
      <c r="C658" s="44"/>
      <c r="D658" s="47"/>
      <c r="E658" s="47"/>
      <c r="F658" s="45"/>
      <c r="G658" s="7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2.75" customHeight="1" x14ac:dyDescent="0.35">
      <c r="A659" s="43"/>
      <c r="B659" s="44"/>
      <c r="C659" s="44"/>
      <c r="D659" s="47"/>
      <c r="E659" s="47"/>
      <c r="F659" s="45"/>
      <c r="G659" s="7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2.75" customHeight="1" x14ac:dyDescent="0.35">
      <c r="A660" s="43"/>
      <c r="B660" s="44"/>
      <c r="C660" s="44"/>
      <c r="D660" s="47"/>
      <c r="E660" s="47"/>
      <c r="F660" s="45"/>
      <c r="G660" s="7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2.75" customHeight="1" x14ac:dyDescent="0.35">
      <c r="A661" s="43"/>
      <c r="B661" s="44"/>
      <c r="C661" s="44"/>
      <c r="D661" s="47"/>
      <c r="E661" s="47"/>
      <c r="F661" s="45"/>
      <c r="G661" s="7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2.75" customHeight="1" x14ac:dyDescent="0.35">
      <c r="A662" s="43"/>
      <c r="B662" s="44"/>
      <c r="C662" s="44"/>
      <c r="D662" s="47"/>
      <c r="E662" s="47"/>
      <c r="F662" s="45"/>
      <c r="G662" s="7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2.75" customHeight="1" x14ac:dyDescent="0.35">
      <c r="A663" s="43"/>
      <c r="B663" s="44"/>
      <c r="C663" s="44"/>
      <c r="D663" s="47"/>
      <c r="E663" s="47"/>
      <c r="F663" s="45"/>
      <c r="G663" s="7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2.75" customHeight="1" x14ac:dyDescent="0.35">
      <c r="A664" s="43"/>
      <c r="B664" s="44"/>
      <c r="C664" s="44"/>
      <c r="D664" s="47"/>
      <c r="E664" s="47"/>
      <c r="F664" s="45"/>
      <c r="G664" s="7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2.75" customHeight="1" x14ac:dyDescent="0.35">
      <c r="A665" s="43"/>
      <c r="B665" s="44"/>
      <c r="C665" s="44"/>
      <c r="D665" s="47"/>
      <c r="E665" s="47"/>
      <c r="F665" s="45"/>
      <c r="G665" s="7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2.75" customHeight="1" x14ac:dyDescent="0.35">
      <c r="A666" s="43"/>
      <c r="B666" s="44"/>
      <c r="C666" s="44"/>
      <c r="D666" s="47"/>
      <c r="E666" s="47"/>
      <c r="F666" s="45"/>
      <c r="G666" s="7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2.75" customHeight="1" x14ac:dyDescent="0.35">
      <c r="A667" s="43"/>
      <c r="B667" s="44"/>
      <c r="C667" s="44"/>
      <c r="D667" s="47"/>
      <c r="E667" s="47"/>
      <c r="F667" s="45"/>
      <c r="G667" s="7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2.75" customHeight="1" x14ac:dyDescent="0.35">
      <c r="A668" s="43"/>
      <c r="B668" s="44"/>
      <c r="C668" s="44"/>
      <c r="D668" s="47"/>
      <c r="E668" s="47"/>
      <c r="F668" s="45"/>
      <c r="G668" s="7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2.75" customHeight="1" x14ac:dyDescent="0.35">
      <c r="A669" s="43"/>
      <c r="B669" s="44"/>
      <c r="C669" s="44"/>
      <c r="D669" s="47"/>
      <c r="E669" s="47"/>
      <c r="F669" s="45"/>
      <c r="G669" s="7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2.75" customHeight="1" x14ac:dyDescent="0.35">
      <c r="A670" s="43"/>
      <c r="B670" s="44"/>
      <c r="C670" s="44"/>
      <c r="D670" s="47"/>
      <c r="E670" s="47"/>
      <c r="F670" s="45"/>
      <c r="G670" s="7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2.75" customHeight="1" x14ac:dyDescent="0.35">
      <c r="A671" s="43"/>
      <c r="B671" s="44"/>
      <c r="C671" s="44"/>
      <c r="D671" s="47"/>
      <c r="E671" s="47"/>
      <c r="F671" s="45"/>
      <c r="G671" s="7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2.75" customHeight="1" x14ac:dyDescent="0.35">
      <c r="A672" s="43"/>
      <c r="B672" s="44"/>
      <c r="C672" s="44"/>
      <c r="D672" s="47"/>
      <c r="E672" s="47"/>
      <c r="F672" s="45"/>
      <c r="G672" s="7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2.75" customHeight="1" x14ac:dyDescent="0.35">
      <c r="A673" s="43"/>
      <c r="B673" s="44"/>
      <c r="C673" s="44"/>
      <c r="D673" s="47"/>
      <c r="E673" s="47"/>
      <c r="F673" s="45"/>
      <c r="G673" s="7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2.75" customHeight="1" x14ac:dyDescent="0.35">
      <c r="A674" s="43"/>
      <c r="B674" s="44"/>
      <c r="C674" s="44"/>
      <c r="D674" s="47"/>
      <c r="E674" s="47"/>
      <c r="F674" s="45"/>
      <c r="G674" s="7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2.75" customHeight="1" x14ac:dyDescent="0.35">
      <c r="A675" s="43"/>
      <c r="B675" s="44"/>
      <c r="C675" s="44"/>
      <c r="D675" s="47"/>
      <c r="E675" s="47"/>
      <c r="F675" s="45"/>
      <c r="G675" s="7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2.75" customHeight="1" x14ac:dyDescent="0.35">
      <c r="A676" s="43"/>
      <c r="B676" s="44"/>
      <c r="C676" s="44"/>
      <c r="D676" s="47"/>
      <c r="E676" s="47"/>
      <c r="F676" s="45"/>
      <c r="G676" s="7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2.75" customHeight="1" x14ac:dyDescent="0.35">
      <c r="A677" s="43"/>
      <c r="B677" s="44"/>
      <c r="C677" s="44"/>
      <c r="D677" s="47"/>
      <c r="E677" s="47"/>
      <c r="F677" s="45"/>
      <c r="G677" s="7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2.75" customHeight="1" x14ac:dyDescent="0.35">
      <c r="A678" s="43"/>
      <c r="B678" s="44"/>
      <c r="C678" s="44"/>
      <c r="D678" s="47"/>
      <c r="E678" s="47"/>
      <c r="F678" s="45"/>
      <c r="G678" s="7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2.75" customHeight="1" x14ac:dyDescent="0.35">
      <c r="A679" s="43"/>
      <c r="B679" s="44"/>
      <c r="C679" s="44"/>
      <c r="D679" s="47"/>
      <c r="E679" s="47"/>
      <c r="F679" s="45"/>
      <c r="G679" s="7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2.75" customHeight="1" x14ac:dyDescent="0.35">
      <c r="A680" s="43"/>
      <c r="B680" s="44"/>
      <c r="C680" s="44"/>
      <c r="D680" s="47"/>
      <c r="E680" s="47"/>
      <c r="F680" s="45"/>
      <c r="G680" s="7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2.75" customHeight="1" x14ac:dyDescent="0.35">
      <c r="A681" s="43"/>
      <c r="B681" s="44"/>
      <c r="C681" s="44"/>
      <c r="D681" s="47"/>
      <c r="E681" s="47"/>
      <c r="F681" s="45"/>
      <c r="G681" s="7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2.75" customHeight="1" x14ac:dyDescent="0.35">
      <c r="A682" s="43"/>
      <c r="B682" s="44"/>
      <c r="C682" s="44"/>
      <c r="D682" s="47"/>
      <c r="E682" s="47"/>
      <c r="F682" s="45"/>
      <c r="G682" s="7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2.75" customHeight="1" x14ac:dyDescent="0.35">
      <c r="A683" s="43"/>
      <c r="B683" s="44"/>
      <c r="C683" s="44"/>
      <c r="D683" s="47"/>
      <c r="E683" s="47"/>
      <c r="F683" s="45"/>
      <c r="G683" s="7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2.75" customHeight="1" x14ac:dyDescent="0.35">
      <c r="A684" s="43"/>
      <c r="B684" s="44"/>
      <c r="C684" s="44"/>
      <c r="D684" s="47"/>
      <c r="E684" s="47"/>
      <c r="F684" s="45"/>
      <c r="G684" s="7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2.75" customHeight="1" x14ac:dyDescent="0.35">
      <c r="A685" s="43"/>
      <c r="B685" s="44"/>
      <c r="C685" s="44"/>
      <c r="D685" s="47"/>
      <c r="E685" s="47"/>
      <c r="F685" s="45"/>
      <c r="G685" s="7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2.75" customHeight="1" x14ac:dyDescent="0.35">
      <c r="A686" s="43"/>
      <c r="B686" s="44"/>
      <c r="C686" s="44"/>
      <c r="D686" s="47"/>
      <c r="E686" s="47"/>
      <c r="F686" s="45"/>
      <c r="G686" s="7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2.75" customHeight="1" x14ac:dyDescent="0.35">
      <c r="A687" s="43"/>
      <c r="B687" s="44"/>
      <c r="C687" s="44"/>
      <c r="D687" s="47"/>
      <c r="E687" s="47"/>
      <c r="F687" s="45"/>
      <c r="G687" s="7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2.75" customHeight="1" x14ac:dyDescent="0.35">
      <c r="A688" s="43"/>
      <c r="B688" s="44"/>
      <c r="C688" s="44"/>
      <c r="D688" s="47"/>
      <c r="E688" s="47"/>
      <c r="F688" s="45"/>
      <c r="G688" s="7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2.75" customHeight="1" x14ac:dyDescent="0.35">
      <c r="A689" s="43"/>
      <c r="B689" s="44"/>
      <c r="C689" s="44"/>
      <c r="D689" s="47"/>
      <c r="E689" s="47"/>
      <c r="F689" s="45"/>
      <c r="G689" s="7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2.75" customHeight="1" x14ac:dyDescent="0.35">
      <c r="A690" s="43"/>
      <c r="B690" s="44"/>
      <c r="C690" s="44"/>
      <c r="D690" s="47"/>
      <c r="E690" s="47"/>
      <c r="F690" s="45"/>
      <c r="G690" s="7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2.75" customHeight="1" x14ac:dyDescent="0.35">
      <c r="A691" s="43"/>
      <c r="B691" s="44"/>
      <c r="C691" s="44"/>
      <c r="D691" s="47"/>
      <c r="E691" s="47"/>
      <c r="F691" s="45"/>
      <c r="G691" s="7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2.75" customHeight="1" x14ac:dyDescent="0.35">
      <c r="A692" s="43"/>
      <c r="B692" s="44"/>
      <c r="C692" s="44"/>
      <c r="D692" s="47"/>
      <c r="E692" s="47"/>
      <c r="F692" s="45"/>
      <c r="G692" s="7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2.75" customHeight="1" x14ac:dyDescent="0.35">
      <c r="A693" s="43"/>
      <c r="B693" s="44"/>
      <c r="C693" s="44"/>
      <c r="D693" s="47"/>
      <c r="E693" s="47"/>
      <c r="F693" s="45"/>
      <c r="G693" s="7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2.75" customHeight="1" x14ac:dyDescent="0.35">
      <c r="A694" s="43"/>
      <c r="B694" s="44"/>
      <c r="C694" s="44"/>
      <c r="D694" s="47"/>
      <c r="E694" s="47"/>
      <c r="F694" s="45"/>
      <c r="G694" s="7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2.75" customHeight="1" x14ac:dyDescent="0.35">
      <c r="A695" s="43"/>
      <c r="B695" s="44"/>
      <c r="C695" s="44"/>
      <c r="D695" s="47"/>
      <c r="E695" s="47"/>
      <c r="F695" s="45"/>
      <c r="G695" s="7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2.75" customHeight="1" x14ac:dyDescent="0.35">
      <c r="A696" s="43"/>
      <c r="B696" s="44"/>
      <c r="C696" s="44"/>
      <c r="D696" s="47"/>
      <c r="E696" s="47"/>
      <c r="F696" s="45"/>
      <c r="G696" s="7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2.75" customHeight="1" x14ac:dyDescent="0.35">
      <c r="A697" s="43"/>
      <c r="B697" s="44"/>
      <c r="C697" s="44"/>
      <c r="D697" s="47"/>
      <c r="E697" s="47"/>
      <c r="F697" s="45"/>
      <c r="G697" s="7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2.75" customHeight="1" x14ac:dyDescent="0.35">
      <c r="A698" s="43"/>
      <c r="B698" s="44"/>
      <c r="C698" s="44"/>
      <c r="D698" s="47"/>
      <c r="E698" s="47"/>
      <c r="F698" s="45"/>
      <c r="G698" s="7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2.75" customHeight="1" x14ac:dyDescent="0.35">
      <c r="A699" s="43"/>
      <c r="B699" s="44"/>
      <c r="C699" s="44"/>
      <c r="D699" s="47"/>
      <c r="E699" s="47"/>
      <c r="F699" s="45"/>
      <c r="G699" s="7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2.75" customHeight="1" x14ac:dyDescent="0.35">
      <c r="A700" s="43"/>
      <c r="B700" s="44"/>
      <c r="C700" s="44"/>
      <c r="D700" s="47"/>
      <c r="E700" s="47"/>
      <c r="F700" s="45"/>
      <c r="G700" s="7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2.75" customHeight="1" x14ac:dyDescent="0.35">
      <c r="A701" s="43"/>
      <c r="B701" s="44"/>
      <c r="C701" s="44"/>
      <c r="D701" s="47"/>
      <c r="E701" s="47"/>
      <c r="F701" s="45"/>
      <c r="G701" s="7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2.75" customHeight="1" x14ac:dyDescent="0.35">
      <c r="A702" s="43"/>
      <c r="B702" s="44"/>
      <c r="C702" s="44"/>
      <c r="D702" s="47"/>
      <c r="E702" s="47"/>
      <c r="F702" s="45"/>
      <c r="G702" s="7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2.75" customHeight="1" x14ac:dyDescent="0.35">
      <c r="A703" s="43"/>
      <c r="B703" s="44"/>
      <c r="C703" s="44"/>
      <c r="D703" s="47"/>
      <c r="E703" s="47"/>
      <c r="F703" s="45"/>
      <c r="G703" s="7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2.75" customHeight="1" x14ac:dyDescent="0.35">
      <c r="A704" s="43"/>
      <c r="B704" s="44"/>
      <c r="C704" s="44"/>
      <c r="D704" s="47"/>
      <c r="E704" s="47"/>
      <c r="F704" s="45"/>
      <c r="G704" s="7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2.75" customHeight="1" x14ac:dyDescent="0.35">
      <c r="A705" s="43"/>
      <c r="B705" s="44"/>
      <c r="C705" s="44"/>
      <c r="D705" s="47"/>
      <c r="E705" s="47"/>
      <c r="F705" s="45"/>
      <c r="G705" s="7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2.75" customHeight="1" x14ac:dyDescent="0.35">
      <c r="A706" s="43"/>
      <c r="B706" s="44"/>
      <c r="C706" s="44"/>
      <c r="D706" s="47"/>
      <c r="E706" s="47"/>
      <c r="F706" s="45"/>
      <c r="G706" s="7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2.75" customHeight="1" x14ac:dyDescent="0.35">
      <c r="A707" s="43"/>
      <c r="B707" s="44"/>
      <c r="C707" s="44"/>
      <c r="D707" s="47"/>
      <c r="E707" s="47"/>
      <c r="F707" s="45"/>
      <c r="G707" s="7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2.75" customHeight="1" x14ac:dyDescent="0.35">
      <c r="A708" s="43"/>
      <c r="B708" s="44"/>
      <c r="C708" s="44"/>
      <c r="D708" s="47"/>
      <c r="E708" s="47"/>
      <c r="F708" s="45"/>
      <c r="G708" s="7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2.75" customHeight="1" x14ac:dyDescent="0.35">
      <c r="A709" s="43"/>
      <c r="B709" s="44"/>
      <c r="C709" s="44"/>
      <c r="D709" s="47"/>
      <c r="E709" s="47"/>
      <c r="F709" s="45"/>
      <c r="G709" s="7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2.75" customHeight="1" x14ac:dyDescent="0.35">
      <c r="A710" s="43"/>
      <c r="B710" s="44"/>
      <c r="C710" s="44"/>
      <c r="D710" s="47"/>
      <c r="E710" s="47"/>
      <c r="F710" s="45"/>
      <c r="G710" s="7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2.75" customHeight="1" x14ac:dyDescent="0.35">
      <c r="A711" s="43"/>
      <c r="B711" s="44"/>
      <c r="C711" s="44"/>
      <c r="D711" s="47"/>
      <c r="E711" s="47"/>
      <c r="F711" s="45"/>
      <c r="G711" s="7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2.75" customHeight="1" x14ac:dyDescent="0.35">
      <c r="A712" s="43"/>
      <c r="B712" s="44"/>
      <c r="C712" s="44"/>
      <c r="D712" s="47"/>
      <c r="E712" s="47"/>
      <c r="F712" s="45"/>
      <c r="G712" s="7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2.75" customHeight="1" x14ac:dyDescent="0.35">
      <c r="A713" s="43"/>
      <c r="B713" s="44"/>
      <c r="C713" s="44"/>
      <c r="D713" s="47"/>
      <c r="E713" s="47"/>
      <c r="F713" s="45"/>
      <c r="G713" s="7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2.75" customHeight="1" x14ac:dyDescent="0.35">
      <c r="A714" s="43"/>
      <c r="B714" s="44"/>
      <c r="C714" s="44"/>
      <c r="D714" s="47"/>
      <c r="E714" s="47"/>
      <c r="F714" s="45"/>
      <c r="G714" s="7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2.75" customHeight="1" x14ac:dyDescent="0.35">
      <c r="A715" s="43"/>
      <c r="B715" s="44"/>
      <c r="C715" s="44"/>
      <c r="D715" s="47"/>
      <c r="E715" s="47"/>
      <c r="F715" s="45"/>
      <c r="G715" s="7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2.75" customHeight="1" x14ac:dyDescent="0.35">
      <c r="A716" s="43"/>
      <c r="B716" s="44"/>
      <c r="C716" s="44"/>
      <c r="D716" s="47"/>
      <c r="E716" s="47"/>
      <c r="F716" s="45"/>
      <c r="G716" s="7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2.75" customHeight="1" x14ac:dyDescent="0.35">
      <c r="A717" s="43"/>
      <c r="B717" s="44"/>
      <c r="C717" s="44"/>
      <c r="D717" s="47"/>
      <c r="E717" s="47"/>
      <c r="F717" s="45"/>
      <c r="G717" s="7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2.75" customHeight="1" x14ac:dyDescent="0.35">
      <c r="A718" s="43"/>
      <c r="B718" s="44"/>
      <c r="C718" s="44"/>
      <c r="D718" s="47"/>
      <c r="E718" s="47"/>
      <c r="F718" s="45"/>
      <c r="G718" s="7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2.75" customHeight="1" x14ac:dyDescent="0.35">
      <c r="A719" s="43"/>
      <c r="B719" s="44"/>
      <c r="C719" s="44"/>
      <c r="D719" s="47"/>
      <c r="E719" s="47"/>
      <c r="F719" s="45"/>
      <c r="G719" s="7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2.75" customHeight="1" x14ac:dyDescent="0.35">
      <c r="A720" s="43"/>
      <c r="B720" s="44"/>
      <c r="C720" s="44"/>
      <c r="D720" s="47"/>
      <c r="E720" s="47"/>
      <c r="F720" s="45"/>
      <c r="G720" s="7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2.75" customHeight="1" x14ac:dyDescent="0.35">
      <c r="A721" s="43"/>
      <c r="B721" s="44"/>
      <c r="C721" s="44"/>
      <c r="D721" s="47"/>
      <c r="E721" s="47"/>
      <c r="F721" s="45"/>
      <c r="G721" s="7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2.75" customHeight="1" x14ac:dyDescent="0.35">
      <c r="A722" s="43"/>
      <c r="B722" s="44"/>
      <c r="C722" s="44"/>
      <c r="D722" s="47"/>
      <c r="E722" s="47"/>
      <c r="F722" s="45"/>
      <c r="G722" s="7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2.75" customHeight="1" x14ac:dyDescent="0.35">
      <c r="A723" s="43"/>
      <c r="B723" s="44"/>
      <c r="C723" s="44"/>
      <c r="D723" s="47"/>
      <c r="E723" s="47"/>
      <c r="F723" s="45"/>
      <c r="G723" s="7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2.75" customHeight="1" x14ac:dyDescent="0.35">
      <c r="A724" s="43"/>
      <c r="B724" s="44"/>
      <c r="C724" s="44"/>
      <c r="D724" s="47"/>
      <c r="E724" s="47"/>
      <c r="F724" s="45"/>
      <c r="G724" s="7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2.75" customHeight="1" x14ac:dyDescent="0.35">
      <c r="A725" s="43"/>
      <c r="B725" s="44"/>
      <c r="C725" s="44"/>
      <c r="D725" s="47"/>
      <c r="E725" s="47"/>
      <c r="F725" s="45"/>
      <c r="G725" s="7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2.75" customHeight="1" x14ac:dyDescent="0.35">
      <c r="A726" s="43"/>
      <c r="B726" s="44"/>
      <c r="C726" s="44"/>
      <c r="D726" s="47"/>
      <c r="E726" s="47"/>
      <c r="F726" s="45"/>
      <c r="G726" s="7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2.75" customHeight="1" x14ac:dyDescent="0.35">
      <c r="A727" s="43"/>
      <c r="B727" s="44"/>
      <c r="C727" s="44"/>
      <c r="D727" s="47"/>
      <c r="E727" s="47"/>
      <c r="F727" s="45"/>
      <c r="G727" s="7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2.75" customHeight="1" x14ac:dyDescent="0.35">
      <c r="A728" s="43"/>
      <c r="B728" s="44"/>
      <c r="C728" s="44"/>
      <c r="D728" s="47"/>
      <c r="E728" s="47"/>
      <c r="F728" s="45"/>
      <c r="G728" s="7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2.75" customHeight="1" x14ac:dyDescent="0.35">
      <c r="A729" s="43"/>
      <c r="B729" s="44"/>
      <c r="C729" s="44"/>
      <c r="D729" s="47"/>
      <c r="E729" s="47"/>
      <c r="F729" s="45"/>
      <c r="G729" s="7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2.75" customHeight="1" x14ac:dyDescent="0.35">
      <c r="A730" s="43"/>
      <c r="B730" s="44"/>
      <c r="C730" s="44"/>
      <c r="D730" s="47"/>
      <c r="E730" s="47"/>
      <c r="F730" s="45"/>
      <c r="G730" s="7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2.75" customHeight="1" x14ac:dyDescent="0.35">
      <c r="A731" s="43"/>
      <c r="B731" s="44"/>
      <c r="C731" s="44"/>
      <c r="D731" s="47"/>
      <c r="E731" s="47"/>
      <c r="F731" s="45"/>
      <c r="G731" s="7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2.75" customHeight="1" x14ac:dyDescent="0.35">
      <c r="A732" s="43"/>
      <c r="B732" s="44"/>
      <c r="C732" s="44"/>
      <c r="D732" s="47"/>
      <c r="E732" s="47"/>
      <c r="F732" s="45"/>
      <c r="G732" s="7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2.75" customHeight="1" x14ac:dyDescent="0.35">
      <c r="A733" s="43"/>
      <c r="B733" s="44"/>
      <c r="C733" s="44"/>
      <c r="D733" s="47"/>
      <c r="E733" s="47"/>
      <c r="F733" s="45"/>
      <c r="G733" s="7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2.75" customHeight="1" x14ac:dyDescent="0.35">
      <c r="A734" s="43"/>
      <c r="B734" s="44"/>
      <c r="C734" s="44"/>
      <c r="D734" s="47"/>
      <c r="E734" s="47"/>
      <c r="F734" s="45"/>
      <c r="G734" s="7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2.75" customHeight="1" x14ac:dyDescent="0.35">
      <c r="A735" s="43"/>
      <c r="B735" s="44"/>
      <c r="C735" s="44"/>
      <c r="D735" s="47"/>
      <c r="E735" s="47"/>
      <c r="F735" s="45"/>
      <c r="G735" s="7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2.75" customHeight="1" x14ac:dyDescent="0.35">
      <c r="A736" s="43"/>
      <c r="B736" s="44"/>
      <c r="C736" s="44"/>
      <c r="D736" s="47"/>
      <c r="E736" s="47"/>
      <c r="F736" s="45"/>
      <c r="G736" s="7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2.75" customHeight="1" x14ac:dyDescent="0.35">
      <c r="A737" s="43"/>
      <c r="B737" s="44"/>
      <c r="C737" s="44"/>
      <c r="D737" s="47"/>
      <c r="E737" s="47"/>
      <c r="F737" s="45"/>
      <c r="G737" s="7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2.75" customHeight="1" x14ac:dyDescent="0.35">
      <c r="A738" s="43"/>
      <c r="B738" s="44"/>
      <c r="C738" s="44"/>
      <c r="D738" s="47"/>
      <c r="E738" s="47"/>
      <c r="F738" s="45"/>
      <c r="G738" s="7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2.75" customHeight="1" x14ac:dyDescent="0.35">
      <c r="A739" s="43"/>
      <c r="B739" s="44"/>
      <c r="C739" s="44"/>
      <c r="D739" s="47"/>
      <c r="E739" s="47"/>
      <c r="F739" s="45"/>
      <c r="G739" s="7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2.75" customHeight="1" x14ac:dyDescent="0.35">
      <c r="A740" s="43"/>
      <c r="B740" s="44"/>
      <c r="C740" s="44"/>
      <c r="D740" s="47"/>
      <c r="E740" s="47"/>
      <c r="F740" s="45"/>
      <c r="G740" s="7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2.75" customHeight="1" x14ac:dyDescent="0.35">
      <c r="A741" s="43"/>
      <c r="B741" s="44"/>
      <c r="C741" s="44"/>
      <c r="D741" s="47"/>
      <c r="E741" s="47"/>
      <c r="F741" s="45"/>
      <c r="G741" s="7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2.75" customHeight="1" x14ac:dyDescent="0.35">
      <c r="A742" s="43"/>
      <c r="B742" s="44"/>
      <c r="C742" s="44"/>
      <c r="D742" s="47"/>
      <c r="E742" s="47"/>
      <c r="F742" s="45"/>
      <c r="G742" s="7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2.75" customHeight="1" x14ac:dyDescent="0.35">
      <c r="A743" s="43"/>
      <c r="B743" s="44"/>
      <c r="C743" s="44"/>
      <c r="D743" s="47"/>
      <c r="E743" s="47"/>
      <c r="F743" s="45"/>
      <c r="G743" s="7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2.75" customHeight="1" x14ac:dyDescent="0.35">
      <c r="A744" s="43"/>
      <c r="B744" s="44"/>
      <c r="C744" s="44"/>
      <c r="D744" s="47"/>
      <c r="E744" s="47"/>
      <c r="F744" s="45"/>
      <c r="G744" s="7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2.75" customHeight="1" x14ac:dyDescent="0.35">
      <c r="A745" s="43"/>
      <c r="B745" s="44"/>
      <c r="C745" s="44"/>
      <c r="D745" s="47"/>
      <c r="E745" s="47"/>
      <c r="F745" s="45"/>
      <c r="G745" s="7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2.75" customHeight="1" x14ac:dyDescent="0.35">
      <c r="A746" s="43"/>
      <c r="B746" s="44"/>
      <c r="C746" s="44"/>
      <c r="D746" s="47"/>
      <c r="E746" s="47"/>
      <c r="F746" s="45"/>
      <c r="G746" s="7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2.75" customHeight="1" x14ac:dyDescent="0.35">
      <c r="A747" s="43"/>
      <c r="B747" s="44"/>
      <c r="C747" s="44"/>
      <c r="D747" s="47"/>
      <c r="E747" s="47"/>
      <c r="F747" s="45"/>
      <c r="G747" s="7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2.75" customHeight="1" x14ac:dyDescent="0.35">
      <c r="A748" s="43"/>
      <c r="B748" s="44"/>
      <c r="C748" s="44"/>
      <c r="D748" s="47"/>
      <c r="E748" s="47"/>
      <c r="F748" s="45"/>
      <c r="G748" s="7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2.75" customHeight="1" x14ac:dyDescent="0.35">
      <c r="A749" s="43"/>
      <c r="B749" s="44"/>
      <c r="C749" s="44"/>
      <c r="D749" s="47"/>
      <c r="E749" s="47"/>
      <c r="F749" s="45"/>
      <c r="G749" s="7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2.75" customHeight="1" x14ac:dyDescent="0.35">
      <c r="A750" s="43"/>
      <c r="B750" s="44"/>
      <c r="C750" s="44"/>
      <c r="D750" s="47"/>
      <c r="E750" s="47"/>
      <c r="F750" s="45"/>
      <c r="G750" s="7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2.75" customHeight="1" x14ac:dyDescent="0.35">
      <c r="A751" s="43"/>
      <c r="B751" s="44"/>
      <c r="C751" s="44"/>
      <c r="D751" s="47"/>
      <c r="E751" s="47"/>
      <c r="F751" s="45"/>
      <c r="G751" s="7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2.75" customHeight="1" x14ac:dyDescent="0.35">
      <c r="A752" s="43"/>
      <c r="B752" s="44"/>
      <c r="C752" s="44"/>
      <c r="D752" s="47"/>
      <c r="E752" s="47"/>
      <c r="F752" s="45"/>
      <c r="G752" s="7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2.75" customHeight="1" x14ac:dyDescent="0.35">
      <c r="A753" s="43"/>
      <c r="B753" s="44"/>
      <c r="C753" s="44"/>
      <c r="D753" s="47"/>
      <c r="E753" s="47"/>
      <c r="F753" s="45"/>
      <c r="G753" s="7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2.75" customHeight="1" x14ac:dyDescent="0.35">
      <c r="A754" s="43"/>
      <c r="B754" s="44"/>
      <c r="C754" s="44"/>
      <c r="D754" s="47"/>
      <c r="E754" s="47"/>
      <c r="F754" s="45"/>
      <c r="G754" s="7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2.75" customHeight="1" x14ac:dyDescent="0.35">
      <c r="A755" s="43"/>
      <c r="B755" s="44"/>
      <c r="C755" s="44"/>
      <c r="D755" s="47"/>
      <c r="E755" s="47"/>
      <c r="F755" s="45"/>
      <c r="G755" s="7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2.75" customHeight="1" x14ac:dyDescent="0.35">
      <c r="A756" s="43"/>
      <c r="B756" s="44"/>
      <c r="C756" s="44"/>
      <c r="D756" s="47"/>
      <c r="E756" s="47"/>
      <c r="F756" s="45"/>
      <c r="G756" s="7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2.75" customHeight="1" x14ac:dyDescent="0.35">
      <c r="A757" s="43"/>
      <c r="B757" s="44"/>
      <c r="C757" s="44"/>
      <c r="D757" s="47"/>
      <c r="E757" s="47"/>
      <c r="F757" s="45"/>
      <c r="G757" s="7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2.75" customHeight="1" x14ac:dyDescent="0.35">
      <c r="A758" s="43"/>
      <c r="B758" s="44"/>
      <c r="C758" s="44"/>
      <c r="D758" s="47"/>
      <c r="E758" s="47"/>
      <c r="F758" s="45"/>
      <c r="G758" s="7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2.75" customHeight="1" x14ac:dyDescent="0.35">
      <c r="A759" s="43"/>
      <c r="B759" s="44"/>
      <c r="C759" s="44"/>
      <c r="D759" s="47"/>
      <c r="E759" s="47"/>
      <c r="F759" s="45"/>
      <c r="G759" s="7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2.75" customHeight="1" x14ac:dyDescent="0.35">
      <c r="A760" s="43"/>
      <c r="B760" s="44"/>
      <c r="C760" s="44"/>
      <c r="D760" s="47"/>
      <c r="E760" s="47"/>
      <c r="F760" s="45"/>
      <c r="G760" s="7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2.75" customHeight="1" x14ac:dyDescent="0.35">
      <c r="A761" s="43"/>
      <c r="B761" s="44"/>
      <c r="C761" s="44"/>
      <c r="D761" s="47"/>
      <c r="E761" s="47"/>
      <c r="F761" s="45"/>
      <c r="G761" s="7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2.75" customHeight="1" x14ac:dyDescent="0.35">
      <c r="A762" s="43"/>
      <c r="B762" s="44"/>
      <c r="C762" s="44"/>
      <c r="D762" s="47"/>
      <c r="E762" s="47"/>
      <c r="F762" s="45"/>
      <c r="G762" s="7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2.75" customHeight="1" x14ac:dyDescent="0.35">
      <c r="A763" s="43"/>
      <c r="B763" s="44"/>
      <c r="C763" s="44"/>
      <c r="D763" s="47"/>
      <c r="E763" s="47"/>
      <c r="F763" s="45"/>
      <c r="G763" s="7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2.75" customHeight="1" x14ac:dyDescent="0.35">
      <c r="A764" s="43"/>
      <c r="B764" s="44"/>
      <c r="C764" s="44"/>
      <c r="D764" s="47"/>
      <c r="E764" s="47"/>
      <c r="F764" s="45"/>
      <c r="G764" s="7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2.75" customHeight="1" x14ac:dyDescent="0.35">
      <c r="A765" s="43"/>
      <c r="B765" s="44"/>
      <c r="C765" s="44"/>
      <c r="D765" s="47"/>
      <c r="E765" s="47"/>
      <c r="F765" s="45"/>
      <c r="G765" s="7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2.75" customHeight="1" x14ac:dyDescent="0.35">
      <c r="A766" s="43"/>
      <c r="B766" s="44"/>
      <c r="C766" s="44"/>
      <c r="D766" s="47"/>
      <c r="E766" s="47"/>
      <c r="F766" s="45"/>
      <c r="G766" s="7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2.75" customHeight="1" x14ac:dyDescent="0.35">
      <c r="A767" s="43"/>
      <c r="B767" s="44"/>
      <c r="C767" s="44"/>
      <c r="D767" s="47"/>
      <c r="E767" s="47"/>
      <c r="F767" s="45"/>
      <c r="G767" s="7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2.75" customHeight="1" x14ac:dyDescent="0.35">
      <c r="A768" s="43"/>
      <c r="B768" s="44"/>
      <c r="C768" s="44"/>
      <c r="D768" s="47"/>
      <c r="E768" s="47"/>
      <c r="F768" s="45"/>
      <c r="G768" s="7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2.75" customHeight="1" x14ac:dyDescent="0.35">
      <c r="A769" s="43"/>
      <c r="B769" s="44"/>
      <c r="C769" s="44"/>
      <c r="D769" s="47"/>
      <c r="E769" s="47"/>
      <c r="F769" s="45"/>
      <c r="G769" s="7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2.75" customHeight="1" x14ac:dyDescent="0.35">
      <c r="A770" s="43"/>
      <c r="B770" s="44"/>
      <c r="C770" s="44"/>
      <c r="D770" s="47"/>
      <c r="E770" s="47"/>
      <c r="F770" s="45"/>
      <c r="G770" s="7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2.75" customHeight="1" x14ac:dyDescent="0.35">
      <c r="A771" s="43"/>
      <c r="B771" s="44"/>
      <c r="C771" s="44"/>
      <c r="D771" s="47"/>
      <c r="E771" s="47"/>
      <c r="F771" s="45"/>
      <c r="G771" s="7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2.75" customHeight="1" x14ac:dyDescent="0.35">
      <c r="A772" s="43"/>
      <c r="B772" s="44"/>
      <c r="C772" s="44"/>
      <c r="D772" s="47"/>
      <c r="E772" s="47"/>
      <c r="F772" s="45"/>
      <c r="G772" s="7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2.75" customHeight="1" x14ac:dyDescent="0.35">
      <c r="A773" s="43"/>
      <c r="B773" s="44"/>
      <c r="C773" s="44"/>
      <c r="D773" s="47"/>
      <c r="E773" s="47"/>
      <c r="F773" s="45"/>
      <c r="G773" s="7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2.75" customHeight="1" x14ac:dyDescent="0.35">
      <c r="A774" s="43"/>
      <c r="B774" s="44"/>
      <c r="C774" s="44"/>
      <c r="D774" s="47"/>
      <c r="E774" s="47"/>
      <c r="F774" s="45"/>
      <c r="G774" s="7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2.75" customHeight="1" x14ac:dyDescent="0.35">
      <c r="A775" s="43"/>
      <c r="B775" s="44"/>
      <c r="C775" s="44"/>
      <c r="D775" s="47"/>
      <c r="E775" s="47"/>
      <c r="F775" s="45"/>
      <c r="G775" s="7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2.75" customHeight="1" x14ac:dyDescent="0.35">
      <c r="A776" s="43"/>
      <c r="B776" s="44"/>
      <c r="C776" s="44"/>
      <c r="D776" s="47"/>
      <c r="E776" s="47"/>
      <c r="F776" s="45"/>
      <c r="G776" s="7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2.75" customHeight="1" x14ac:dyDescent="0.35">
      <c r="A777" s="43"/>
      <c r="B777" s="44"/>
      <c r="C777" s="44"/>
      <c r="D777" s="47"/>
      <c r="E777" s="47"/>
      <c r="F777" s="45"/>
      <c r="G777" s="7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2.75" customHeight="1" x14ac:dyDescent="0.35">
      <c r="A778" s="43"/>
      <c r="B778" s="44"/>
      <c r="C778" s="44"/>
      <c r="D778" s="47"/>
      <c r="E778" s="47"/>
      <c r="F778" s="45"/>
      <c r="G778" s="7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2.75" customHeight="1" x14ac:dyDescent="0.35">
      <c r="A779" s="43"/>
      <c r="B779" s="44"/>
      <c r="C779" s="44"/>
      <c r="D779" s="47"/>
      <c r="E779" s="47"/>
      <c r="F779" s="45"/>
      <c r="G779" s="7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2.75" customHeight="1" x14ac:dyDescent="0.35">
      <c r="A780" s="43"/>
      <c r="B780" s="44"/>
      <c r="C780" s="44"/>
      <c r="D780" s="47"/>
      <c r="E780" s="47"/>
      <c r="F780" s="45"/>
      <c r="G780" s="7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2.75" customHeight="1" x14ac:dyDescent="0.35">
      <c r="A781" s="43"/>
      <c r="B781" s="44"/>
      <c r="C781" s="44"/>
      <c r="D781" s="47"/>
      <c r="E781" s="47"/>
      <c r="F781" s="45"/>
      <c r="G781" s="7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2.75" customHeight="1" x14ac:dyDescent="0.35">
      <c r="A782" s="43"/>
      <c r="B782" s="44"/>
      <c r="C782" s="44"/>
      <c r="D782" s="47"/>
      <c r="E782" s="47"/>
      <c r="F782" s="45"/>
      <c r="G782" s="7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2.75" customHeight="1" x14ac:dyDescent="0.35">
      <c r="A783" s="43"/>
      <c r="B783" s="44"/>
      <c r="C783" s="44"/>
      <c r="D783" s="47"/>
      <c r="E783" s="47"/>
      <c r="F783" s="45"/>
      <c r="G783" s="7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2.75" customHeight="1" x14ac:dyDescent="0.35">
      <c r="A784" s="43"/>
      <c r="B784" s="44"/>
      <c r="C784" s="44"/>
      <c r="D784" s="47"/>
      <c r="E784" s="47"/>
      <c r="F784" s="45"/>
      <c r="G784" s="7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2.75" customHeight="1" x14ac:dyDescent="0.35">
      <c r="A785" s="43"/>
      <c r="B785" s="44"/>
      <c r="C785" s="44"/>
      <c r="D785" s="47"/>
      <c r="E785" s="47"/>
      <c r="F785" s="45"/>
      <c r="G785" s="7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2.75" customHeight="1" x14ac:dyDescent="0.35">
      <c r="A786" s="43"/>
      <c r="B786" s="44"/>
      <c r="C786" s="44"/>
      <c r="D786" s="47"/>
      <c r="E786" s="47"/>
      <c r="F786" s="45"/>
      <c r="G786" s="7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2.75" customHeight="1" x14ac:dyDescent="0.35">
      <c r="A787" s="43"/>
      <c r="B787" s="44"/>
      <c r="C787" s="44"/>
      <c r="D787" s="47"/>
      <c r="E787" s="47"/>
      <c r="F787" s="45"/>
      <c r="G787" s="7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2.75" customHeight="1" x14ac:dyDescent="0.35">
      <c r="A788" s="43"/>
      <c r="B788" s="44"/>
      <c r="C788" s="44"/>
      <c r="D788" s="47"/>
      <c r="E788" s="47"/>
      <c r="F788" s="45"/>
      <c r="G788" s="7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2.75" customHeight="1" x14ac:dyDescent="0.35">
      <c r="A789" s="43"/>
      <c r="B789" s="44"/>
      <c r="C789" s="44"/>
      <c r="D789" s="47"/>
      <c r="E789" s="47"/>
      <c r="F789" s="45"/>
      <c r="G789" s="7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2.75" customHeight="1" x14ac:dyDescent="0.35">
      <c r="A790" s="43"/>
      <c r="B790" s="44"/>
      <c r="C790" s="44"/>
      <c r="D790" s="47"/>
      <c r="E790" s="47"/>
      <c r="F790" s="45"/>
      <c r="G790" s="7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2.75" customHeight="1" x14ac:dyDescent="0.35">
      <c r="A791" s="43"/>
      <c r="B791" s="44"/>
      <c r="C791" s="44"/>
      <c r="D791" s="47"/>
      <c r="E791" s="47"/>
      <c r="F791" s="45"/>
      <c r="G791" s="7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2.75" customHeight="1" x14ac:dyDescent="0.35">
      <c r="A792" s="43"/>
      <c r="B792" s="44"/>
      <c r="C792" s="44"/>
      <c r="D792" s="47"/>
      <c r="E792" s="47"/>
      <c r="F792" s="45"/>
      <c r="G792" s="7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2.75" customHeight="1" x14ac:dyDescent="0.35">
      <c r="A793" s="43"/>
      <c r="B793" s="44"/>
      <c r="C793" s="44"/>
      <c r="D793" s="47"/>
      <c r="E793" s="47"/>
      <c r="F793" s="45"/>
      <c r="G793" s="7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2.75" customHeight="1" x14ac:dyDescent="0.35">
      <c r="A794" s="43"/>
      <c r="B794" s="44"/>
      <c r="C794" s="44"/>
      <c r="D794" s="47"/>
      <c r="E794" s="47"/>
      <c r="F794" s="45"/>
      <c r="G794" s="7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2.75" customHeight="1" x14ac:dyDescent="0.35">
      <c r="A795" s="43"/>
      <c r="B795" s="44"/>
      <c r="C795" s="44"/>
      <c r="D795" s="47"/>
      <c r="E795" s="47"/>
      <c r="F795" s="45"/>
      <c r="G795" s="7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2.75" customHeight="1" x14ac:dyDescent="0.35">
      <c r="A796" s="43"/>
      <c r="B796" s="44"/>
      <c r="C796" s="44"/>
      <c r="D796" s="47"/>
      <c r="E796" s="47"/>
      <c r="F796" s="45"/>
      <c r="G796" s="7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2.75" customHeight="1" x14ac:dyDescent="0.35">
      <c r="A797" s="43"/>
      <c r="B797" s="44"/>
      <c r="C797" s="44"/>
      <c r="D797" s="47"/>
      <c r="E797" s="47"/>
      <c r="F797" s="45"/>
      <c r="G797" s="7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2.75" customHeight="1" x14ac:dyDescent="0.35">
      <c r="A798" s="43"/>
      <c r="B798" s="44"/>
      <c r="C798" s="44"/>
      <c r="D798" s="47"/>
      <c r="E798" s="47"/>
      <c r="F798" s="45"/>
      <c r="G798" s="7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2.75" customHeight="1" x14ac:dyDescent="0.35">
      <c r="A799" s="43"/>
      <c r="B799" s="44"/>
      <c r="C799" s="44"/>
      <c r="D799" s="47"/>
      <c r="E799" s="47"/>
      <c r="F799" s="45"/>
      <c r="G799" s="7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2.75" customHeight="1" x14ac:dyDescent="0.35">
      <c r="A800" s="43"/>
      <c r="B800" s="44"/>
      <c r="C800" s="44"/>
      <c r="D800" s="47"/>
      <c r="E800" s="47"/>
      <c r="F800" s="45"/>
      <c r="G800" s="7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2.75" customHeight="1" x14ac:dyDescent="0.35">
      <c r="A801" s="43"/>
      <c r="B801" s="44"/>
      <c r="C801" s="44"/>
      <c r="D801" s="47"/>
      <c r="E801" s="47"/>
      <c r="F801" s="45"/>
      <c r="G801" s="7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2.75" customHeight="1" x14ac:dyDescent="0.35">
      <c r="A802" s="43"/>
      <c r="B802" s="44"/>
      <c r="C802" s="44"/>
      <c r="D802" s="47"/>
      <c r="E802" s="47"/>
      <c r="F802" s="45"/>
      <c r="G802" s="7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2.75" customHeight="1" x14ac:dyDescent="0.35">
      <c r="A803" s="43"/>
      <c r="B803" s="44"/>
      <c r="C803" s="44"/>
      <c r="D803" s="47"/>
      <c r="E803" s="47"/>
      <c r="F803" s="45"/>
      <c r="G803" s="7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2.75" customHeight="1" x14ac:dyDescent="0.35">
      <c r="A804" s="43"/>
      <c r="B804" s="44"/>
      <c r="C804" s="44"/>
      <c r="D804" s="47"/>
      <c r="E804" s="47"/>
      <c r="F804" s="45"/>
      <c r="G804" s="7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2.75" customHeight="1" x14ac:dyDescent="0.35">
      <c r="A805" s="43"/>
      <c r="B805" s="44"/>
      <c r="C805" s="44"/>
      <c r="D805" s="47"/>
      <c r="E805" s="47"/>
      <c r="F805" s="45"/>
      <c r="G805" s="7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2.75" customHeight="1" x14ac:dyDescent="0.35">
      <c r="A806" s="43"/>
      <c r="B806" s="44"/>
      <c r="C806" s="44"/>
      <c r="D806" s="47"/>
      <c r="E806" s="47"/>
      <c r="F806" s="45"/>
      <c r="G806" s="7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2.75" customHeight="1" x14ac:dyDescent="0.35">
      <c r="A807" s="43"/>
      <c r="B807" s="44"/>
      <c r="C807" s="44"/>
      <c r="D807" s="47"/>
      <c r="E807" s="47"/>
      <c r="F807" s="45"/>
      <c r="G807" s="7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2.75" customHeight="1" x14ac:dyDescent="0.35">
      <c r="A808" s="43"/>
      <c r="B808" s="44"/>
      <c r="C808" s="44"/>
      <c r="D808" s="47"/>
      <c r="E808" s="47"/>
      <c r="F808" s="45"/>
      <c r="G808" s="7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2.75" customHeight="1" x14ac:dyDescent="0.35">
      <c r="A809" s="43"/>
      <c r="B809" s="44"/>
      <c r="C809" s="44"/>
      <c r="D809" s="47"/>
      <c r="E809" s="47"/>
      <c r="F809" s="45"/>
      <c r="G809" s="7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2.75" customHeight="1" x14ac:dyDescent="0.35">
      <c r="A810" s="43"/>
      <c r="B810" s="44"/>
      <c r="C810" s="44"/>
      <c r="D810" s="47"/>
      <c r="E810" s="47"/>
      <c r="F810" s="45"/>
      <c r="G810" s="7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2.75" customHeight="1" x14ac:dyDescent="0.35">
      <c r="A811" s="43"/>
      <c r="B811" s="44"/>
      <c r="C811" s="44"/>
      <c r="D811" s="47"/>
      <c r="E811" s="47"/>
      <c r="F811" s="45"/>
      <c r="G811" s="7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2.75" customHeight="1" x14ac:dyDescent="0.35">
      <c r="A812" s="43"/>
      <c r="B812" s="44"/>
      <c r="C812" s="44"/>
      <c r="D812" s="47"/>
      <c r="E812" s="47"/>
      <c r="F812" s="45"/>
      <c r="G812" s="7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2.75" customHeight="1" x14ac:dyDescent="0.35">
      <c r="A813" s="43"/>
      <c r="B813" s="44"/>
      <c r="C813" s="44"/>
      <c r="D813" s="47"/>
      <c r="E813" s="47"/>
      <c r="F813" s="45"/>
      <c r="G813" s="7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2.75" customHeight="1" x14ac:dyDescent="0.35">
      <c r="A814" s="43"/>
      <c r="B814" s="44"/>
      <c r="C814" s="44"/>
      <c r="D814" s="47"/>
      <c r="E814" s="47"/>
      <c r="F814" s="45"/>
      <c r="G814" s="7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2.75" customHeight="1" x14ac:dyDescent="0.35">
      <c r="A815" s="43"/>
      <c r="B815" s="44"/>
      <c r="C815" s="44"/>
      <c r="D815" s="47"/>
      <c r="E815" s="47"/>
      <c r="F815" s="45"/>
      <c r="G815" s="7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2.75" customHeight="1" x14ac:dyDescent="0.35">
      <c r="A816" s="43"/>
      <c r="B816" s="44"/>
      <c r="C816" s="44"/>
      <c r="D816" s="47"/>
      <c r="E816" s="47"/>
      <c r="F816" s="45"/>
      <c r="G816" s="7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2.75" customHeight="1" x14ac:dyDescent="0.35">
      <c r="A817" s="43"/>
      <c r="B817" s="44"/>
      <c r="C817" s="44"/>
      <c r="D817" s="47"/>
      <c r="E817" s="47"/>
      <c r="F817" s="45"/>
      <c r="G817" s="7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2.75" customHeight="1" x14ac:dyDescent="0.35">
      <c r="A818" s="43"/>
      <c r="B818" s="44"/>
      <c r="C818" s="44"/>
      <c r="D818" s="47"/>
      <c r="E818" s="47"/>
      <c r="F818" s="45"/>
      <c r="G818" s="7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2.75" customHeight="1" x14ac:dyDescent="0.35">
      <c r="A819" s="43"/>
      <c r="B819" s="44"/>
      <c r="C819" s="44"/>
      <c r="D819" s="47"/>
      <c r="E819" s="47"/>
      <c r="F819" s="45"/>
      <c r="G819" s="7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2.75" customHeight="1" x14ac:dyDescent="0.35">
      <c r="A820" s="43"/>
      <c r="B820" s="44"/>
      <c r="C820" s="44"/>
      <c r="D820" s="47"/>
      <c r="E820" s="47"/>
      <c r="F820" s="45"/>
      <c r="G820" s="7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2.75" customHeight="1" x14ac:dyDescent="0.35">
      <c r="A821" s="43"/>
      <c r="B821" s="44"/>
      <c r="C821" s="44"/>
      <c r="D821" s="47"/>
      <c r="E821" s="47"/>
      <c r="F821" s="45"/>
      <c r="G821" s="7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2.75" customHeight="1" x14ac:dyDescent="0.35">
      <c r="A822" s="43"/>
      <c r="B822" s="44"/>
      <c r="C822" s="44"/>
      <c r="D822" s="47"/>
      <c r="E822" s="47"/>
      <c r="F822" s="45"/>
      <c r="G822" s="7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2.75" customHeight="1" x14ac:dyDescent="0.35">
      <c r="A823" s="43"/>
      <c r="B823" s="44"/>
      <c r="C823" s="44"/>
      <c r="D823" s="47"/>
      <c r="E823" s="47"/>
      <c r="F823" s="45"/>
      <c r="G823" s="7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2.75" customHeight="1" x14ac:dyDescent="0.35">
      <c r="A824" s="43"/>
      <c r="B824" s="44"/>
      <c r="C824" s="44"/>
      <c r="D824" s="47"/>
      <c r="E824" s="47"/>
      <c r="F824" s="45"/>
      <c r="G824" s="7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2.75" customHeight="1" x14ac:dyDescent="0.35">
      <c r="A825" s="43"/>
      <c r="B825" s="44"/>
      <c r="C825" s="44"/>
      <c r="D825" s="47"/>
      <c r="E825" s="47"/>
      <c r="F825" s="45"/>
      <c r="G825" s="7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2.75" customHeight="1" x14ac:dyDescent="0.35">
      <c r="A826" s="43"/>
      <c r="B826" s="44"/>
      <c r="C826" s="44"/>
      <c r="D826" s="47"/>
      <c r="E826" s="47"/>
      <c r="F826" s="45"/>
      <c r="G826" s="7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2.75" customHeight="1" x14ac:dyDescent="0.35">
      <c r="A827" s="43"/>
      <c r="B827" s="44"/>
      <c r="C827" s="44"/>
      <c r="D827" s="47"/>
      <c r="E827" s="47"/>
      <c r="F827" s="45"/>
      <c r="G827" s="7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2.75" customHeight="1" x14ac:dyDescent="0.35">
      <c r="A828" s="43"/>
      <c r="B828" s="44"/>
      <c r="C828" s="44"/>
      <c r="D828" s="47"/>
      <c r="E828" s="47"/>
      <c r="F828" s="45"/>
      <c r="G828" s="7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2.75" customHeight="1" x14ac:dyDescent="0.35">
      <c r="A829" s="43"/>
      <c r="B829" s="44"/>
      <c r="C829" s="44"/>
      <c r="D829" s="47"/>
      <c r="E829" s="47"/>
      <c r="F829" s="45"/>
      <c r="G829" s="7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2.75" customHeight="1" x14ac:dyDescent="0.35">
      <c r="A830" s="43"/>
      <c r="B830" s="44"/>
      <c r="C830" s="44"/>
      <c r="D830" s="47"/>
      <c r="E830" s="47"/>
      <c r="F830" s="45"/>
      <c r="G830" s="7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2.75" customHeight="1" x14ac:dyDescent="0.35">
      <c r="A831" s="43"/>
      <c r="B831" s="44"/>
      <c r="C831" s="44"/>
      <c r="D831" s="47"/>
      <c r="E831" s="47"/>
      <c r="F831" s="45"/>
      <c r="G831" s="7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2.75" customHeight="1" x14ac:dyDescent="0.35">
      <c r="A832" s="43"/>
      <c r="B832" s="44"/>
      <c r="C832" s="44"/>
      <c r="D832" s="47"/>
      <c r="E832" s="47"/>
      <c r="F832" s="45"/>
      <c r="G832" s="7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2.75" customHeight="1" x14ac:dyDescent="0.35">
      <c r="A833" s="43"/>
      <c r="B833" s="44"/>
      <c r="C833" s="44"/>
      <c r="D833" s="47"/>
      <c r="E833" s="47"/>
      <c r="F833" s="45"/>
      <c r="G833" s="7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2.75" customHeight="1" x14ac:dyDescent="0.35">
      <c r="A834" s="43"/>
      <c r="B834" s="44"/>
      <c r="C834" s="44"/>
      <c r="D834" s="47"/>
      <c r="E834" s="47"/>
      <c r="F834" s="45"/>
      <c r="G834" s="7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2.75" customHeight="1" x14ac:dyDescent="0.35">
      <c r="A835" s="43"/>
      <c r="B835" s="44"/>
      <c r="C835" s="44"/>
      <c r="D835" s="47"/>
      <c r="E835" s="47"/>
      <c r="F835" s="45"/>
      <c r="G835" s="7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2.75" customHeight="1" x14ac:dyDescent="0.35">
      <c r="A836" s="43"/>
      <c r="B836" s="44"/>
      <c r="C836" s="44"/>
      <c r="D836" s="47"/>
      <c r="E836" s="47"/>
      <c r="F836" s="45"/>
      <c r="G836" s="7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2.75" customHeight="1" x14ac:dyDescent="0.35">
      <c r="A837" s="43"/>
      <c r="B837" s="44"/>
      <c r="C837" s="44"/>
      <c r="D837" s="47"/>
      <c r="E837" s="47"/>
      <c r="F837" s="45"/>
      <c r="G837" s="7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2.75" customHeight="1" x14ac:dyDescent="0.35">
      <c r="A838" s="43"/>
      <c r="B838" s="44"/>
      <c r="C838" s="44"/>
      <c r="D838" s="47"/>
      <c r="E838" s="47"/>
      <c r="F838" s="45"/>
      <c r="G838" s="7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2.75" customHeight="1" x14ac:dyDescent="0.35">
      <c r="A839" s="43"/>
      <c r="B839" s="44"/>
      <c r="C839" s="44"/>
      <c r="D839" s="47"/>
      <c r="E839" s="47"/>
      <c r="F839" s="45"/>
      <c r="G839" s="7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2.75" customHeight="1" x14ac:dyDescent="0.35">
      <c r="A840" s="43"/>
      <c r="B840" s="44"/>
      <c r="C840" s="44"/>
      <c r="D840" s="47"/>
      <c r="E840" s="47"/>
      <c r="F840" s="45"/>
      <c r="G840" s="7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2.75" customHeight="1" x14ac:dyDescent="0.35">
      <c r="A841" s="43"/>
      <c r="B841" s="44"/>
      <c r="C841" s="44"/>
      <c r="D841" s="47"/>
      <c r="E841" s="47"/>
      <c r="F841" s="45"/>
      <c r="G841" s="7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2.75" customHeight="1" x14ac:dyDescent="0.35">
      <c r="A842" s="43"/>
      <c r="B842" s="44"/>
      <c r="C842" s="44"/>
      <c r="D842" s="47"/>
      <c r="E842" s="47"/>
      <c r="F842" s="45"/>
      <c r="G842" s="7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2.75" customHeight="1" x14ac:dyDescent="0.35">
      <c r="A843" s="43"/>
      <c r="B843" s="44"/>
      <c r="C843" s="44"/>
      <c r="D843" s="47"/>
      <c r="E843" s="47"/>
      <c r="F843" s="45"/>
      <c r="G843" s="7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2.75" customHeight="1" x14ac:dyDescent="0.35">
      <c r="A844" s="43"/>
      <c r="B844" s="44"/>
      <c r="C844" s="44"/>
      <c r="D844" s="47"/>
      <c r="E844" s="47"/>
      <c r="F844" s="45"/>
      <c r="G844" s="7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2.75" customHeight="1" x14ac:dyDescent="0.35">
      <c r="A845" s="43"/>
      <c r="B845" s="44"/>
      <c r="C845" s="44"/>
      <c r="D845" s="47"/>
      <c r="E845" s="47"/>
      <c r="F845" s="45"/>
      <c r="G845" s="7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2.75" customHeight="1" x14ac:dyDescent="0.35">
      <c r="A846" s="43"/>
      <c r="B846" s="44"/>
      <c r="C846" s="44"/>
      <c r="D846" s="47"/>
      <c r="E846" s="47"/>
      <c r="F846" s="45"/>
      <c r="G846" s="7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2.75" customHeight="1" x14ac:dyDescent="0.35">
      <c r="A847" s="43"/>
      <c r="B847" s="44"/>
      <c r="C847" s="44"/>
      <c r="D847" s="47"/>
      <c r="E847" s="47"/>
      <c r="F847" s="45"/>
      <c r="G847" s="7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2.75" customHeight="1" x14ac:dyDescent="0.35">
      <c r="A848" s="43"/>
      <c r="B848" s="44"/>
      <c r="C848" s="44"/>
      <c r="D848" s="47"/>
      <c r="E848" s="47"/>
      <c r="F848" s="45"/>
      <c r="G848" s="7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2.75" customHeight="1" x14ac:dyDescent="0.35">
      <c r="A849" s="43"/>
      <c r="B849" s="44"/>
      <c r="C849" s="44"/>
      <c r="D849" s="47"/>
      <c r="E849" s="47"/>
      <c r="F849" s="45"/>
      <c r="G849" s="7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2.75" customHeight="1" x14ac:dyDescent="0.35">
      <c r="A850" s="43"/>
      <c r="B850" s="44"/>
      <c r="C850" s="44"/>
      <c r="D850" s="47"/>
      <c r="E850" s="47"/>
      <c r="F850" s="45"/>
      <c r="G850" s="7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2.75" customHeight="1" x14ac:dyDescent="0.35">
      <c r="A851" s="43"/>
      <c r="B851" s="44"/>
      <c r="C851" s="44"/>
      <c r="D851" s="47"/>
      <c r="E851" s="47"/>
      <c r="F851" s="45"/>
      <c r="G851" s="7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2.75" customHeight="1" x14ac:dyDescent="0.35">
      <c r="A852" s="43"/>
      <c r="B852" s="44"/>
      <c r="C852" s="44"/>
      <c r="D852" s="47"/>
      <c r="E852" s="47"/>
      <c r="F852" s="45"/>
      <c r="G852" s="7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2.75" customHeight="1" x14ac:dyDescent="0.35">
      <c r="A853" s="43"/>
      <c r="B853" s="44"/>
      <c r="C853" s="44"/>
      <c r="D853" s="47"/>
      <c r="E853" s="47"/>
      <c r="F853" s="45"/>
      <c r="G853" s="7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2.75" customHeight="1" x14ac:dyDescent="0.35">
      <c r="A854" s="43"/>
      <c r="B854" s="44"/>
      <c r="C854" s="44"/>
      <c r="D854" s="47"/>
      <c r="E854" s="47"/>
      <c r="F854" s="45"/>
      <c r="G854" s="7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2.75" customHeight="1" x14ac:dyDescent="0.35">
      <c r="A855" s="43"/>
      <c r="B855" s="44"/>
      <c r="C855" s="44"/>
      <c r="D855" s="47"/>
      <c r="E855" s="47"/>
      <c r="F855" s="45"/>
      <c r="G855" s="7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2.75" customHeight="1" x14ac:dyDescent="0.35">
      <c r="A856" s="43"/>
      <c r="B856" s="44"/>
      <c r="C856" s="44"/>
      <c r="D856" s="47"/>
      <c r="E856" s="47"/>
      <c r="F856" s="45"/>
      <c r="G856" s="7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2.75" customHeight="1" x14ac:dyDescent="0.35">
      <c r="A857" s="43"/>
      <c r="B857" s="44"/>
      <c r="C857" s="44"/>
      <c r="D857" s="47"/>
      <c r="E857" s="47"/>
      <c r="F857" s="45"/>
      <c r="G857" s="7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2.75" customHeight="1" x14ac:dyDescent="0.35">
      <c r="A858" s="43"/>
      <c r="B858" s="44"/>
      <c r="C858" s="44"/>
      <c r="D858" s="47"/>
      <c r="E858" s="47"/>
      <c r="F858" s="45"/>
      <c r="G858" s="7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2.75" customHeight="1" x14ac:dyDescent="0.35">
      <c r="A859" s="43"/>
      <c r="B859" s="44"/>
      <c r="C859" s="44"/>
      <c r="D859" s="47"/>
      <c r="E859" s="47"/>
      <c r="F859" s="45"/>
      <c r="G859" s="7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2.75" customHeight="1" x14ac:dyDescent="0.35">
      <c r="A860" s="43"/>
      <c r="B860" s="44"/>
      <c r="C860" s="44"/>
      <c r="D860" s="47"/>
      <c r="E860" s="47"/>
      <c r="F860" s="45"/>
      <c r="G860" s="7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2.75" customHeight="1" x14ac:dyDescent="0.35">
      <c r="A861" s="43"/>
      <c r="B861" s="44"/>
      <c r="C861" s="44"/>
      <c r="D861" s="47"/>
      <c r="E861" s="47"/>
      <c r="F861" s="45"/>
      <c r="G861" s="7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2.75" customHeight="1" x14ac:dyDescent="0.35">
      <c r="A862" s="43"/>
      <c r="B862" s="44"/>
      <c r="C862" s="44"/>
      <c r="D862" s="47"/>
      <c r="E862" s="47"/>
      <c r="F862" s="45"/>
      <c r="G862" s="7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2.75" customHeight="1" x14ac:dyDescent="0.35">
      <c r="A863" s="43"/>
      <c r="B863" s="44"/>
      <c r="C863" s="44"/>
      <c r="D863" s="47"/>
      <c r="E863" s="47"/>
      <c r="F863" s="45"/>
      <c r="G863" s="7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2.75" customHeight="1" x14ac:dyDescent="0.35">
      <c r="A864" s="43"/>
      <c r="B864" s="44"/>
      <c r="C864" s="44"/>
      <c r="D864" s="47"/>
      <c r="E864" s="47"/>
      <c r="F864" s="45"/>
      <c r="G864" s="7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2.75" customHeight="1" x14ac:dyDescent="0.35">
      <c r="A865" s="43"/>
      <c r="B865" s="44"/>
      <c r="C865" s="44"/>
      <c r="D865" s="47"/>
      <c r="E865" s="47"/>
      <c r="F865" s="45"/>
      <c r="G865" s="7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2.75" customHeight="1" x14ac:dyDescent="0.35">
      <c r="A866" s="43"/>
      <c r="B866" s="44"/>
      <c r="C866" s="44"/>
      <c r="D866" s="47"/>
      <c r="E866" s="47"/>
      <c r="F866" s="45"/>
      <c r="G866" s="7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2.75" customHeight="1" x14ac:dyDescent="0.35">
      <c r="A867" s="43"/>
      <c r="B867" s="44"/>
      <c r="C867" s="44"/>
      <c r="D867" s="47"/>
      <c r="E867" s="47"/>
      <c r="F867" s="45"/>
      <c r="G867" s="7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2.75" customHeight="1" x14ac:dyDescent="0.35">
      <c r="A868" s="43"/>
      <c r="B868" s="44"/>
      <c r="C868" s="44"/>
      <c r="D868" s="47"/>
      <c r="E868" s="47"/>
      <c r="F868" s="45"/>
      <c r="G868" s="7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2.75" customHeight="1" x14ac:dyDescent="0.35">
      <c r="A869" s="43"/>
      <c r="B869" s="44"/>
      <c r="C869" s="44"/>
      <c r="D869" s="47"/>
      <c r="E869" s="47"/>
      <c r="F869" s="45"/>
      <c r="G869" s="7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2.75" customHeight="1" x14ac:dyDescent="0.35">
      <c r="A870" s="43"/>
      <c r="B870" s="44"/>
      <c r="C870" s="44"/>
      <c r="D870" s="47"/>
      <c r="E870" s="47"/>
      <c r="F870" s="45"/>
      <c r="G870" s="7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2.75" customHeight="1" x14ac:dyDescent="0.35">
      <c r="A871" s="43"/>
      <c r="B871" s="44"/>
      <c r="C871" s="44"/>
      <c r="D871" s="47"/>
      <c r="E871" s="47"/>
      <c r="F871" s="45"/>
      <c r="G871" s="7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2.75" customHeight="1" x14ac:dyDescent="0.35">
      <c r="A872" s="43"/>
      <c r="B872" s="44"/>
      <c r="C872" s="44"/>
      <c r="D872" s="47"/>
      <c r="E872" s="47"/>
      <c r="F872" s="45"/>
      <c r="G872" s="7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2.75" customHeight="1" x14ac:dyDescent="0.35">
      <c r="A873" s="43"/>
      <c r="B873" s="44"/>
      <c r="C873" s="44"/>
      <c r="D873" s="47"/>
      <c r="E873" s="47"/>
      <c r="F873" s="45"/>
      <c r="G873" s="7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2.75" customHeight="1" x14ac:dyDescent="0.35">
      <c r="A874" s="43"/>
      <c r="B874" s="44"/>
      <c r="C874" s="44"/>
      <c r="D874" s="47"/>
      <c r="E874" s="47"/>
      <c r="F874" s="45"/>
      <c r="G874" s="7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2.75" customHeight="1" x14ac:dyDescent="0.35">
      <c r="A875" s="43"/>
      <c r="B875" s="44"/>
      <c r="C875" s="44"/>
      <c r="D875" s="47"/>
      <c r="E875" s="47"/>
      <c r="F875" s="45"/>
      <c r="G875" s="7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2.75" customHeight="1" x14ac:dyDescent="0.35">
      <c r="A876" s="43"/>
      <c r="B876" s="44"/>
      <c r="C876" s="44"/>
      <c r="D876" s="47"/>
      <c r="E876" s="47"/>
      <c r="F876" s="45"/>
      <c r="G876" s="7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2.75" customHeight="1" x14ac:dyDescent="0.35">
      <c r="A877" s="43"/>
      <c r="B877" s="44"/>
      <c r="C877" s="44"/>
      <c r="D877" s="47"/>
      <c r="E877" s="47"/>
      <c r="F877" s="45"/>
      <c r="G877" s="7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2.75" customHeight="1" x14ac:dyDescent="0.35">
      <c r="A878" s="43"/>
      <c r="B878" s="44"/>
      <c r="C878" s="44"/>
      <c r="D878" s="47"/>
      <c r="E878" s="47"/>
      <c r="F878" s="45"/>
      <c r="G878" s="7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2.75" customHeight="1" x14ac:dyDescent="0.35">
      <c r="A879" s="43"/>
      <c r="B879" s="44"/>
      <c r="C879" s="44"/>
      <c r="D879" s="47"/>
      <c r="E879" s="47"/>
      <c r="F879" s="45"/>
      <c r="G879" s="7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2.75" customHeight="1" x14ac:dyDescent="0.35">
      <c r="A880" s="43"/>
      <c r="B880" s="44"/>
      <c r="C880" s="44"/>
      <c r="D880" s="47"/>
      <c r="E880" s="47"/>
      <c r="F880" s="45"/>
      <c r="G880" s="7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2.75" customHeight="1" x14ac:dyDescent="0.35">
      <c r="A881" s="43"/>
      <c r="B881" s="44"/>
      <c r="C881" s="44"/>
      <c r="D881" s="47"/>
      <c r="E881" s="47"/>
      <c r="F881" s="45"/>
      <c r="G881" s="7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2.75" customHeight="1" x14ac:dyDescent="0.35">
      <c r="A882" s="43"/>
      <c r="B882" s="44"/>
      <c r="C882" s="44"/>
      <c r="D882" s="47"/>
      <c r="E882" s="47"/>
      <c r="F882" s="45"/>
      <c r="G882" s="7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2.75" customHeight="1" x14ac:dyDescent="0.35">
      <c r="A883" s="43"/>
      <c r="B883" s="44"/>
      <c r="C883" s="44"/>
      <c r="D883" s="47"/>
      <c r="E883" s="47"/>
      <c r="F883" s="45"/>
      <c r="G883" s="7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2.75" customHeight="1" x14ac:dyDescent="0.35">
      <c r="A884" s="43"/>
      <c r="B884" s="44"/>
      <c r="C884" s="44"/>
      <c r="D884" s="47"/>
      <c r="E884" s="47"/>
      <c r="F884" s="45"/>
      <c r="G884" s="7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2.75" customHeight="1" x14ac:dyDescent="0.35">
      <c r="A885" s="43"/>
      <c r="B885" s="44"/>
      <c r="C885" s="44"/>
      <c r="D885" s="47"/>
      <c r="E885" s="47"/>
      <c r="F885" s="45"/>
      <c r="G885" s="7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2.75" customHeight="1" x14ac:dyDescent="0.35">
      <c r="A886" s="43"/>
      <c r="B886" s="44"/>
      <c r="C886" s="44"/>
      <c r="D886" s="47"/>
      <c r="E886" s="47"/>
      <c r="F886" s="45"/>
      <c r="G886" s="7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2.75" customHeight="1" x14ac:dyDescent="0.35">
      <c r="A887" s="43"/>
      <c r="B887" s="44"/>
      <c r="C887" s="44"/>
      <c r="D887" s="47"/>
      <c r="E887" s="47"/>
      <c r="F887" s="45"/>
      <c r="G887" s="7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2.75" customHeight="1" x14ac:dyDescent="0.35">
      <c r="A888" s="43"/>
      <c r="B888" s="44"/>
      <c r="C888" s="44"/>
      <c r="D888" s="47"/>
      <c r="E888" s="47"/>
      <c r="F888" s="45"/>
      <c r="G888" s="7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2.75" customHeight="1" x14ac:dyDescent="0.35">
      <c r="A889" s="43"/>
      <c r="B889" s="44"/>
      <c r="C889" s="44"/>
      <c r="D889" s="47"/>
      <c r="E889" s="47"/>
      <c r="F889" s="45"/>
      <c r="G889" s="7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2.75" customHeight="1" x14ac:dyDescent="0.35">
      <c r="A890" s="43"/>
      <c r="B890" s="44"/>
      <c r="C890" s="44"/>
      <c r="D890" s="47"/>
      <c r="E890" s="47"/>
      <c r="F890" s="45"/>
      <c r="G890" s="7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2.75" customHeight="1" x14ac:dyDescent="0.35">
      <c r="A891" s="43"/>
      <c r="B891" s="44"/>
      <c r="C891" s="44"/>
      <c r="D891" s="47"/>
      <c r="E891" s="47"/>
      <c r="F891" s="45"/>
      <c r="G891" s="7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2.75" customHeight="1" x14ac:dyDescent="0.35">
      <c r="A892" s="43"/>
      <c r="B892" s="44"/>
      <c r="C892" s="44"/>
      <c r="D892" s="47"/>
      <c r="E892" s="47"/>
      <c r="F892" s="45"/>
      <c r="G892" s="7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2.75" customHeight="1" x14ac:dyDescent="0.35">
      <c r="A893" s="43"/>
      <c r="B893" s="44"/>
      <c r="C893" s="44"/>
      <c r="D893" s="47"/>
      <c r="E893" s="47"/>
      <c r="F893" s="45"/>
      <c r="G893" s="7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2.75" customHeight="1" x14ac:dyDescent="0.35">
      <c r="A894" s="43"/>
      <c r="B894" s="44"/>
      <c r="C894" s="44"/>
      <c r="D894" s="47"/>
      <c r="E894" s="47"/>
      <c r="F894" s="45"/>
      <c r="G894" s="7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2.75" customHeight="1" x14ac:dyDescent="0.35">
      <c r="A895" s="43"/>
      <c r="B895" s="44"/>
      <c r="C895" s="44"/>
      <c r="D895" s="47"/>
      <c r="E895" s="47"/>
      <c r="F895" s="45"/>
      <c r="G895" s="7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2.75" customHeight="1" x14ac:dyDescent="0.35">
      <c r="A896" s="43"/>
      <c r="B896" s="44"/>
      <c r="C896" s="44"/>
      <c r="D896" s="47"/>
      <c r="E896" s="47"/>
      <c r="F896" s="45"/>
      <c r="G896" s="7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2.75" customHeight="1" x14ac:dyDescent="0.35">
      <c r="A897" s="43"/>
      <c r="B897" s="44"/>
      <c r="C897" s="44"/>
      <c r="D897" s="47"/>
      <c r="E897" s="47"/>
      <c r="F897" s="45"/>
      <c r="G897" s="7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2.75" customHeight="1" x14ac:dyDescent="0.35">
      <c r="A898" s="43"/>
      <c r="B898" s="44"/>
      <c r="C898" s="44"/>
      <c r="D898" s="47"/>
      <c r="E898" s="47"/>
      <c r="F898" s="45"/>
      <c r="G898" s="7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2.75" customHeight="1" x14ac:dyDescent="0.35">
      <c r="A899" s="43"/>
      <c r="B899" s="44"/>
      <c r="C899" s="44"/>
      <c r="D899" s="47"/>
      <c r="E899" s="47"/>
      <c r="F899" s="45"/>
      <c r="G899" s="7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2.75" customHeight="1" x14ac:dyDescent="0.35">
      <c r="A900" s="43"/>
      <c r="B900" s="44"/>
      <c r="C900" s="44"/>
      <c r="D900" s="47"/>
      <c r="E900" s="47"/>
      <c r="F900" s="45"/>
      <c r="G900" s="7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2.75" customHeight="1" x14ac:dyDescent="0.35">
      <c r="A901" s="43"/>
      <c r="B901" s="44"/>
      <c r="C901" s="44"/>
      <c r="D901" s="47"/>
      <c r="E901" s="47"/>
      <c r="F901" s="45"/>
      <c r="G901" s="7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2.75" customHeight="1" x14ac:dyDescent="0.35">
      <c r="A902" s="43"/>
      <c r="B902" s="44"/>
      <c r="C902" s="44"/>
      <c r="D902" s="47"/>
      <c r="E902" s="47"/>
      <c r="F902" s="45"/>
      <c r="G902" s="7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2.75" customHeight="1" x14ac:dyDescent="0.35">
      <c r="A903" s="43"/>
      <c r="B903" s="44"/>
      <c r="C903" s="44"/>
      <c r="D903" s="47"/>
      <c r="E903" s="47"/>
      <c r="F903" s="45"/>
      <c r="G903" s="7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2.75" customHeight="1" x14ac:dyDescent="0.35">
      <c r="A904" s="43"/>
      <c r="B904" s="44"/>
      <c r="C904" s="44"/>
      <c r="D904" s="47"/>
      <c r="E904" s="47"/>
      <c r="F904" s="45"/>
      <c r="G904" s="7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2.75" customHeight="1" x14ac:dyDescent="0.35">
      <c r="A905" s="43"/>
      <c r="B905" s="44"/>
      <c r="C905" s="44"/>
      <c r="D905" s="47"/>
      <c r="E905" s="47"/>
      <c r="F905" s="45"/>
      <c r="G905" s="7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2.75" customHeight="1" x14ac:dyDescent="0.35">
      <c r="A906" s="43"/>
      <c r="B906" s="44"/>
      <c r="C906" s="44"/>
      <c r="D906" s="47"/>
      <c r="E906" s="47"/>
      <c r="F906" s="45"/>
      <c r="G906" s="7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2.75" customHeight="1" x14ac:dyDescent="0.35">
      <c r="A907" s="43"/>
      <c r="B907" s="44"/>
      <c r="C907" s="44"/>
      <c r="D907" s="47"/>
      <c r="E907" s="47"/>
      <c r="F907" s="45"/>
      <c r="G907" s="7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2.75" customHeight="1" x14ac:dyDescent="0.35">
      <c r="A908" s="43"/>
      <c r="B908" s="44"/>
      <c r="C908" s="44"/>
      <c r="D908" s="47"/>
      <c r="E908" s="47"/>
      <c r="F908" s="45"/>
      <c r="G908" s="7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2.75" customHeight="1" x14ac:dyDescent="0.35">
      <c r="A909" s="43"/>
      <c r="B909" s="44"/>
      <c r="C909" s="44"/>
      <c r="D909" s="47"/>
      <c r="E909" s="47"/>
      <c r="F909" s="45"/>
      <c r="G909" s="7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2.75" customHeight="1" x14ac:dyDescent="0.35">
      <c r="A910" s="43"/>
      <c r="B910" s="44"/>
      <c r="C910" s="44"/>
      <c r="D910" s="47"/>
      <c r="E910" s="47"/>
      <c r="F910" s="45"/>
      <c r="G910" s="7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2.75" customHeight="1" x14ac:dyDescent="0.35">
      <c r="A911" s="43"/>
      <c r="B911" s="44"/>
      <c r="C911" s="44"/>
      <c r="D911" s="47"/>
      <c r="E911" s="47"/>
      <c r="F911" s="45"/>
      <c r="G911" s="7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2.75" customHeight="1" x14ac:dyDescent="0.35">
      <c r="A912" s="43"/>
      <c r="B912" s="44"/>
      <c r="C912" s="44"/>
      <c r="D912" s="47"/>
      <c r="E912" s="47"/>
      <c r="F912" s="45"/>
      <c r="G912" s="7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2.75" customHeight="1" x14ac:dyDescent="0.35">
      <c r="A913" s="43"/>
      <c r="B913" s="44"/>
      <c r="C913" s="44"/>
      <c r="D913" s="47"/>
      <c r="E913" s="47"/>
      <c r="F913" s="45"/>
      <c r="G913" s="7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2.75" customHeight="1" x14ac:dyDescent="0.35">
      <c r="A914" s="43"/>
      <c r="B914" s="44"/>
      <c r="C914" s="44"/>
      <c r="D914" s="47"/>
      <c r="E914" s="47"/>
      <c r="F914" s="45"/>
      <c r="G914" s="7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2.75" customHeight="1" x14ac:dyDescent="0.35">
      <c r="A915" s="43"/>
      <c r="B915" s="44"/>
      <c r="C915" s="44"/>
      <c r="D915" s="47"/>
      <c r="E915" s="47"/>
      <c r="F915" s="45"/>
      <c r="G915" s="7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2.75" customHeight="1" x14ac:dyDescent="0.35">
      <c r="A916" s="43"/>
      <c r="B916" s="44"/>
      <c r="C916" s="44"/>
      <c r="D916" s="47"/>
      <c r="E916" s="47"/>
      <c r="F916" s="45"/>
      <c r="G916" s="7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2.75" customHeight="1" x14ac:dyDescent="0.35">
      <c r="A917" s="43"/>
      <c r="B917" s="44"/>
      <c r="C917" s="44"/>
      <c r="D917" s="47"/>
      <c r="E917" s="47"/>
      <c r="F917" s="45"/>
      <c r="G917" s="7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2.75" customHeight="1" x14ac:dyDescent="0.35">
      <c r="A918" s="43"/>
      <c r="B918" s="44"/>
      <c r="C918" s="44"/>
      <c r="D918" s="47"/>
      <c r="E918" s="47"/>
      <c r="F918" s="45"/>
      <c r="G918" s="7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2.75" customHeight="1" x14ac:dyDescent="0.35">
      <c r="A919" s="43"/>
      <c r="B919" s="44"/>
      <c r="C919" s="44"/>
      <c r="D919" s="47"/>
      <c r="E919" s="47"/>
      <c r="F919" s="45"/>
      <c r="G919" s="7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2.75" customHeight="1" x14ac:dyDescent="0.35">
      <c r="A920" s="43"/>
      <c r="B920" s="44"/>
      <c r="C920" s="44"/>
      <c r="D920" s="47"/>
      <c r="E920" s="47"/>
      <c r="F920" s="45"/>
      <c r="G920" s="7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2.75" customHeight="1" x14ac:dyDescent="0.35">
      <c r="A921" s="43"/>
      <c r="B921" s="44"/>
      <c r="C921" s="44"/>
      <c r="D921" s="47"/>
      <c r="E921" s="47"/>
      <c r="F921" s="45"/>
      <c r="G921" s="7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2.75" customHeight="1" x14ac:dyDescent="0.35">
      <c r="A922" s="43"/>
      <c r="B922" s="44"/>
      <c r="C922" s="44"/>
      <c r="D922" s="47"/>
      <c r="E922" s="47"/>
      <c r="F922" s="45"/>
      <c r="G922" s="7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2.75" customHeight="1" x14ac:dyDescent="0.35">
      <c r="A923" s="43"/>
      <c r="B923" s="44"/>
      <c r="C923" s="44"/>
      <c r="D923" s="47"/>
      <c r="E923" s="47"/>
      <c r="F923" s="45"/>
      <c r="G923" s="7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2.75" customHeight="1" x14ac:dyDescent="0.35">
      <c r="A924" s="43"/>
      <c r="B924" s="44"/>
      <c r="C924" s="44"/>
      <c r="D924" s="47"/>
      <c r="E924" s="47"/>
      <c r="F924" s="45"/>
      <c r="G924" s="7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2.75" customHeight="1" x14ac:dyDescent="0.35">
      <c r="A925" s="43"/>
      <c r="B925" s="44"/>
      <c r="C925" s="44"/>
      <c r="D925" s="47"/>
      <c r="E925" s="47"/>
      <c r="F925" s="45"/>
      <c r="G925" s="7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2.75" customHeight="1" x14ac:dyDescent="0.35">
      <c r="A926" s="43"/>
      <c r="B926" s="44"/>
      <c r="C926" s="44"/>
      <c r="D926" s="47"/>
      <c r="E926" s="47"/>
      <c r="F926" s="45"/>
      <c r="G926" s="7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2.75" customHeight="1" x14ac:dyDescent="0.35">
      <c r="A927" s="43"/>
      <c r="B927" s="44"/>
      <c r="C927" s="44"/>
      <c r="D927" s="47"/>
      <c r="E927" s="47"/>
      <c r="F927" s="45"/>
      <c r="G927" s="7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2.75" customHeight="1" x14ac:dyDescent="0.35">
      <c r="A928" s="43"/>
      <c r="B928" s="44"/>
      <c r="C928" s="44"/>
      <c r="D928" s="47"/>
      <c r="E928" s="47"/>
      <c r="F928" s="45"/>
      <c r="G928" s="7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2.75" customHeight="1" x14ac:dyDescent="0.35">
      <c r="A929" s="43"/>
      <c r="B929" s="44"/>
      <c r="C929" s="44"/>
      <c r="D929" s="47"/>
      <c r="E929" s="47"/>
      <c r="F929" s="45"/>
      <c r="G929" s="7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2.75" customHeight="1" x14ac:dyDescent="0.35">
      <c r="A930" s="43"/>
      <c r="B930" s="44"/>
      <c r="C930" s="44"/>
      <c r="D930" s="47"/>
      <c r="E930" s="47"/>
      <c r="F930" s="45"/>
      <c r="G930" s="7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2.75" customHeight="1" x14ac:dyDescent="0.35">
      <c r="A931" s="43"/>
      <c r="B931" s="44"/>
      <c r="C931" s="44"/>
      <c r="D931" s="47"/>
      <c r="E931" s="47"/>
      <c r="F931" s="45"/>
      <c r="G931" s="7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2.75" customHeight="1" x14ac:dyDescent="0.35">
      <c r="A932" s="43"/>
      <c r="B932" s="44"/>
      <c r="C932" s="44"/>
      <c r="D932" s="47"/>
      <c r="E932" s="47"/>
      <c r="F932" s="45"/>
      <c r="G932" s="7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2.75" customHeight="1" x14ac:dyDescent="0.35">
      <c r="A933" s="43"/>
      <c r="B933" s="44"/>
      <c r="C933" s="44"/>
      <c r="D933" s="47"/>
      <c r="E933" s="47"/>
      <c r="F933" s="45"/>
      <c r="G933" s="7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2.75" customHeight="1" x14ac:dyDescent="0.35">
      <c r="A934" s="43"/>
      <c r="B934" s="44"/>
      <c r="C934" s="44"/>
      <c r="D934" s="47"/>
      <c r="E934" s="47"/>
      <c r="F934" s="45"/>
      <c r="G934" s="7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2.75" customHeight="1" x14ac:dyDescent="0.35">
      <c r="A935" s="43"/>
      <c r="B935" s="44"/>
      <c r="C935" s="44"/>
      <c r="D935" s="47"/>
      <c r="E935" s="47"/>
      <c r="F935" s="45"/>
      <c r="G935" s="7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2.75" customHeight="1" x14ac:dyDescent="0.35">
      <c r="A936" s="43"/>
      <c r="B936" s="44"/>
      <c r="C936" s="44"/>
      <c r="D936" s="47"/>
      <c r="E936" s="47"/>
      <c r="F936" s="45"/>
      <c r="G936" s="7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2.75" customHeight="1" x14ac:dyDescent="0.35">
      <c r="A937" s="43"/>
      <c r="B937" s="44"/>
      <c r="C937" s="44"/>
      <c r="D937" s="47"/>
      <c r="E937" s="47"/>
      <c r="F937" s="45"/>
      <c r="G937" s="7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2.75" customHeight="1" x14ac:dyDescent="0.35">
      <c r="A938" s="43"/>
      <c r="B938" s="44"/>
      <c r="C938" s="44"/>
      <c r="D938" s="47"/>
      <c r="E938" s="47"/>
      <c r="F938" s="45"/>
      <c r="G938" s="7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2.75" customHeight="1" x14ac:dyDescent="0.35">
      <c r="A939" s="43"/>
      <c r="B939" s="44"/>
      <c r="C939" s="44"/>
      <c r="D939" s="47"/>
      <c r="E939" s="47"/>
      <c r="F939" s="45"/>
      <c r="G939" s="7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2.75" customHeight="1" x14ac:dyDescent="0.35">
      <c r="A940" s="43"/>
      <c r="B940" s="44"/>
      <c r="C940" s="44"/>
      <c r="D940" s="47"/>
      <c r="E940" s="47"/>
      <c r="F940" s="45"/>
      <c r="G940" s="7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2.75" customHeight="1" x14ac:dyDescent="0.35">
      <c r="A941" s="43"/>
      <c r="B941" s="44"/>
      <c r="C941" s="44"/>
      <c r="D941" s="47"/>
      <c r="E941" s="47"/>
      <c r="F941" s="45"/>
      <c r="G941" s="7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2.75" customHeight="1" x14ac:dyDescent="0.35">
      <c r="A942" s="43"/>
      <c r="B942" s="44"/>
      <c r="C942" s="44"/>
      <c r="D942" s="47"/>
      <c r="E942" s="47"/>
      <c r="F942" s="45"/>
      <c r="G942" s="7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2.75" customHeight="1" x14ac:dyDescent="0.35">
      <c r="A943" s="43"/>
      <c r="B943" s="44"/>
      <c r="C943" s="44"/>
      <c r="D943" s="47"/>
      <c r="E943" s="47"/>
      <c r="F943" s="45"/>
      <c r="G943" s="7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2.75" customHeight="1" x14ac:dyDescent="0.35">
      <c r="A944" s="43"/>
      <c r="B944" s="44"/>
      <c r="C944" s="44"/>
      <c r="D944" s="47"/>
      <c r="E944" s="47"/>
      <c r="F944" s="45"/>
      <c r="G944" s="7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2.75" customHeight="1" x14ac:dyDescent="0.35">
      <c r="A945" s="43"/>
      <c r="B945" s="44"/>
      <c r="C945" s="44"/>
      <c r="D945" s="47"/>
      <c r="E945" s="47"/>
      <c r="F945" s="45"/>
      <c r="G945" s="7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2.75" customHeight="1" x14ac:dyDescent="0.35">
      <c r="A946" s="43"/>
      <c r="B946" s="44"/>
      <c r="C946" s="44"/>
      <c r="D946" s="47"/>
      <c r="E946" s="47"/>
      <c r="F946" s="45"/>
      <c r="G946" s="7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2.75" customHeight="1" x14ac:dyDescent="0.35">
      <c r="A947" s="43"/>
      <c r="B947" s="44"/>
      <c r="C947" s="44"/>
      <c r="D947" s="47"/>
      <c r="E947" s="47"/>
      <c r="F947" s="45"/>
      <c r="G947" s="7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2.75" customHeight="1" x14ac:dyDescent="0.35">
      <c r="A948" s="43"/>
      <c r="B948" s="44"/>
      <c r="C948" s="44"/>
      <c r="D948" s="47"/>
      <c r="E948" s="47"/>
      <c r="F948" s="45"/>
      <c r="G948" s="7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2.75" customHeight="1" x14ac:dyDescent="0.35">
      <c r="A949" s="43"/>
      <c r="B949" s="44"/>
      <c r="C949" s="44"/>
      <c r="D949" s="47"/>
      <c r="E949" s="47"/>
      <c r="F949" s="45"/>
      <c r="G949" s="7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2.75" customHeight="1" x14ac:dyDescent="0.35">
      <c r="A950" s="43"/>
      <c r="B950" s="44"/>
      <c r="C950" s="44"/>
      <c r="D950" s="47"/>
      <c r="E950" s="47"/>
      <c r="F950" s="45"/>
      <c r="G950" s="7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2.75" customHeight="1" x14ac:dyDescent="0.35">
      <c r="A951" s="43"/>
      <c r="B951" s="44"/>
      <c r="C951" s="44"/>
      <c r="D951" s="47"/>
      <c r="E951" s="47"/>
      <c r="F951" s="45"/>
      <c r="G951" s="7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2.75" customHeight="1" x14ac:dyDescent="0.35">
      <c r="A952" s="43"/>
      <c r="B952" s="44"/>
      <c r="C952" s="44"/>
      <c r="D952" s="47"/>
      <c r="E952" s="47"/>
      <c r="F952" s="45"/>
      <c r="G952" s="7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2.75" customHeight="1" x14ac:dyDescent="0.35">
      <c r="A953" s="43"/>
      <c r="B953" s="44"/>
      <c r="C953" s="44"/>
      <c r="D953" s="47"/>
      <c r="E953" s="47"/>
      <c r="F953" s="45"/>
      <c r="G953" s="7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2.75" customHeight="1" x14ac:dyDescent="0.35">
      <c r="A954" s="43"/>
      <c r="B954" s="44"/>
      <c r="C954" s="44"/>
      <c r="D954" s="47"/>
      <c r="E954" s="47"/>
      <c r="F954" s="45"/>
      <c r="G954" s="7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2.75" customHeight="1" x14ac:dyDescent="0.35">
      <c r="A955" s="43"/>
      <c r="B955" s="44"/>
      <c r="C955" s="44"/>
      <c r="D955" s="47"/>
      <c r="E955" s="47"/>
      <c r="F955" s="45"/>
      <c r="G955" s="7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2.75" customHeight="1" x14ac:dyDescent="0.35">
      <c r="A956" s="43"/>
      <c r="B956" s="44"/>
      <c r="C956" s="44"/>
      <c r="D956" s="47"/>
      <c r="E956" s="47"/>
      <c r="F956" s="45"/>
      <c r="G956" s="7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2.75" customHeight="1" x14ac:dyDescent="0.35">
      <c r="A957" s="43"/>
      <c r="B957" s="44"/>
      <c r="C957" s="44"/>
      <c r="D957" s="47"/>
      <c r="E957" s="47"/>
      <c r="F957" s="45"/>
      <c r="G957" s="7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2.75" customHeight="1" x14ac:dyDescent="0.35">
      <c r="A958" s="43"/>
      <c r="B958" s="44"/>
      <c r="C958" s="44"/>
      <c r="D958" s="47"/>
      <c r="E958" s="47"/>
      <c r="F958" s="45"/>
      <c r="G958" s="7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2.75" customHeight="1" x14ac:dyDescent="0.35">
      <c r="A959" s="43"/>
      <c r="B959" s="44"/>
      <c r="C959" s="44"/>
      <c r="D959" s="47"/>
      <c r="E959" s="47"/>
      <c r="F959" s="45"/>
      <c r="G959" s="7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2.75" customHeight="1" x14ac:dyDescent="0.35">
      <c r="A960" s="43"/>
      <c r="B960" s="44"/>
      <c r="C960" s="44"/>
      <c r="D960" s="47"/>
      <c r="E960" s="47"/>
      <c r="F960" s="45"/>
      <c r="G960" s="7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2.75" customHeight="1" x14ac:dyDescent="0.35">
      <c r="A961" s="43"/>
      <c r="B961" s="44"/>
      <c r="C961" s="44"/>
      <c r="D961" s="47"/>
      <c r="E961" s="47"/>
      <c r="F961" s="45"/>
      <c r="G961" s="7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2.75" customHeight="1" x14ac:dyDescent="0.35">
      <c r="A962" s="43"/>
      <c r="B962" s="44"/>
      <c r="C962" s="44"/>
      <c r="D962" s="47"/>
      <c r="E962" s="47"/>
      <c r="F962" s="45"/>
      <c r="G962" s="7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2.75" customHeight="1" x14ac:dyDescent="0.35">
      <c r="A963" s="43"/>
      <c r="B963" s="44"/>
      <c r="C963" s="44"/>
      <c r="D963" s="47"/>
      <c r="E963" s="47"/>
      <c r="F963" s="45"/>
      <c r="G963" s="7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2.75" customHeight="1" x14ac:dyDescent="0.35">
      <c r="A964" s="43"/>
      <c r="B964" s="44"/>
      <c r="C964" s="44"/>
      <c r="D964" s="47"/>
      <c r="E964" s="47"/>
      <c r="F964" s="45"/>
      <c r="G964" s="7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2.75" customHeight="1" x14ac:dyDescent="0.35">
      <c r="A965" s="43"/>
      <c r="B965" s="44"/>
      <c r="C965" s="44"/>
      <c r="D965" s="47"/>
      <c r="E965" s="47"/>
      <c r="F965" s="45"/>
      <c r="G965" s="7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2.75" customHeight="1" x14ac:dyDescent="0.35">
      <c r="A966" s="43"/>
      <c r="B966" s="44"/>
      <c r="C966" s="44"/>
      <c r="D966" s="47"/>
      <c r="E966" s="47"/>
      <c r="F966" s="45"/>
      <c r="G966" s="7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2.75" customHeight="1" x14ac:dyDescent="0.35">
      <c r="A967" s="43"/>
      <c r="B967" s="44"/>
      <c r="C967" s="44"/>
      <c r="D967" s="47"/>
      <c r="E967" s="47"/>
      <c r="F967" s="45"/>
      <c r="G967" s="7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2.75" customHeight="1" x14ac:dyDescent="0.35">
      <c r="A968" s="43"/>
      <c r="B968" s="44"/>
      <c r="C968" s="44"/>
      <c r="D968" s="47"/>
      <c r="E968" s="47"/>
      <c r="F968" s="45"/>
      <c r="G968" s="7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2.75" customHeight="1" x14ac:dyDescent="0.35">
      <c r="A969" s="43"/>
      <c r="B969" s="44"/>
      <c r="C969" s="44"/>
      <c r="D969" s="47"/>
      <c r="E969" s="47"/>
      <c r="F969" s="45"/>
      <c r="G969" s="7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2.75" customHeight="1" x14ac:dyDescent="0.35">
      <c r="A970" s="43"/>
      <c r="B970" s="44"/>
      <c r="C970" s="44"/>
      <c r="D970" s="47"/>
      <c r="E970" s="47"/>
      <c r="F970" s="45"/>
      <c r="G970" s="7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2.75" customHeight="1" x14ac:dyDescent="0.35">
      <c r="A971" s="43"/>
      <c r="B971" s="44"/>
      <c r="C971" s="44"/>
      <c r="D971" s="47"/>
      <c r="E971" s="47"/>
      <c r="F971" s="45"/>
      <c r="G971" s="7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2.75" customHeight="1" x14ac:dyDescent="0.35">
      <c r="A972" s="43"/>
      <c r="B972" s="44"/>
      <c r="C972" s="44"/>
      <c r="D972" s="47"/>
      <c r="E972" s="47"/>
      <c r="F972" s="45"/>
      <c r="G972" s="7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2.75" customHeight="1" x14ac:dyDescent="0.35">
      <c r="A973" s="43"/>
      <c r="B973" s="44"/>
      <c r="C973" s="44"/>
      <c r="D973" s="47"/>
      <c r="E973" s="47"/>
      <c r="F973" s="45"/>
      <c r="G973" s="7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2.75" customHeight="1" x14ac:dyDescent="0.35">
      <c r="A974" s="43"/>
      <c r="B974" s="44"/>
      <c r="C974" s="44"/>
      <c r="D974" s="47"/>
      <c r="E974" s="47"/>
      <c r="F974" s="45"/>
      <c r="G974" s="7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2.75" customHeight="1" x14ac:dyDescent="0.35">
      <c r="A975" s="43"/>
      <c r="B975" s="44"/>
      <c r="C975" s="44"/>
      <c r="D975" s="47"/>
      <c r="E975" s="47"/>
      <c r="F975" s="45"/>
      <c r="G975" s="7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2.75" customHeight="1" x14ac:dyDescent="0.35">
      <c r="A976" s="43"/>
      <c r="B976" s="44"/>
      <c r="C976" s="44"/>
      <c r="D976" s="47"/>
      <c r="E976" s="47"/>
      <c r="F976" s="45"/>
      <c r="G976" s="7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2.75" customHeight="1" x14ac:dyDescent="0.35">
      <c r="A977" s="43"/>
      <c r="B977" s="44"/>
      <c r="C977" s="44"/>
      <c r="D977" s="47"/>
      <c r="E977" s="47"/>
      <c r="F977" s="45"/>
      <c r="G977" s="7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2.75" customHeight="1" x14ac:dyDescent="0.35">
      <c r="A978" s="43"/>
      <c r="B978" s="44"/>
      <c r="C978" s="44"/>
      <c r="D978" s="47"/>
      <c r="E978" s="47"/>
      <c r="F978" s="45"/>
      <c r="G978" s="7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2.75" customHeight="1" x14ac:dyDescent="0.35">
      <c r="A979" s="43"/>
      <c r="B979" s="44"/>
      <c r="C979" s="44"/>
      <c r="D979" s="47"/>
      <c r="E979" s="47"/>
      <c r="F979" s="45"/>
      <c r="G979" s="7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2.75" customHeight="1" x14ac:dyDescent="0.35">
      <c r="A980" s="43"/>
      <c r="B980" s="44"/>
      <c r="C980" s="44"/>
      <c r="D980" s="47"/>
      <c r="E980" s="47"/>
      <c r="F980" s="45"/>
      <c r="G980" s="7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2.75" customHeight="1" x14ac:dyDescent="0.35">
      <c r="A981" s="43"/>
      <c r="B981" s="44"/>
      <c r="C981" s="44"/>
      <c r="D981" s="47"/>
      <c r="E981" s="47"/>
      <c r="F981" s="45"/>
      <c r="G981" s="7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2.75" customHeight="1" x14ac:dyDescent="0.35">
      <c r="A982" s="43"/>
      <c r="B982" s="44"/>
      <c r="C982" s="44"/>
      <c r="D982" s="47"/>
      <c r="E982" s="47"/>
      <c r="F982" s="45"/>
      <c r="G982" s="7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2.75" customHeight="1" x14ac:dyDescent="0.35">
      <c r="A983" s="43"/>
      <c r="B983" s="44"/>
      <c r="C983" s="44"/>
      <c r="D983" s="47"/>
      <c r="E983" s="47"/>
      <c r="F983" s="45"/>
      <c r="G983" s="7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2.75" customHeight="1" x14ac:dyDescent="0.35">
      <c r="A984" s="43"/>
      <c r="B984" s="44"/>
      <c r="C984" s="44"/>
      <c r="D984" s="47"/>
      <c r="E984" s="47"/>
      <c r="F984" s="45"/>
      <c r="G984" s="7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2.75" customHeight="1" x14ac:dyDescent="0.35">
      <c r="A985" s="43"/>
      <c r="B985" s="44"/>
      <c r="C985" s="44"/>
      <c r="D985" s="47"/>
      <c r="E985" s="47"/>
      <c r="F985" s="45"/>
      <c r="G985" s="7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2.75" customHeight="1" x14ac:dyDescent="0.35">
      <c r="A986" s="43"/>
      <c r="B986" s="44"/>
      <c r="C986" s="44"/>
      <c r="D986" s="47"/>
      <c r="E986" s="47"/>
      <c r="F986" s="45"/>
      <c r="G986" s="7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2.75" customHeight="1" x14ac:dyDescent="0.35">
      <c r="A987" s="43"/>
      <c r="B987" s="44"/>
      <c r="C987" s="44"/>
      <c r="D987" s="47"/>
      <c r="E987" s="47"/>
      <c r="F987" s="45"/>
      <c r="G987" s="7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2.75" customHeight="1" x14ac:dyDescent="0.35">
      <c r="A988" s="43"/>
      <c r="B988" s="44"/>
      <c r="C988" s="44"/>
      <c r="D988" s="47"/>
      <c r="E988" s="47"/>
      <c r="F988" s="45"/>
      <c r="G988" s="7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2.75" customHeight="1" x14ac:dyDescent="0.35">
      <c r="A989" s="43"/>
      <c r="B989" s="44"/>
      <c r="C989" s="44"/>
      <c r="D989" s="47"/>
      <c r="E989" s="47"/>
      <c r="F989" s="45"/>
      <c r="G989" s="7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2.75" customHeight="1" x14ac:dyDescent="0.35">
      <c r="A990" s="43"/>
      <c r="B990" s="44"/>
      <c r="C990" s="44"/>
      <c r="D990" s="47"/>
      <c r="E990" s="47"/>
      <c r="F990" s="45"/>
      <c r="G990" s="7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2.75" customHeight="1" x14ac:dyDescent="0.35">
      <c r="A991" s="43"/>
      <c r="B991" s="44"/>
      <c r="C991" s="44"/>
      <c r="D991" s="47"/>
      <c r="E991" s="47"/>
      <c r="F991" s="45"/>
      <c r="G991" s="7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2.75" customHeight="1" x14ac:dyDescent="0.35">
      <c r="A992" s="43"/>
      <c r="B992" s="44"/>
      <c r="C992" s="44"/>
      <c r="D992" s="47"/>
      <c r="E992" s="47"/>
      <c r="F992" s="45"/>
      <c r="G992" s="7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2.75" customHeight="1" x14ac:dyDescent="0.35">
      <c r="A993" s="43"/>
      <c r="B993" s="44"/>
      <c r="C993" s="44"/>
      <c r="D993" s="47"/>
      <c r="E993" s="47"/>
      <c r="F993" s="45"/>
      <c r="G993" s="7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2.75" customHeight="1" x14ac:dyDescent="0.35">
      <c r="A994" s="43"/>
      <c r="B994" s="44"/>
      <c r="C994" s="44"/>
      <c r="D994" s="47"/>
      <c r="E994" s="47"/>
      <c r="F994" s="45"/>
      <c r="G994" s="7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2.75" customHeight="1" x14ac:dyDescent="0.35">
      <c r="A995" s="43"/>
      <c r="B995" s="44"/>
      <c r="C995" s="44"/>
      <c r="D995" s="47"/>
      <c r="E995" s="47"/>
      <c r="F995" s="45"/>
      <c r="G995" s="7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2.75" customHeight="1" x14ac:dyDescent="0.35">
      <c r="A996" s="43"/>
      <c r="B996" s="44"/>
      <c r="C996" s="44"/>
      <c r="D996" s="47"/>
      <c r="E996" s="47"/>
      <c r="F996" s="45"/>
      <c r="G996" s="7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2.75" customHeight="1" x14ac:dyDescent="0.35">
      <c r="A997" s="43"/>
      <c r="B997" s="44"/>
      <c r="C997" s="44"/>
      <c r="D997" s="47"/>
      <c r="E997" s="47"/>
      <c r="F997" s="45"/>
      <c r="G997" s="7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2.75" customHeight="1" x14ac:dyDescent="0.35">
      <c r="A998" s="43"/>
      <c r="B998" s="44"/>
      <c r="C998" s="44"/>
      <c r="D998" s="47"/>
      <c r="E998" s="47"/>
      <c r="F998" s="45"/>
      <c r="G998" s="7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2.75" customHeight="1" x14ac:dyDescent="0.35">
      <c r="A999" s="43"/>
      <c r="B999" s="44"/>
      <c r="C999" s="44"/>
      <c r="D999" s="47"/>
      <c r="E999" s="47"/>
      <c r="F999" s="45"/>
      <c r="G999" s="7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2.75" customHeight="1" x14ac:dyDescent="0.35">
      <c r="A1000" s="43"/>
      <c r="B1000" s="44"/>
      <c r="C1000" s="44"/>
      <c r="D1000" s="47"/>
      <c r="E1000" s="47"/>
      <c r="F1000" s="45"/>
      <c r="G1000" s="7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8">
    <mergeCell ref="E255:F255"/>
    <mergeCell ref="H255:I255"/>
    <mergeCell ref="A256:C256"/>
    <mergeCell ref="K2:N2"/>
    <mergeCell ref="K8:L8"/>
    <mergeCell ref="K14:L14"/>
    <mergeCell ref="K32:L32"/>
    <mergeCell ref="K38:L38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" ht="14.25" customHeight="1" x14ac:dyDescent="0.35">
      <c r="A1" s="89" t="s">
        <v>109</v>
      </c>
    </row>
    <row r="2" spans="1:1" ht="14.25" customHeight="1" x14ac:dyDescent="0.35"/>
    <row r="3" spans="1:1" ht="14.25" customHeight="1" x14ac:dyDescent="0.35"/>
    <row r="4" spans="1:1" ht="14.25" customHeight="1" x14ac:dyDescent="0.35"/>
    <row r="5" spans="1:1" ht="14.25" customHeight="1" x14ac:dyDescent="0.35"/>
    <row r="6" spans="1:1" ht="14.25" customHeight="1" x14ac:dyDescent="0.35"/>
    <row r="7" spans="1:1" ht="14.25" customHeight="1" x14ac:dyDescent="0.35"/>
    <row r="8" spans="1:1" ht="14.25" customHeight="1" x14ac:dyDescent="0.35"/>
    <row r="9" spans="1:1" ht="14.25" customHeight="1" x14ac:dyDescent="0.35"/>
    <row r="10" spans="1:1" ht="14.25" customHeight="1" x14ac:dyDescent="0.35"/>
    <row r="11" spans="1:1" ht="14.25" customHeight="1" x14ac:dyDescent="0.35"/>
    <row r="12" spans="1:1" ht="14.25" customHeight="1" x14ac:dyDescent="0.35"/>
    <row r="13" spans="1:1" ht="14.25" customHeight="1" x14ac:dyDescent="0.35"/>
    <row r="14" spans="1:1" ht="14.25" customHeight="1" x14ac:dyDescent="0.35"/>
    <row r="15" spans="1:1" ht="14.25" customHeight="1" x14ac:dyDescent="0.35"/>
    <row r="16" spans="1: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A1" location="'Yearly Returns Chart'!A1" display="'Yearly Returns Chart" xr:uid="{00000000-0004-0000-0300-000000000000}"/>
  </hyperlink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" ht="14.25" customHeight="1" x14ac:dyDescent="0.35">
      <c r="A1" s="89" t="s">
        <v>110</v>
      </c>
    </row>
    <row r="2" spans="1:1" ht="14.25" customHeight="1" x14ac:dyDescent="0.35"/>
    <row r="3" spans="1:1" ht="14.25" customHeight="1" x14ac:dyDescent="0.35"/>
    <row r="4" spans="1:1" ht="14.25" customHeight="1" x14ac:dyDescent="0.35"/>
    <row r="5" spans="1:1" ht="14.25" customHeight="1" x14ac:dyDescent="0.35"/>
    <row r="6" spans="1:1" ht="14.25" customHeight="1" x14ac:dyDescent="0.35"/>
    <row r="7" spans="1:1" ht="14.25" customHeight="1" x14ac:dyDescent="0.35"/>
    <row r="8" spans="1:1" ht="14.25" customHeight="1" x14ac:dyDescent="0.35"/>
    <row r="9" spans="1:1" ht="14.25" customHeight="1" x14ac:dyDescent="0.35"/>
    <row r="10" spans="1:1" ht="14.25" customHeight="1" x14ac:dyDescent="0.35"/>
    <row r="11" spans="1:1" ht="14.25" customHeight="1" x14ac:dyDescent="0.35"/>
    <row r="12" spans="1:1" ht="14.25" customHeight="1" x14ac:dyDescent="0.35"/>
    <row r="13" spans="1:1" ht="14.25" customHeight="1" x14ac:dyDescent="0.35"/>
    <row r="14" spans="1:1" ht="14.25" customHeight="1" x14ac:dyDescent="0.35"/>
    <row r="15" spans="1:1" ht="14.25" customHeight="1" x14ac:dyDescent="0.35"/>
    <row r="16" spans="1: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A1" location="'Yearly Rescaled Price Chart '!A1" display="'Yearly Rescaled Price Chart '!A1" xr:uid="{00000000-0004-0000-0400-000000000000}"/>
  </hyperlink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zoomScale="67" workbookViewId="0">
      <selection activeCell="R24" sqref="R24"/>
    </sheetView>
  </sheetViews>
  <sheetFormatPr defaultColWidth="14.453125" defaultRowHeight="15" customHeight="1" x14ac:dyDescent="0.35"/>
  <cols>
    <col min="1" max="1" width="24.08984375" customWidth="1"/>
    <col min="2" max="2" width="20.54296875" customWidth="1"/>
    <col min="3" max="3" width="21.08984375" customWidth="1"/>
    <col min="4" max="4" width="25" customWidth="1"/>
    <col min="5" max="5" width="20" customWidth="1"/>
    <col min="6" max="26" width="8.7265625" customWidth="1"/>
  </cols>
  <sheetData>
    <row r="1" spans="1:5" ht="14.25" customHeight="1" x14ac:dyDescent="0.35">
      <c r="A1" s="90" t="s">
        <v>111</v>
      </c>
      <c r="B1" s="90" t="s">
        <v>11</v>
      </c>
      <c r="C1" s="90" t="s">
        <v>12</v>
      </c>
      <c r="D1" s="91" t="s">
        <v>112</v>
      </c>
      <c r="E1" s="91" t="s">
        <v>113</v>
      </c>
    </row>
    <row r="2" spans="1:5" ht="14.25" customHeight="1" x14ac:dyDescent="0.35">
      <c r="A2" s="70" t="s">
        <v>114</v>
      </c>
      <c r="B2" s="92">
        <f>AVERAGE('Data-Yearly'!D3:D22)</f>
        <v>9.4707395802074615E-2</v>
      </c>
      <c r="C2" s="92">
        <f>AVERAGE('Data-Yearly'!E3:E22)</f>
        <v>5.7086446130598587E-2</v>
      </c>
      <c r="D2" s="71">
        <v>0</v>
      </c>
      <c r="E2" s="62">
        <f>B5</f>
        <v>0.04</v>
      </c>
    </row>
    <row r="3" spans="1:5" ht="14.25" customHeight="1" x14ac:dyDescent="0.35">
      <c r="A3" s="70" t="s">
        <v>107</v>
      </c>
      <c r="B3" s="93">
        <f>_xlfn.STDEV.S('Data-Yearly'!D3:D22)</f>
        <v>0.20699251217638528</v>
      </c>
      <c r="C3" s="93">
        <f>_xlfn.STDEV.S('Data-Yearly'!E3:E22)</f>
        <v>0.25718329992354605</v>
      </c>
      <c r="D3" s="63">
        <f>B34</f>
        <v>0.17198976772574862</v>
      </c>
      <c r="E3" s="63">
        <f>B33</f>
        <v>8.746212921960933E-2</v>
      </c>
    </row>
    <row r="4" spans="1:5" ht="14.25" customHeight="1" x14ac:dyDescent="0.35">
      <c r="A4" s="70" t="s">
        <v>115</v>
      </c>
      <c r="B4" s="94">
        <f>CORREL('Data-Yearly'!D3:D22,'Data-Yearly'!E3:E22)</f>
        <v>-4.8606701487290363E-2</v>
      </c>
      <c r="C4" s="70"/>
    </row>
    <row r="5" spans="1:5" ht="14.25" customHeight="1" x14ac:dyDescent="0.35">
      <c r="A5" s="70" t="s">
        <v>116</v>
      </c>
      <c r="B5" s="94">
        <f>4%</f>
        <v>0.04</v>
      </c>
      <c r="C5" s="70"/>
    </row>
    <row r="6" spans="1:5" ht="14.25" customHeight="1" x14ac:dyDescent="0.35"/>
    <row r="7" spans="1:5" ht="14.25" customHeight="1" x14ac:dyDescent="0.35">
      <c r="A7" s="95" t="s">
        <v>117</v>
      </c>
      <c r="B7" s="96" t="s">
        <v>118</v>
      </c>
      <c r="C7" s="97" t="s">
        <v>119</v>
      </c>
      <c r="D7" s="98" t="s">
        <v>120</v>
      </c>
    </row>
    <row r="8" spans="1:5" ht="14.25" customHeight="1" x14ac:dyDescent="0.35">
      <c r="A8" s="62">
        <v>0</v>
      </c>
      <c r="B8" s="62">
        <f t="shared" ref="B8:B28" si="0">1-A8</f>
        <v>1</v>
      </c>
      <c r="C8" s="63">
        <f t="shared" ref="C8:C28" si="1">(A8*$B$2)+(B8*$C$2)</f>
        <v>5.7086446130598587E-2</v>
      </c>
      <c r="D8" s="62">
        <f t="shared" ref="D8:D28" si="2">SQRT(A8^2*$B$3^2+B8^2*$C$3^2+2*A8*B8*$B$3*$C$3*$B$4)</f>
        <v>0.25718329992354605</v>
      </c>
      <c r="E8" s="49"/>
    </row>
    <row r="9" spans="1:5" ht="14.25" customHeight="1" x14ac:dyDescent="0.35">
      <c r="A9" s="62">
        <f t="shared" ref="A9:A28" si="3">A8+0.05</f>
        <v>0.05</v>
      </c>
      <c r="B9" s="62">
        <f t="shared" si="0"/>
        <v>0.95</v>
      </c>
      <c r="C9" s="63">
        <f t="shared" si="1"/>
        <v>5.8967493614172382E-2</v>
      </c>
      <c r="D9" s="62">
        <f t="shared" si="2"/>
        <v>0.24404011492288766</v>
      </c>
      <c r="E9" s="49"/>
    </row>
    <row r="10" spans="1:5" ht="14.25" customHeight="1" x14ac:dyDescent="0.35">
      <c r="A10" s="62">
        <f t="shared" si="3"/>
        <v>0.1</v>
      </c>
      <c r="B10" s="62">
        <f t="shared" si="0"/>
        <v>0.9</v>
      </c>
      <c r="C10" s="63">
        <f t="shared" si="1"/>
        <v>6.0848541097746192E-2</v>
      </c>
      <c r="D10" s="62">
        <f t="shared" si="2"/>
        <v>0.23138437103407986</v>
      </c>
      <c r="E10" s="49"/>
    </row>
    <row r="11" spans="1:5" ht="14.25" customHeight="1" x14ac:dyDescent="0.35">
      <c r="A11" s="62">
        <f t="shared" si="3"/>
        <v>0.15000000000000002</v>
      </c>
      <c r="B11" s="62">
        <f t="shared" si="0"/>
        <v>0.85</v>
      </c>
      <c r="C11" s="63">
        <f t="shared" si="1"/>
        <v>6.2729588581319995E-2</v>
      </c>
      <c r="D11" s="62">
        <f t="shared" si="2"/>
        <v>0.21930047460355881</v>
      </c>
      <c r="E11" s="49"/>
    </row>
    <row r="12" spans="1:5" ht="14.25" customHeight="1" x14ac:dyDescent="0.35">
      <c r="A12" s="62">
        <f t="shared" si="3"/>
        <v>0.2</v>
      </c>
      <c r="B12" s="62">
        <f t="shared" si="0"/>
        <v>0.8</v>
      </c>
      <c r="C12" s="63">
        <f t="shared" si="1"/>
        <v>6.4610636064893798E-2</v>
      </c>
      <c r="D12" s="62">
        <f t="shared" si="2"/>
        <v>0.20788816873286584</v>
      </c>
      <c r="E12" s="49"/>
    </row>
    <row r="13" spans="1:5" ht="14.25" customHeight="1" x14ac:dyDescent="0.35">
      <c r="A13" s="62">
        <f t="shared" si="3"/>
        <v>0.25</v>
      </c>
      <c r="B13" s="62">
        <f t="shared" si="0"/>
        <v>0.75</v>
      </c>
      <c r="C13" s="63">
        <f t="shared" si="1"/>
        <v>6.6491683548467587E-2</v>
      </c>
      <c r="D13" s="62">
        <f t="shared" si="2"/>
        <v>0.19726404835172515</v>
      </c>
      <c r="E13" s="49"/>
    </row>
    <row r="14" spans="1:5" ht="14.25" customHeight="1" x14ac:dyDescent="0.35">
      <c r="A14" s="62">
        <f t="shared" si="3"/>
        <v>0.3</v>
      </c>
      <c r="B14" s="62">
        <f t="shared" si="0"/>
        <v>0.7</v>
      </c>
      <c r="C14" s="63">
        <f t="shared" si="1"/>
        <v>6.8372731032041389E-2</v>
      </c>
      <c r="D14" s="62">
        <f t="shared" si="2"/>
        <v>0.18756209739808288</v>
      </c>
      <c r="E14" s="49"/>
    </row>
    <row r="15" spans="1:5" ht="14.25" customHeight="1" x14ac:dyDescent="0.35">
      <c r="A15" s="62">
        <f t="shared" si="3"/>
        <v>0.35</v>
      </c>
      <c r="B15" s="62">
        <f t="shared" si="0"/>
        <v>0.65</v>
      </c>
      <c r="C15" s="63">
        <f t="shared" si="1"/>
        <v>7.0253778515615206E-2</v>
      </c>
      <c r="D15" s="62">
        <f t="shared" si="2"/>
        <v>0.17893238254679628</v>
      </c>
      <c r="E15" s="49"/>
    </row>
    <row r="16" spans="1:5" ht="14.25" customHeight="1" x14ac:dyDescent="0.35">
      <c r="A16" s="62">
        <f t="shared" si="3"/>
        <v>0.39999999999999997</v>
      </c>
      <c r="B16" s="62">
        <f t="shared" si="0"/>
        <v>0.60000000000000009</v>
      </c>
      <c r="C16" s="63">
        <f t="shared" si="1"/>
        <v>7.2134825999188995E-2</v>
      </c>
      <c r="D16" s="62">
        <f t="shared" si="2"/>
        <v>0.1715368071366232</v>
      </c>
      <c r="E16" s="49"/>
    </row>
    <row r="17" spans="1:5" ht="14.25" customHeight="1" x14ac:dyDescent="0.35">
      <c r="A17" s="62">
        <f t="shared" si="3"/>
        <v>0.44999999999999996</v>
      </c>
      <c r="B17" s="62">
        <f t="shared" si="0"/>
        <v>0.55000000000000004</v>
      </c>
      <c r="C17" s="63">
        <f t="shared" si="1"/>
        <v>7.4015873482762798E-2</v>
      </c>
      <c r="D17" s="62">
        <f t="shared" si="2"/>
        <v>0.16554086026304804</v>
      </c>
      <c r="E17" s="49"/>
    </row>
    <row r="18" spans="1:5" ht="14.25" customHeight="1" x14ac:dyDescent="0.35">
      <c r="A18" s="62">
        <f t="shared" si="3"/>
        <v>0.49999999999999994</v>
      </c>
      <c r="B18" s="62">
        <f t="shared" si="0"/>
        <v>0.5</v>
      </c>
      <c r="C18" s="63">
        <f t="shared" si="1"/>
        <v>7.5896920966336601E-2</v>
      </c>
      <c r="D18" s="62">
        <f t="shared" si="2"/>
        <v>0.16110089436710728</v>
      </c>
      <c r="E18" s="49"/>
    </row>
    <row r="19" spans="1:5" ht="14.25" customHeight="1" x14ac:dyDescent="0.35">
      <c r="A19" s="62">
        <f t="shared" si="3"/>
        <v>0.54999999999999993</v>
      </c>
      <c r="B19" s="62">
        <f t="shared" si="0"/>
        <v>0.45000000000000007</v>
      </c>
      <c r="C19" s="63">
        <f t="shared" si="1"/>
        <v>7.777796844991039E-2</v>
      </c>
      <c r="D19" s="62">
        <f t="shared" si="2"/>
        <v>0.15834784952875941</v>
      </c>
      <c r="E19" s="49"/>
    </row>
    <row r="20" spans="1:5" ht="14.25" customHeight="1" x14ac:dyDescent="0.35">
      <c r="A20" s="62">
        <f t="shared" si="3"/>
        <v>0.6</v>
      </c>
      <c r="B20" s="62">
        <f t="shared" si="0"/>
        <v>0.4</v>
      </c>
      <c r="C20" s="63">
        <f t="shared" si="1"/>
        <v>7.9659015933484206E-2</v>
      </c>
      <c r="D20" s="62">
        <f t="shared" si="2"/>
        <v>0.15737028394882033</v>
      </c>
      <c r="E20" s="49"/>
    </row>
    <row r="21" spans="1:5" ht="14.25" customHeight="1" x14ac:dyDescent="0.35">
      <c r="A21" s="62">
        <f t="shared" si="3"/>
        <v>0.65</v>
      </c>
      <c r="B21" s="62">
        <f t="shared" si="0"/>
        <v>0.35</v>
      </c>
      <c r="C21" s="63">
        <f t="shared" si="1"/>
        <v>8.1540063417058009E-2</v>
      </c>
      <c r="D21" s="62">
        <f t="shared" si="2"/>
        <v>0.15820111448763866</v>
      </c>
      <c r="E21" s="49"/>
    </row>
    <row r="22" spans="1:5" ht="14.25" customHeight="1" x14ac:dyDescent="0.35">
      <c r="A22" s="62">
        <f t="shared" si="3"/>
        <v>0.70000000000000007</v>
      </c>
      <c r="B22" s="62">
        <f t="shared" si="0"/>
        <v>0.29999999999999993</v>
      </c>
      <c r="C22" s="63">
        <f t="shared" si="1"/>
        <v>8.3421110900631812E-2</v>
      </c>
      <c r="D22" s="62">
        <f t="shared" si="2"/>
        <v>0.16081231456383707</v>
      </c>
      <c r="E22" s="49"/>
    </row>
    <row r="23" spans="1:5" ht="14.25" customHeight="1" x14ac:dyDescent="0.35">
      <c r="A23" s="62">
        <f t="shared" si="3"/>
        <v>0.75000000000000011</v>
      </c>
      <c r="B23" s="62">
        <f t="shared" si="0"/>
        <v>0.24999999999999989</v>
      </c>
      <c r="C23" s="63">
        <f t="shared" si="1"/>
        <v>8.5302158384205615E-2</v>
      </c>
      <c r="D23" s="62">
        <f t="shared" si="2"/>
        <v>0.1651194414382357</v>
      </c>
      <c r="E23" s="49"/>
    </row>
    <row r="24" spans="1:5" ht="14.25" customHeight="1" x14ac:dyDescent="0.35">
      <c r="A24" s="62">
        <f t="shared" si="3"/>
        <v>0.80000000000000016</v>
      </c>
      <c r="B24" s="62">
        <f t="shared" si="0"/>
        <v>0.19999999999999984</v>
      </c>
      <c r="C24" s="63">
        <f t="shared" si="1"/>
        <v>8.7183205867779404E-2</v>
      </c>
      <c r="D24" s="62">
        <f t="shared" si="2"/>
        <v>0.17099438850915641</v>
      </c>
      <c r="E24" s="49"/>
    </row>
    <row r="25" spans="1:5" ht="14.25" customHeight="1" x14ac:dyDescent="0.35">
      <c r="A25" s="62">
        <f t="shared" si="3"/>
        <v>0.8500000000000002</v>
      </c>
      <c r="B25" s="62">
        <f t="shared" si="0"/>
        <v>0.1499999999999998</v>
      </c>
      <c r="C25" s="63">
        <f t="shared" si="1"/>
        <v>8.9064253351353206E-2</v>
      </c>
      <c r="D25" s="62">
        <f t="shared" si="2"/>
        <v>0.17828222961813839</v>
      </c>
      <c r="E25" s="49"/>
    </row>
    <row r="26" spans="1:5" ht="14.25" customHeight="1" x14ac:dyDescent="0.35">
      <c r="A26" s="62">
        <f t="shared" si="3"/>
        <v>0.90000000000000024</v>
      </c>
      <c r="B26" s="62">
        <f t="shared" si="0"/>
        <v>9.9999999999999756E-2</v>
      </c>
      <c r="C26" s="63">
        <f t="shared" si="1"/>
        <v>9.0945300834927023E-2</v>
      </c>
      <c r="D26" s="62">
        <f t="shared" si="2"/>
        <v>0.18681768500026394</v>
      </c>
      <c r="E26" s="49"/>
    </row>
    <row r="27" spans="1:5" ht="14.25" customHeight="1" x14ac:dyDescent="0.35">
      <c r="A27" s="62">
        <f t="shared" si="3"/>
        <v>0.95000000000000029</v>
      </c>
      <c r="B27" s="62">
        <f t="shared" si="0"/>
        <v>4.9999999999999711E-2</v>
      </c>
      <c r="C27" s="63">
        <f t="shared" si="1"/>
        <v>9.2826348318500826E-2</v>
      </c>
      <c r="D27" s="62">
        <f t="shared" si="2"/>
        <v>0.19643819128507059</v>
      </c>
      <c r="E27" s="49"/>
    </row>
    <row r="28" spans="1:5" ht="14.25" customHeight="1" x14ac:dyDescent="0.35">
      <c r="A28" s="62">
        <f t="shared" si="3"/>
        <v>1.0000000000000002</v>
      </c>
      <c r="B28" s="62">
        <f t="shared" si="0"/>
        <v>0</v>
      </c>
      <c r="C28" s="63">
        <f t="shared" si="1"/>
        <v>9.4707395802074643E-2</v>
      </c>
      <c r="D28" s="62">
        <f t="shared" si="2"/>
        <v>0.20699251217638534</v>
      </c>
      <c r="E28" s="49"/>
    </row>
    <row r="29" spans="1:5" ht="14.25" customHeight="1" x14ac:dyDescent="0.35"/>
    <row r="30" spans="1:5" ht="14.25" customHeight="1" x14ac:dyDescent="0.35"/>
    <row r="31" spans="1:5" ht="14.25" customHeight="1" x14ac:dyDescent="0.35">
      <c r="A31" s="71" t="s">
        <v>121</v>
      </c>
      <c r="B31" s="63">
        <v>0.80741404335258993</v>
      </c>
    </row>
    <row r="32" spans="1:5" ht="14.25" customHeight="1" x14ac:dyDescent="0.35">
      <c r="A32" s="71" t="s">
        <v>122</v>
      </c>
      <c r="B32" s="63">
        <f>1-B31</f>
        <v>0.19258595664741007</v>
      </c>
    </row>
    <row r="33" spans="1:3" ht="14.25" customHeight="1" x14ac:dyDescent="0.35">
      <c r="A33" s="71" t="s">
        <v>123</v>
      </c>
      <c r="B33" s="63">
        <f>(B31*$B$2)+(B32*$C$2)</f>
        <v>8.746212921960933E-2</v>
      </c>
      <c r="C33" s="63"/>
    </row>
    <row r="34" spans="1:3" ht="14.25" customHeight="1" x14ac:dyDescent="0.35">
      <c r="A34" s="71" t="s">
        <v>124</v>
      </c>
      <c r="B34" s="63">
        <f>SQRT((B31^2*$B$3^2)+(B32^2*$C$3^2)+(2*B31*B32*$B$3*$C$3*$B$4))</f>
        <v>0.17198976772574862</v>
      </c>
    </row>
    <row r="35" spans="1:3" ht="14.25" customHeight="1" x14ac:dyDescent="0.35">
      <c r="A35" s="71" t="s">
        <v>125</v>
      </c>
      <c r="B35" s="49">
        <f>(B33-$B$5)/B34</f>
        <v>0.27595902853529913</v>
      </c>
    </row>
    <row r="36" spans="1:3" ht="14.25" customHeight="1" x14ac:dyDescent="0.35"/>
    <row r="37" spans="1:3" ht="14.25" customHeight="1" x14ac:dyDescent="0.35"/>
    <row r="38" spans="1:3" ht="14.25" customHeight="1" x14ac:dyDescent="0.35"/>
    <row r="39" spans="1:3" ht="14.25" customHeight="1" x14ac:dyDescent="0.35"/>
    <row r="40" spans="1:3" ht="14.25" customHeight="1" x14ac:dyDescent="0.35"/>
    <row r="41" spans="1:3" ht="14.25" customHeight="1" x14ac:dyDescent="0.35"/>
    <row r="42" spans="1:3" ht="14.25" customHeight="1" x14ac:dyDescent="0.35"/>
    <row r="43" spans="1:3" ht="14.25" customHeight="1" x14ac:dyDescent="0.35"/>
    <row r="44" spans="1:3" ht="14.25" customHeight="1" x14ac:dyDescent="0.35"/>
    <row r="45" spans="1:3" ht="14.25" customHeight="1" x14ac:dyDescent="0.35"/>
    <row r="46" spans="1:3" ht="14.25" customHeight="1" x14ac:dyDescent="0.35"/>
    <row r="47" spans="1:3" ht="14.25" customHeight="1" x14ac:dyDescent="0.35"/>
    <row r="48" spans="1: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topLeftCell="A24" workbookViewId="0">
      <selection sqref="A1:B1"/>
    </sheetView>
  </sheetViews>
  <sheetFormatPr defaultColWidth="14.453125" defaultRowHeight="15" customHeight="1" x14ac:dyDescent="0.35"/>
  <cols>
    <col min="1" max="26" width="8.7265625" customWidth="1"/>
  </cols>
  <sheetData>
    <row r="1" spans="1:5" ht="14.25" customHeight="1" x14ac:dyDescent="0.35">
      <c r="A1" s="129" t="s">
        <v>11</v>
      </c>
      <c r="B1" s="130"/>
      <c r="D1" s="129" t="s">
        <v>12</v>
      </c>
      <c r="E1" s="130"/>
    </row>
    <row r="2" spans="1:5" ht="14.25" customHeight="1" x14ac:dyDescent="0.35">
      <c r="A2" s="72" t="s">
        <v>126</v>
      </c>
      <c r="B2" s="72" t="s">
        <v>127</v>
      </c>
      <c r="D2" s="72" t="s">
        <v>126</v>
      </c>
      <c r="E2" s="72" t="s">
        <v>127</v>
      </c>
    </row>
    <row r="3" spans="1:5" ht="14.25" customHeight="1" x14ac:dyDescent="0.35">
      <c r="A3" s="63">
        <v>-0.36546128272942024</v>
      </c>
      <c r="B3" s="71">
        <v>0</v>
      </c>
      <c r="D3" s="63">
        <v>-0.39295467501166437</v>
      </c>
      <c r="E3" s="71">
        <v>0</v>
      </c>
    </row>
    <row r="4" spans="1:5" ht="14.25" customHeight="1" x14ac:dyDescent="0.35">
      <c r="A4" s="63">
        <v>-0.34198043463137862</v>
      </c>
      <c r="B4" s="71">
        <v>1</v>
      </c>
      <c r="D4" s="63">
        <v>-0.36925786115307596</v>
      </c>
      <c r="E4" s="71">
        <v>1</v>
      </c>
    </row>
    <row r="5" spans="1:5" ht="14.25" customHeight="1" x14ac:dyDescent="0.35">
      <c r="A5" s="63">
        <v>-0.31849958653333699</v>
      </c>
      <c r="B5" s="71">
        <v>1</v>
      </c>
      <c r="D5" s="63">
        <v>-0.34556104729448756</v>
      </c>
      <c r="E5" s="71">
        <v>0</v>
      </c>
    </row>
    <row r="6" spans="1:5" ht="14.25" customHeight="1" x14ac:dyDescent="0.35">
      <c r="A6" s="63">
        <v>-0.29501873843529536</v>
      </c>
      <c r="B6" s="71">
        <v>0</v>
      </c>
      <c r="D6" s="63">
        <v>-0.32186423343589915</v>
      </c>
      <c r="E6" s="71">
        <v>0</v>
      </c>
    </row>
    <row r="7" spans="1:5" ht="14.25" customHeight="1" x14ac:dyDescent="0.35">
      <c r="A7" s="63">
        <v>-0.27153789033725373</v>
      </c>
      <c r="B7" s="71">
        <v>0</v>
      </c>
      <c r="D7" s="63">
        <v>-0.29816741957731074</v>
      </c>
      <c r="E7" s="71">
        <v>0</v>
      </c>
    </row>
    <row r="8" spans="1:5" ht="14.25" customHeight="1" x14ac:dyDescent="0.35">
      <c r="A8" s="63">
        <v>-0.24805704223921213</v>
      </c>
      <c r="B8" s="71">
        <v>0</v>
      </c>
      <c r="D8" s="63">
        <v>-0.27447060571872234</v>
      </c>
      <c r="E8" s="71">
        <v>1</v>
      </c>
    </row>
    <row r="9" spans="1:5" ht="14.25" customHeight="1" x14ac:dyDescent="0.35">
      <c r="A9" s="63">
        <v>-0.22457619414117053</v>
      </c>
      <c r="B9" s="71">
        <v>0</v>
      </c>
      <c r="D9" s="63">
        <v>-0.25077379186013393</v>
      </c>
      <c r="E9" s="71">
        <v>0</v>
      </c>
    </row>
    <row r="10" spans="1:5" ht="14.25" customHeight="1" x14ac:dyDescent="0.35">
      <c r="A10" s="63">
        <v>-0.20109534604312893</v>
      </c>
      <c r="B10" s="71">
        <v>2</v>
      </c>
      <c r="D10" s="63">
        <v>-0.2270769780015455</v>
      </c>
      <c r="E10" s="71">
        <v>1</v>
      </c>
    </row>
    <row r="11" spans="1:5" ht="14.25" customHeight="1" x14ac:dyDescent="0.35">
      <c r="A11" s="63">
        <v>-0.17761449794508732</v>
      </c>
      <c r="B11" s="71">
        <v>1</v>
      </c>
      <c r="D11" s="63">
        <v>-0.20338016414295707</v>
      </c>
      <c r="E11" s="71">
        <v>1</v>
      </c>
    </row>
    <row r="12" spans="1:5" ht="14.25" customHeight="1" x14ac:dyDescent="0.35">
      <c r="A12" s="63">
        <v>-0.15413364984704572</v>
      </c>
      <c r="B12" s="71">
        <v>3</v>
      </c>
      <c r="D12" s="63">
        <v>-0.17968335028436863</v>
      </c>
      <c r="E12" s="71">
        <v>1</v>
      </c>
    </row>
    <row r="13" spans="1:5" ht="14.25" customHeight="1" x14ac:dyDescent="0.35">
      <c r="A13" s="63">
        <v>-0.13065280174900412</v>
      </c>
      <c r="B13" s="71">
        <v>5</v>
      </c>
      <c r="D13" s="63">
        <v>-0.1559865364257802</v>
      </c>
      <c r="E13" s="71">
        <v>2</v>
      </c>
    </row>
    <row r="14" spans="1:5" ht="14.25" customHeight="1" x14ac:dyDescent="0.35">
      <c r="A14" s="63">
        <v>-0.10717195365096251</v>
      </c>
      <c r="B14" s="71">
        <v>9</v>
      </c>
      <c r="D14" s="63">
        <v>-0.13228972256719176</v>
      </c>
      <c r="E14" s="71">
        <v>3</v>
      </c>
    </row>
    <row r="15" spans="1:5" ht="14.25" customHeight="1" x14ac:dyDescent="0.35">
      <c r="A15" s="63">
        <v>-8.3691105552920891E-2</v>
      </c>
      <c r="B15" s="71">
        <v>14</v>
      </c>
      <c r="D15" s="63">
        <v>-0.10859290870860334</v>
      </c>
      <c r="E15" s="71">
        <v>5</v>
      </c>
    </row>
    <row r="16" spans="1:5" ht="14.25" customHeight="1" x14ac:dyDescent="0.35">
      <c r="A16" s="63">
        <v>-6.0210257454879276E-2</v>
      </c>
      <c r="B16" s="71">
        <v>12</v>
      </c>
      <c r="D16" s="63">
        <v>-8.4896094850014925E-2</v>
      </c>
      <c r="E16" s="71">
        <v>15</v>
      </c>
    </row>
    <row r="17" spans="1:5" ht="14.25" customHeight="1" x14ac:dyDescent="0.35">
      <c r="A17" s="63">
        <v>-3.6729409356837661E-2</v>
      </c>
      <c r="B17" s="71">
        <v>24</v>
      </c>
      <c r="D17" s="63">
        <v>-6.1199280991426505E-2</v>
      </c>
      <c r="E17" s="71">
        <v>17</v>
      </c>
    </row>
    <row r="18" spans="1:5" ht="14.25" customHeight="1" x14ac:dyDescent="0.35">
      <c r="A18" s="63">
        <v>-1.324856125879605E-2</v>
      </c>
      <c r="B18" s="71">
        <v>20</v>
      </c>
      <c r="D18" s="63">
        <v>-3.7502467132838085E-2</v>
      </c>
      <c r="E18" s="71">
        <v>22</v>
      </c>
    </row>
    <row r="19" spans="1:5" ht="14.25" customHeight="1" x14ac:dyDescent="0.35">
      <c r="A19" s="63">
        <v>1.0232286839245562E-2</v>
      </c>
      <c r="B19" s="71">
        <v>32</v>
      </c>
      <c r="D19" s="63">
        <v>-1.3805653274249662E-2</v>
      </c>
      <c r="E19" s="71">
        <v>27</v>
      </c>
    </row>
    <row r="20" spans="1:5" ht="14.25" customHeight="1" x14ac:dyDescent="0.35">
      <c r="A20" s="63">
        <v>3.371313493728717E-2</v>
      </c>
      <c r="B20" s="71">
        <v>27</v>
      </c>
      <c r="D20" s="63">
        <v>9.8911605843387609E-3</v>
      </c>
      <c r="E20" s="71">
        <v>33</v>
      </c>
    </row>
    <row r="21" spans="1:5" ht="14.25" customHeight="1" x14ac:dyDescent="0.35">
      <c r="A21" s="63">
        <v>5.7193983035328785E-2</v>
      </c>
      <c r="B21" s="71">
        <v>30</v>
      </c>
      <c r="D21" s="63">
        <v>3.3587974442927188E-2</v>
      </c>
      <c r="E21" s="71">
        <v>32</v>
      </c>
    </row>
    <row r="22" spans="1:5" ht="14.25" customHeight="1" x14ac:dyDescent="0.35">
      <c r="A22" s="63">
        <v>8.06748311333704E-2</v>
      </c>
      <c r="B22" s="71">
        <v>15</v>
      </c>
      <c r="D22" s="63">
        <v>5.7284788301515607E-2</v>
      </c>
      <c r="E22" s="71">
        <v>27</v>
      </c>
    </row>
    <row r="23" spans="1:5" ht="14.25" customHeight="1" x14ac:dyDescent="0.35">
      <c r="A23" s="63">
        <v>0.10415567923141202</v>
      </c>
      <c r="B23" s="71">
        <v>24</v>
      </c>
      <c r="D23" s="63">
        <v>8.0981602160104027E-2</v>
      </c>
      <c r="E23" s="71">
        <v>28</v>
      </c>
    </row>
    <row r="24" spans="1:5" ht="14.25" customHeight="1" x14ac:dyDescent="0.35">
      <c r="A24" s="63">
        <v>0.12763652732945363</v>
      </c>
      <c r="B24" s="71">
        <v>10</v>
      </c>
      <c r="D24" s="63">
        <v>0.10467841601869245</v>
      </c>
      <c r="E24" s="71">
        <v>15</v>
      </c>
    </row>
    <row r="25" spans="1:5" ht="14.25" customHeight="1" x14ac:dyDescent="0.35">
      <c r="A25" s="63">
        <v>0.15111737542749523</v>
      </c>
      <c r="B25" s="71">
        <v>5</v>
      </c>
      <c r="D25" s="63">
        <v>0.12837522987728087</v>
      </c>
      <c r="E25" s="71">
        <v>4</v>
      </c>
    </row>
    <row r="26" spans="1:5" ht="14.25" customHeight="1" x14ac:dyDescent="0.35">
      <c r="A26" s="63">
        <v>0.17459822352553683</v>
      </c>
      <c r="B26" s="71">
        <v>4</v>
      </c>
      <c r="D26" s="63">
        <v>0.1520720437358693</v>
      </c>
      <c r="E26" s="71">
        <v>3</v>
      </c>
    </row>
    <row r="27" spans="1:5" ht="14.25" customHeight="1" x14ac:dyDescent="0.35">
      <c r="A27" s="63">
        <v>0.19807907162357843</v>
      </c>
      <c r="B27" s="71">
        <v>5</v>
      </c>
      <c r="D27" s="63">
        <v>0.17576885759445773</v>
      </c>
      <c r="E27" s="71">
        <v>5</v>
      </c>
    </row>
    <row r="28" spans="1:5" ht="14.25" customHeight="1" x14ac:dyDescent="0.35">
      <c r="A28" s="63">
        <v>0.22155991972162004</v>
      </c>
      <c r="B28" s="71">
        <v>5</v>
      </c>
      <c r="D28" s="63">
        <v>0.19946567145304617</v>
      </c>
      <c r="E28" s="71">
        <v>3</v>
      </c>
    </row>
    <row r="29" spans="1:5" ht="14.25" customHeight="1" x14ac:dyDescent="0.35">
      <c r="A29" s="63">
        <v>0.24504076781966164</v>
      </c>
      <c r="B29" s="71">
        <v>1</v>
      </c>
      <c r="D29" s="63">
        <v>0.2231624853116346</v>
      </c>
      <c r="E29" s="71">
        <v>1</v>
      </c>
    </row>
    <row r="30" spans="1:5" ht="14.25" customHeight="1" x14ac:dyDescent="0.35">
      <c r="A30" s="63">
        <v>0.26852161591770324</v>
      </c>
      <c r="B30" s="71">
        <v>0</v>
      </c>
      <c r="D30" s="63">
        <v>0.24685929917022303</v>
      </c>
      <c r="E30" s="71">
        <v>2</v>
      </c>
    </row>
    <row r="31" spans="1:5" ht="14.25" customHeight="1" x14ac:dyDescent="0.35">
      <c r="A31" s="63">
        <v>0.29200246401574487</v>
      </c>
      <c r="B31" s="71">
        <v>0</v>
      </c>
      <c r="D31" s="63">
        <v>0.27055611302881144</v>
      </c>
      <c r="E31" s="71">
        <v>0</v>
      </c>
    </row>
    <row r="32" spans="1:5" ht="14.25" customHeight="1" x14ac:dyDescent="0.35">
      <c r="A32" s="63">
        <v>0.3154833121137865</v>
      </c>
      <c r="B32" s="71">
        <v>0</v>
      </c>
      <c r="D32" s="63">
        <v>0.29425292688739985</v>
      </c>
      <c r="E32" s="71">
        <v>0</v>
      </c>
    </row>
    <row r="33" spans="1:5" ht="14.25" customHeight="1" x14ac:dyDescent="0.35">
      <c r="A33" s="63">
        <v>0.33896416021182812</v>
      </c>
      <c r="B33" s="71">
        <v>1</v>
      </c>
      <c r="D33" s="63">
        <v>0.31794974074598825</v>
      </c>
      <c r="E33" s="71">
        <v>2</v>
      </c>
    </row>
    <row r="34" spans="1:5" ht="14.25" customHeight="1" x14ac:dyDescent="0.35">
      <c r="A34" s="73" t="s">
        <v>128</v>
      </c>
      <c r="B34" s="73">
        <v>0</v>
      </c>
      <c r="D34" s="73" t="s">
        <v>128</v>
      </c>
      <c r="E34" s="73">
        <v>0</v>
      </c>
    </row>
    <row r="35" spans="1:5" ht="14.25" customHeight="1" x14ac:dyDescent="0.35"/>
    <row r="36" spans="1:5" ht="14.25" customHeight="1" x14ac:dyDescent="0.35"/>
    <row r="37" spans="1:5" ht="14.25" customHeight="1" x14ac:dyDescent="0.35"/>
    <row r="38" spans="1:5" ht="14.25" customHeight="1" x14ac:dyDescent="0.35"/>
    <row r="39" spans="1:5" ht="14.25" customHeight="1" x14ac:dyDescent="0.35"/>
    <row r="40" spans="1:5" ht="14.25" customHeight="1" x14ac:dyDescent="0.35"/>
    <row r="41" spans="1:5" ht="14.25" customHeight="1" x14ac:dyDescent="0.35"/>
    <row r="42" spans="1:5" ht="14.25" customHeight="1" x14ac:dyDescent="0.35"/>
    <row r="43" spans="1:5" ht="14.25" customHeight="1" x14ac:dyDescent="0.35"/>
    <row r="44" spans="1:5" ht="14.25" customHeight="1" x14ac:dyDescent="0.35"/>
    <row r="45" spans="1:5" ht="14.25" customHeight="1" x14ac:dyDescent="0.35"/>
    <row r="46" spans="1:5" ht="14.25" customHeight="1" x14ac:dyDescent="0.35"/>
    <row r="47" spans="1:5" ht="14.25" customHeight="1" x14ac:dyDescent="0.35"/>
    <row r="48" spans="1:5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1:B1"/>
    <mergeCell ref="D1:E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/>
  </sheetViews>
  <sheetFormatPr defaultColWidth="14.453125" defaultRowHeight="15" customHeight="1" x14ac:dyDescent="0.35"/>
  <cols>
    <col min="1" max="1" width="41.81640625" customWidth="1"/>
    <col min="2" max="2" width="12.453125" customWidth="1"/>
    <col min="3" max="3" width="11.81640625" customWidth="1"/>
    <col min="4" max="26" width="8.7265625" customWidth="1"/>
  </cols>
  <sheetData>
    <row r="1" spans="1:3" ht="14.25" customHeight="1" x14ac:dyDescent="0.35"/>
    <row r="2" spans="1:3" ht="14.25" customHeight="1" x14ac:dyDescent="0.45">
      <c r="A2" s="142" t="s">
        <v>129</v>
      </c>
      <c r="B2" s="143"/>
      <c r="C2" s="144"/>
    </row>
    <row r="3" spans="1:3" ht="14.25" customHeight="1" x14ac:dyDescent="0.35">
      <c r="A3" s="99" t="s">
        <v>130</v>
      </c>
      <c r="C3" s="100"/>
    </row>
    <row r="4" spans="1:3" ht="14.25" customHeight="1" x14ac:dyDescent="0.35">
      <c r="A4" s="99"/>
      <c r="C4" s="100"/>
    </row>
    <row r="5" spans="1:3" ht="14.25" customHeight="1" x14ac:dyDescent="0.35">
      <c r="A5" s="101"/>
      <c r="B5" s="72" t="s">
        <v>131</v>
      </c>
      <c r="C5" s="102" t="s">
        <v>132</v>
      </c>
    </row>
    <row r="6" spans="1:3" ht="14.25" customHeight="1" x14ac:dyDescent="0.35">
      <c r="A6" s="99" t="s">
        <v>28</v>
      </c>
      <c r="B6" s="71">
        <v>1.1133913928622849E-2</v>
      </c>
      <c r="C6" s="100">
        <v>5.6652803418157016E-3</v>
      </c>
    </row>
    <row r="7" spans="1:3" ht="14.25" customHeight="1" x14ac:dyDescent="0.35">
      <c r="A7" s="99" t="s">
        <v>32</v>
      </c>
      <c r="B7" s="71">
        <v>8.6752764883083963E-3</v>
      </c>
      <c r="C7" s="100">
        <v>7.5516792829300643E-3</v>
      </c>
    </row>
    <row r="8" spans="1:3" ht="14.25" customHeight="1" x14ac:dyDescent="0.35">
      <c r="A8" s="99" t="s">
        <v>80</v>
      </c>
      <c r="B8" s="71">
        <v>251</v>
      </c>
      <c r="C8" s="100">
        <v>251</v>
      </c>
    </row>
    <row r="9" spans="1:3" ht="14.25" customHeight="1" x14ac:dyDescent="0.35">
      <c r="A9" s="99" t="s">
        <v>133</v>
      </c>
      <c r="B9" s="71">
        <v>0</v>
      </c>
      <c r="C9" s="100"/>
    </row>
    <row r="10" spans="1:3" ht="14.25" customHeight="1" x14ac:dyDescent="0.35">
      <c r="A10" s="99" t="s">
        <v>82</v>
      </c>
      <c r="B10" s="71">
        <v>498</v>
      </c>
      <c r="C10" s="100"/>
    </row>
    <row r="11" spans="1:3" ht="14.25" customHeight="1" x14ac:dyDescent="0.35">
      <c r="A11" s="99" t="s">
        <v>91</v>
      </c>
      <c r="B11" s="71">
        <v>0.68013818788850666</v>
      </c>
      <c r="C11" s="100"/>
    </row>
    <row r="12" spans="1:3" ht="14.25" customHeight="1" x14ac:dyDescent="0.35">
      <c r="A12" s="99" t="s">
        <v>134</v>
      </c>
      <c r="B12" s="71">
        <v>0.24836650905834667</v>
      </c>
      <c r="C12" s="100"/>
    </row>
    <row r="13" spans="1:3" ht="14.25" customHeight="1" x14ac:dyDescent="0.35">
      <c r="A13" s="99" t="s">
        <v>135</v>
      </c>
      <c r="B13" s="71">
        <v>1.6479191388550134</v>
      </c>
      <c r="C13" s="100"/>
    </row>
    <row r="14" spans="1:3" ht="14.25" customHeight="1" x14ac:dyDescent="0.35">
      <c r="A14" s="99" t="s">
        <v>136</v>
      </c>
      <c r="B14" s="71">
        <v>0.49673301811669335</v>
      </c>
      <c r="C14" s="100"/>
    </row>
    <row r="15" spans="1:3" ht="14.25" customHeight="1" x14ac:dyDescent="0.35">
      <c r="A15" s="103" t="s">
        <v>137</v>
      </c>
      <c r="B15" s="104">
        <v>1.9647389829672903</v>
      </c>
      <c r="C15" s="105"/>
    </row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2:C2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workbookViewId="0">
      <selection activeCell="C3" sqref="C3"/>
    </sheetView>
  </sheetViews>
  <sheetFormatPr defaultColWidth="14.453125" defaultRowHeight="15" customHeight="1" x14ac:dyDescent="0.35"/>
  <cols>
    <col min="1" max="1" width="10.453125" customWidth="1"/>
    <col min="2" max="4" width="12.54296875" customWidth="1"/>
    <col min="5" max="5" width="29.453125" customWidth="1"/>
    <col min="6" max="6" width="12.54296875" customWidth="1"/>
    <col min="7" max="7" width="12.26953125" customWidth="1"/>
    <col min="8" max="26" width="12.54296875" customWidth="1"/>
  </cols>
  <sheetData>
    <row r="1" spans="1:9" ht="14.25" customHeight="1" x14ac:dyDescent="0.35"/>
    <row r="2" spans="1:9" ht="14.25" customHeight="1" x14ac:dyDescent="0.35">
      <c r="A2" s="38" t="s">
        <v>63</v>
      </c>
      <c r="B2" s="106" t="s">
        <v>64</v>
      </c>
      <c r="C2" s="106" t="s">
        <v>65</v>
      </c>
    </row>
    <row r="3" spans="1:9" ht="14.25" customHeight="1" x14ac:dyDescent="0.45">
      <c r="A3" s="107">
        <v>39903</v>
      </c>
      <c r="B3" s="76">
        <v>-5.6530205727809091E-2</v>
      </c>
      <c r="C3" s="76">
        <v>0.20840444187635931</v>
      </c>
      <c r="E3" s="145" t="s">
        <v>138</v>
      </c>
      <c r="F3" s="146"/>
      <c r="G3" s="146"/>
      <c r="H3" s="147"/>
      <c r="I3" s="134"/>
    </row>
    <row r="4" spans="1:9" ht="14.25" customHeight="1" x14ac:dyDescent="0.35">
      <c r="A4" s="107">
        <v>39933</v>
      </c>
      <c r="B4" s="76">
        <v>0.20661156373421008</v>
      </c>
      <c r="C4" s="76">
        <v>-0.15251549817520793</v>
      </c>
      <c r="E4" s="108" t="s">
        <v>130</v>
      </c>
      <c r="F4" s="109"/>
      <c r="G4" s="110"/>
    </row>
    <row r="5" spans="1:9" ht="14.25" customHeight="1" x14ac:dyDescent="0.35">
      <c r="A5" s="107">
        <v>39964</v>
      </c>
      <c r="B5" s="76">
        <v>0.15667807156607094</v>
      </c>
      <c r="C5" s="76">
        <v>0.31785050343120158</v>
      </c>
      <c r="E5" s="99"/>
      <c r="G5" s="100"/>
    </row>
    <row r="6" spans="1:9" ht="14.25" customHeight="1" x14ac:dyDescent="0.35">
      <c r="A6" s="107">
        <v>39994</v>
      </c>
      <c r="B6" s="76">
        <v>9.1783845307957357E-2</v>
      </c>
      <c r="C6" s="76">
        <v>-4.7731949358522541E-2</v>
      </c>
      <c r="E6" s="101"/>
      <c r="F6" s="72" t="s">
        <v>131</v>
      </c>
      <c r="G6" s="102" t="s">
        <v>132</v>
      </c>
    </row>
    <row r="7" spans="1:9" ht="14.25" customHeight="1" x14ac:dyDescent="0.35">
      <c r="A7" s="107">
        <v>40025</v>
      </c>
      <c r="B7" s="76">
        <v>0.10847460213354099</v>
      </c>
      <c r="C7" s="76">
        <v>0.16132782109050825</v>
      </c>
      <c r="E7" s="99" t="s">
        <v>28</v>
      </c>
      <c r="F7" s="71">
        <v>2.0874526139340786E-2</v>
      </c>
      <c r="G7" s="100">
        <v>2.7940077073012738E-3</v>
      </c>
    </row>
    <row r="8" spans="1:9" ht="14.25" customHeight="1" x14ac:dyDescent="0.35">
      <c r="A8" s="107">
        <v>40056</v>
      </c>
      <c r="B8" s="76">
        <v>-0.11192659822687767</v>
      </c>
      <c r="C8" s="76">
        <v>-4.2303830682181465E-2</v>
      </c>
      <c r="E8" s="99" t="s">
        <v>32</v>
      </c>
      <c r="F8" s="71">
        <v>6.4335730850637188E-3</v>
      </c>
      <c r="G8" s="100">
        <v>5.7683507020686586E-3</v>
      </c>
    </row>
    <row r="9" spans="1:9" ht="14.25" customHeight="1" x14ac:dyDescent="0.35">
      <c r="A9" s="107">
        <v>40086</v>
      </c>
      <c r="B9" s="76">
        <v>3.7878734140567527E-2</v>
      </c>
      <c r="C9" s="76">
        <v>-6.5661862193852172E-2</v>
      </c>
      <c r="E9" s="99" t="s">
        <v>80</v>
      </c>
      <c r="F9" s="71">
        <v>132</v>
      </c>
      <c r="G9" s="100">
        <v>132</v>
      </c>
    </row>
    <row r="10" spans="1:9" ht="14.25" customHeight="1" x14ac:dyDescent="0.35">
      <c r="A10" s="107">
        <v>40117</v>
      </c>
      <c r="B10" s="76">
        <v>-6.8347694348324661E-2</v>
      </c>
      <c r="C10" s="76">
        <v>-8.8643973533885201E-2</v>
      </c>
      <c r="E10" s="99" t="s">
        <v>133</v>
      </c>
      <c r="F10" s="71">
        <v>0</v>
      </c>
      <c r="G10" s="100"/>
    </row>
    <row r="11" spans="1:9" ht="14.25" customHeight="1" x14ac:dyDescent="0.35">
      <c r="A11" s="107">
        <v>40147</v>
      </c>
      <c r="B11" s="76">
        <v>4.059826897243024E-2</v>
      </c>
      <c r="C11" s="76">
        <v>8.4822993973032501E-2</v>
      </c>
      <c r="E11" s="99" t="s">
        <v>82</v>
      </c>
      <c r="F11" s="71">
        <v>261</v>
      </c>
      <c r="G11" s="100"/>
    </row>
    <row r="12" spans="1:9" ht="14.25" customHeight="1" x14ac:dyDescent="0.35">
      <c r="A12" s="107">
        <v>40178</v>
      </c>
      <c r="B12" s="76">
        <v>0.15879539377252594</v>
      </c>
      <c r="C12" s="76">
        <v>3.1179325647817446E-2</v>
      </c>
      <c r="E12" s="99" t="s">
        <v>91</v>
      </c>
      <c r="F12" s="71">
        <v>1.8805448286011446</v>
      </c>
      <c r="G12" s="100"/>
    </row>
    <row r="13" spans="1:9" ht="14.25" customHeight="1" x14ac:dyDescent="0.35">
      <c r="A13" s="107">
        <v>40209</v>
      </c>
      <c r="B13" s="76">
        <v>-7.5014792372768646E-2</v>
      </c>
      <c r="C13" s="76">
        <v>-7.8959748879018243E-2</v>
      </c>
      <c r="E13" s="99" t="s">
        <v>134</v>
      </c>
      <c r="F13" s="71">
        <v>3.057366260530946E-2</v>
      </c>
      <c r="G13" s="100"/>
    </row>
    <row r="14" spans="1:9" ht="14.25" customHeight="1" x14ac:dyDescent="0.35">
      <c r="A14" s="107">
        <v>40237</v>
      </c>
      <c r="B14" s="76">
        <v>4.7254136547162817E-2</v>
      </c>
      <c r="C14" s="76">
        <v>1.3607743231881075E-2</v>
      </c>
      <c r="E14" s="99" t="s">
        <v>135</v>
      </c>
      <c r="F14" s="71">
        <v>1.6507127265414501</v>
      </c>
      <c r="G14" s="100"/>
    </row>
    <row r="15" spans="1:9" ht="14.25" customHeight="1" x14ac:dyDescent="0.35">
      <c r="A15" s="107">
        <v>40268</v>
      </c>
      <c r="B15" s="76">
        <v>6.0975611174411526E-2</v>
      </c>
      <c r="C15" s="76">
        <v>3.4233947143877286E-2</v>
      </c>
      <c r="E15" s="99" t="s">
        <v>136</v>
      </c>
      <c r="F15" s="71">
        <v>6.1147325210618921E-2</v>
      </c>
      <c r="G15" s="100"/>
    </row>
    <row r="16" spans="1:9" ht="14.25" customHeight="1" x14ac:dyDescent="0.35">
      <c r="A16" s="107">
        <v>40298</v>
      </c>
      <c r="B16" s="76">
        <v>8.0460517279536958E-3</v>
      </c>
      <c r="C16" s="76">
        <v>-0.14084050226743294</v>
      </c>
      <c r="E16" s="103" t="s">
        <v>137</v>
      </c>
      <c r="F16" s="104">
        <v>1.9690947240422181</v>
      </c>
      <c r="G16" s="105"/>
    </row>
    <row r="17" spans="1:3" ht="14.25" customHeight="1" x14ac:dyDescent="0.35">
      <c r="A17" s="107">
        <v>40329</v>
      </c>
      <c r="B17" s="76">
        <v>-4.8460680564574754E-2</v>
      </c>
      <c r="C17" s="76">
        <v>-7.9131300869383581E-2</v>
      </c>
    </row>
    <row r="18" spans="1:3" ht="14.25" customHeight="1" x14ac:dyDescent="0.35">
      <c r="A18" s="107">
        <v>40359</v>
      </c>
      <c r="B18" s="76">
        <v>1.1383979666224064E-2</v>
      </c>
      <c r="C18" s="76">
        <v>8.8187104179180409E-3</v>
      </c>
    </row>
    <row r="19" spans="1:3" ht="14.25" customHeight="1" x14ac:dyDescent="0.35">
      <c r="A19" s="107">
        <v>40390</v>
      </c>
      <c r="B19" s="76">
        <v>7.7606720285614328E-2</v>
      </c>
      <c r="C19" s="76">
        <v>9.3515534054144922E-3</v>
      </c>
    </row>
    <row r="20" spans="1:3" ht="14.25" customHeight="1" x14ac:dyDescent="0.35">
      <c r="A20" s="107">
        <v>40421</v>
      </c>
      <c r="B20" s="76">
        <v>-0.11874655217122643</v>
      </c>
      <c r="C20" s="76">
        <v>6.7472273336688149E-2</v>
      </c>
    </row>
    <row r="21" spans="1:3" ht="14.25" customHeight="1" x14ac:dyDescent="0.35">
      <c r="A21" s="107">
        <v>40451</v>
      </c>
      <c r="B21" s="76">
        <v>4.3044204438731581E-2</v>
      </c>
      <c r="C21" s="76">
        <v>0.11622641221532293</v>
      </c>
    </row>
    <row r="22" spans="1:3" ht="14.25" customHeight="1" x14ac:dyDescent="0.35">
      <c r="A22" s="107">
        <v>40482</v>
      </c>
      <c r="B22" s="76">
        <v>0.1226077289830878</v>
      </c>
      <c r="C22" s="76">
        <v>1.5382012335348527E-2</v>
      </c>
    </row>
    <row r="23" spans="1:3" ht="14.25" customHeight="1" x14ac:dyDescent="0.35">
      <c r="A23" s="107">
        <v>40512</v>
      </c>
      <c r="B23" s="76">
        <v>2.2376135644697426E-2</v>
      </c>
      <c r="C23" s="76">
        <v>1.2485433724159334E-2</v>
      </c>
    </row>
    <row r="24" spans="1:3" ht="14.25" customHeight="1" x14ac:dyDescent="0.35">
      <c r="A24" s="107">
        <v>40543</v>
      </c>
      <c r="B24" s="76">
        <v>3.2829554102851821E-2</v>
      </c>
      <c r="C24" s="76">
        <v>7.7277161654477178E-2</v>
      </c>
    </row>
    <row r="25" spans="1:3" ht="14.25" customHeight="1" x14ac:dyDescent="0.35">
      <c r="A25" s="107">
        <v>40574</v>
      </c>
      <c r="B25" s="76">
        <v>-4.1372336400103626E-2</v>
      </c>
      <c r="C25" s="76">
        <v>3.8919462490962564E-2</v>
      </c>
    </row>
    <row r="26" spans="1:3" ht="14.25" customHeight="1" x14ac:dyDescent="0.35">
      <c r="A26" s="107">
        <v>40602</v>
      </c>
      <c r="B26" s="76">
        <v>4.0526339882298368E-2</v>
      </c>
      <c r="C26" s="76">
        <v>6.0232091854010239E-2</v>
      </c>
    </row>
    <row r="27" spans="1:3" ht="14.25" customHeight="1" x14ac:dyDescent="0.35">
      <c r="A27" s="107">
        <v>40633</v>
      </c>
      <c r="B27" s="76">
        <v>0.12999492338478857</v>
      </c>
      <c r="C27" s="76">
        <v>2.2170384670763266E-3</v>
      </c>
    </row>
    <row r="28" spans="1:3" ht="14.25" customHeight="1" x14ac:dyDescent="0.35">
      <c r="A28" s="107">
        <v>40663</v>
      </c>
      <c r="B28" s="76">
        <v>8.9973151976411092E-2</v>
      </c>
      <c r="C28" s="76">
        <v>4.2997380500774396E-2</v>
      </c>
    </row>
    <row r="29" spans="1:3" ht="14.25" customHeight="1" x14ac:dyDescent="0.35">
      <c r="A29" s="107">
        <v>40694</v>
      </c>
      <c r="B29" s="76">
        <v>5.7084162951644757E-2</v>
      </c>
      <c r="C29" s="76">
        <v>-1.312308405521323E-2</v>
      </c>
    </row>
    <row r="30" spans="1:3" ht="14.25" customHeight="1" x14ac:dyDescent="0.35">
      <c r="A30" s="107">
        <v>40724</v>
      </c>
      <c r="B30" s="76">
        <v>-3.923854847951902E-2</v>
      </c>
      <c r="C30" s="76">
        <v>-7.3875086977150728E-2</v>
      </c>
    </row>
    <row r="31" spans="1:3" ht="14.25" customHeight="1" x14ac:dyDescent="0.35">
      <c r="A31" s="107">
        <v>40755</v>
      </c>
      <c r="B31" s="76">
        <v>-2.6283850811244291E-2</v>
      </c>
      <c r="C31" s="76">
        <v>-2.0304480905710687E-3</v>
      </c>
    </row>
    <row r="32" spans="1:3" ht="14.25" customHeight="1" x14ac:dyDescent="0.35">
      <c r="A32" s="107">
        <v>40786</v>
      </c>
      <c r="B32" s="76">
        <v>-0.17524914147528825</v>
      </c>
      <c r="C32" s="76">
        <v>-5.9584342676801016E-2</v>
      </c>
    </row>
    <row r="33" spans="1:3" ht="14.25" customHeight="1" x14ac:dyDescent="0.35">
      <c r="A33" s="107">
        <v>40816</v>
      </c>
      <c r="B33" s="76">
        <v>-6.7472311752570957E-2</v>
      </c>
      <c r="C33" s="76">
        <v>-9.9211841442999105E-2</v>
      </c>
    </row>
    <row r="34" spans="1:3" ht="14.25" customHeight="1" x14ac:dyDescent="0.35">
      <c r="A34" s="107">
        <v>40847</v>
      </c>
      <c r="B34" s="76">
        <v>5.399567901094704E-2</v>
      </c>
      <c r="C34" s="76">
        <v>5.9701483746405826E-2</v>
      </c>
    </row>
    <row r="35" spans="1:3" ht="14.25" customHeight="1" x14ac:dyDescent="0.35">
      <c r="A35" s="107">
        <v>40877</v>
      </c>
      <c r="B35" s="76">
        <v>7.6844065067949163E-3</v>
      </c>
      <c r="C35" s="76">
        <v>1.1818027146292209E-2</v>
      </c>
    </row>
    <row r="36" spans="1:3" ht="14.25" customHeight="1" x14ac:dyDescent="0.35">
      <c r="A36" s="107">
        <v>40908</v>
      </c>
      <c r="B36" s="76">
        <v>5.0840004285945817E-4</v>
      </c>
      <c r="C36" s="76">
        <v>-8.4799987792968712E-2</v>
      </c>
    </row>
    <row r="37" spans="1:3" ht="14.25" customHeight="1" x14ac:dyDescent="0.35">
      <c r="A37" s="107">
        <v>40939</v>
      </c>
      <c r="B37" s="76">
        <v>3.6585330395809468E-2</v>
      </c>
      <c r="C37" s="76">
        <v>1.2237708722124818E-3</v>
      </c>
    </row>
    <row r="38" spans="1:3" ht="14.25" customHeight="1" x14ac:dyDescent="0.35">
      <c r="A38" s="107">
        <v>40968</v>
      </c>
      <c r="B38" s="76">
        <v>-6.8137226256897998E-2</v>
      </c>
      <c r="C38" s="76">
        <v>0.17548453215872373</v>
      </c>
    </row>
    <row r="39" spans="1:3" ht="14.25" customHeight="1" x14ac:dyDescent="0.35">
      <c r="A39" s="107">
        <v>40999</v>
      </c>
      <c r="B39" s="76">
        <v>0.21251967172734432</v>
      </c>
      <c r="C39" s="76">
        <v>1.6636998687748594E-2</v>
      </c>
    </row>
    <row r="40" spans="1:3" ht="14.25" customHeight="1" x14ac:dyDescent="0.35">
      <c r="A40" s="107">
        <v>41029</v>
      </c>
      <c r="B40" s="76">
        <v>5.7700649359138989E-2</v>
      </c>
      <c r="C40" s="76">
        <v>-5.7568706909083112E-2</v>
      </c>
    </row>
    <row r="41" spans="1:3" ht="14.25" customHeight="1" x14ac:dyDescent="0.35">
      <c r="A41" s="107">
        <v>41060</v>
      </c>
      <c r="B41" s="76">
        <v>-3.2813751624237719E-3</v>
      </c>
      <c r="C41" s="76">
        <v>-7.7519379844961267E-2</v>
      </c>
    </row>
    <row r="42" spans="1:3" ht="14.25" customHeight="1" x14ac:dyDescent="0.35">
      <c r="A42" s="107">
        <v>41090</v>
      </c>
      <c r="B42" s="76">
        <v>4.6502103028539965E-2</v>
      </c>
      <c r="C42" s="76">
        <v>5.4453809722130986E-2</v>
      </c>
    </row>
    <row r="43" spans="1:3" ht="14.25" customHeight="1" x14ac:dyDescent="0.35">
      <c r="A43" s="107">
        <v>41121</v>
      </c>
      <c r="B43" s="76">
        <v>9.437662927173518E-3</v>
      </c>
      <c r="C43" s="76">
        <v>4.8294467381876816E-2</v>
      </c>
    </row>
    <row r="44" spans="1:3" ht="14.25" customHeight="1" x14ac:dyDescent="0.35">
      <c r="A44" s="107">
        <v>41152</v>
      </c>
      <c r="B44" s="76">
        <v>1.1686764167078811E-2</v>
      </c>
      <c r="C44" s="76">
        <v>-3.2233468532660847E-2</v>
      </c>
    </row>
    <row r="45" spans="1:3" ht="14.25" customHeight="1" x14ac:dyDescent="0.35">
      <c r="A45" s="107">
        <v>41182</v>
      </c>
      <c r="B45" s="76">
        <v>6.3919903400170508E-2</v>
      </c>
      <c r="C45" s="76">
        <v>5.3417147594199577E-2</v>
      </c>
    </row>
    <row r="46" spans="1:3" ht="14.25" customHeight="1" x14ac:dyDescent="0.35">
      <c r="A46" s="107">
        <v>41213</v>
      </c>
      <c r="B46" s="76">
        <v>-3.3659009268002804E-2</v>
      </c>
      <c r="C46" s="76">
        <v>5.9358621124398603E-2</v>
      </c>
    </row>
    <row r="47" spans="1:3" ht="14.25" customHeight="1" x14ac:dyDescent="0.35">
      <c r="A47" s="107">
        <v>41243</v>
      </c>
      <c r="B47" s="76">
        <v>7.4900935743782426E-4</v>
      </c>
      <c r="C47" s="76">
        <v>2.9987398555796352E-2</v>
      </c>
    </row>
    <row r="48" spans="1:3" ht="14.25" customHeight="1" x14ac:dyDescent="0.35">
      <c r="A48" s="107">
        <v>41274</v>
      </c>
      <c r="B48" s="76">
        <v>3.0688683504681791E-2</v>
      </c>
      <c r="C48" s="76">
        <v>-6.4242919242299967E-3</v>
      </c>
    </row>
    <row r="49" spans="1:3" ht="14.25" customHeight="1" x14ac:dyDescent="0.35">
      <c r="A49" s="107">
        <v>41305</v>
      </c>
      <c r="B49" s="76">
        <v>-0.10675382847935955</v>
      </c>
      <c r="C49" s="76">
        <v>9.588665547674835E-2</v>
      </c>
    </row>
    <row r="50" spans="1:3" ht="14.25" customHeight="1" x14ac:dyDescent="0.35">
      <c r="A50" s="107">
        <v>41333</v>
      </c>
      <c r="B50" s="76">
        <v>8.130267257528967E-4</v>
      </c>
      <c r="C50" s="76">
        <v>-6.9671137291168583E-2</v>
      </c>
    </row>
    <row r="51" spans="1:3" ht="14.25" customHeight="1" x14ac:dyDescent="0.35">
      <c r="A51" s="107">
        <v>41364</v>
      </c>
      <c r="B51" s="76">
        <v>9.0576745175519946E-2</v>
      </c>
      <c r="C51" s="76">
        <v>-3.7781510861000234E-3</v>
      </c>
    </row>
    <row r="52" spans="1:3" ht="14.25" customHeight="1" x14ac:dyDescent="0.35">
      <c r="A52" s="107">
        <v>41394</v>
      </c>
      <c r="B52" s="76">
        <v>-0.11135939399023964</v>
      </c>
      <c r="C52" s="76">
        <v>-2.1942336535343498E-2</v>
      </c>
    </row>
    <row r="53" spans="1:3" ht="14.25" customHeight="1" x14ac:dyDescent="0.35">
      <c r="A53" s="107">
        <v>41425</v>
      </c>
      <c r="B53" s="76">
        <v>0.17770325493112793</v>
      </c>
      <c r="C53" s="76">
        <v>-3.6144587223970626E-2</v>
      </c>
    </row>
    <row r="54" spans="1:3" ht="14.25" customHeight="1" x14ac:dyDescent="0.35">
      <c r="A54" s="107">
        <v>41455</v>
      </c>
      <c r="B54" s="76">
        <v>-1.6370141835465368E-2</v>
      </c>
      <c r="C54" s="76">
        <v>1.681031888787099E-2</v>
      </c>
    </row>
    <row r="55" spans="1:3" ht="14.25" customHeight="1" x14ac:dyDescent="0.35">
      <c r="A55" s="107">
        <v>41486</v>
      </c>
      <c r="B55" s="76">
        <v>3.5455914299042268E-2</v>
      </c>
      <c r="C55" s="76">
        <v>7.4042754581329362E-2</v>
      </c>
    </row>
    <row r="56" spans="1:3" ht="14.25" customHeight="1" x14ac:dyDescent="0.35">
      <c r="A56" s="107">
        <v>41517</v>
      </c>
      <c r="B56" s="76">
        <v>-3.8085259281113393E-2</v>
      </c>
      <c r="C56" s="76">
        <v>-3.025961721739745E-3</v>
      </c>
    </row>
    <row r="57" spans="1:3" ht="14.25" customHeight="1" x14ac:dyDescent="0.35">
      <c r="A57" s="107">
        <v>41547</v>
      </c>
      <c r="B57" s="76">
        <v>0.12895020517680567</v>
      </c>
      <c r="C57" s="76">
        <v>1.7155566759921026E-3</v>
      </c>
    </row>
    <row r="58" spans="1:3" ht="14.25" customHeight="1" x14ac:dyDescent="0.35">
      <c r="A58" s="107">
        <v>41578</v>
      </c>
      <c r="B58" s="76">
        <v>2.702703200289247E-2</v>
      </c>
      <c r="C58" s="76">
        <v>8.1939050075600539E-2</v>
      </c>
    </row>
    <row r="59" spans="1:3" ht="14.25" customHeight="1" x14ac:dyDescent="0.35">
      <c r="A59" s="107">
        <v>41608</v>
      </c>
      <c r="B59" s="76">
        <v>5.7644055164203012E-2</v>
      </c>
      <c r="C59" s="76">
        <v>-2.4473329770533847E-2</v>
      </c>
    </row>
    <row r="60" spans="1:3" ht="14.25" customHeight="1" x14ac:dyDescent="0.35">
      <c r="A60" s="107">
        <v>41639</v>
      </c>
      <c r="B60" s="76">
        <v>4.4431281829870661E-2</v>
      </c>
      <c r="C60" s="76">
        <v>2.4837715870577926E-2</v>
      </c>
    </row>
    <row r="61" spans="1:3" ht="14.25" customHeight="1" x14ac:dyDescent="0.35">
      <c r="A61" s="107">
        <v>41670</v>
      </c>
      <c r="B61" s="76">
        <v>-0.10635275868295346</v>
      </c>
      <c r="C61" s="76">
        <v>-7.7335262780652725E-2</v>
      </c>
    </row>
    <row r="62" spans="1:3" ht="14.25" customHeight="1" x14ac:dyDescent="0.35">
      <c r="A62" s="107">
        <v>41698</v>
      </c>
      <c r="B62" s="76">
        <v>5.2999049957582312E-2</v>
      </c>
      <c r="C62" s="76">
        <v>5.0818352238138687E-2</v>
      </c>
    </row>
    <row r="63" spans="1:3" ht="14.25" customHeight="1" x14ac:dyDescent="0.35">
      <c r="A63" s="107">
        <v>41729</v>
      </c>
      <c r="B63" s="76">
        <v>4.1892687669192297E-2</v>
      </c>
      <c r="C63" s="76">
        <v>-1.2561044260070986E-3</v>
      </c>
    </row>
    <row r="64" spans="1:3" ht="14.25" customHeight="1" x14ac:dyDescent="0.35">
      <c r="A64" s="107">
        <v>41759</v>
      </c>
      <c r="B64" s="76">
        <v>-0.10760773347393005</v>
      </c>
      <c r="C64" s="76">
        <v>1.7607770832224201E-3</v>
      </c>
    </row>
    <row r="65" spans="1:3" ht="14.25" customHeight="1" x14ac:dyDescent="0.35">
      <c r="A65" s="107">
        <v>41790</v>
      </c>
      <c r="B65" s="76">
        <v>8.687190809361911E-2</v>
      </c>
      <c r="C65" s="76">
        <v>-2.4356590134853029E-2</v>
      </c>
    </row>
    <row r="66" spans="1:3" ht="14.25" customHeight="1" x14ac:dyDescent="0.35">
      <c r="A66" s="107">
        <v>41820</v>
      </c>
      <c r="B66" s="76">
        <v>1.9683861361176502E-2</v>
      </c>
      <c r="C66" s="76">
        <v>-2.663749477816979E-2</v>
      </c>
    </row>
    <row r="67" spans="1:3" ht="14.25" customHeight="1" x14ac:dyDescent="0.35">
      <c r="A67" s="107">
        <v>41851</v>
      </c>
      <c r="B67" s="76">
        <v>2.1936239547377667E-2</v>
      </c>
      <c r="C67" s="76">
        <v>4.2305618377359799E-2</v>
      </c>
    </row>
    <row r="68" spans="1:3" ht="14.25" customHeight="1" x14ac:dyDescent="0.35">
      <c r="A68" s="107">
        <v>41882</v>
      </c>
      <c r="B68" s="76">
        <v>2.1751636121974949E-2</v>
      </c>
      <c r="C68" s="76">
        <v>7.3693625797341511E-2</v>
      </c>
    </row>
    <row r="69" spans="1:3" ht="14.25" customHeight="1" x14ac:dyDescent="0.35">
      <c r="A69" s="107">
        <v>41912</v>
      </c>
      <c r="B69" s="76">
        <v>-8.6835116713170901E-3</v>
      </c>
      <c r="C69" s="76">
        <v>-4.9615848951510833E-3</v>
      </c>
    </row>
    <row r="70" spans="1:3" ht="14.25" customHeight="1" x14ac:dyDescent="0.35">
      <c r="A70" s="107">
        <v>41943</v>
      </c>
      <c r="B70" s="76">
        <v>0.2192710446471573</v>
      </c>
      <c r="C70" s="76">
        <v>5.2475341241708051E-2</v>
      </c>
    </row>
    <row r="71" spans="1:3" ht="14.25" customHeight="1" x14ac:dyDescent="0.35">
      <c r="A71" s="107">
        <v>41973</v>
      </c>
      <c r="B71" s="76">
        <v>-9.9188932622105264E-2</v>
      </c>
      <c r="C71" s="76">
        <v>2.3914214108260667E-2</v>
      </c>
    </row>
    <row r="72" spans="1:3" ht="14.25" customHeight="1" x14ac:dyDescent="0.35">
      <c r="A72" s="107">
        <v>42004</v>
      </c>
      <c r="B72" s="76">
        <v>7.9495761191112013E-2</v>
      </c>
      <c r="C72" s="76">
        <v>1.5424371953378646E-3</v>
      </c>
    </row>
    <row r="73" spans="1:3" ht="14.25" customHeight="1" x14ac:dyDescent="0.35">
      <c r="A73" s="107">
        <v>42035</v>
      </c>
      <c r="B73" s="76">
        <v>-7.554809909703708E-2</v>
      </c>
      <c r="C73" s="76">
        <v>-1.5179901300429455E-2</v>
      </c>
    </row>
    <row r="74" spans="1:3" ht="14.25" customHeight="1" x14ac:dyDescent="0.35">
      <c r="A74" s="107">
        <v>42063</v>
      </c>
      <c r="B74" s="76">
        <v>9.2807383066599858E-2</v>
      </c>
      <c r="C74" s="76">
        <v>-8.6563164365776046E-2</v>
      </c>
    </row>
    <row r="75" spans="1:3" ht="14.25" customHeight="1" x14ac:dyDescent="0.35">
      <c r="A75" s="107">
        <v>42094</v>
      </c>
      <c r="B75" s="76">
        <v>0.12054731502542593</v>
      </c>
      <c r="C75" s="76">
        <v>7.0922210774295724E-3</v>
      </c>
    </row>
    <row r="76" spans="1:3" ht="14.25" customHeight="1" x14ac:dyDescent="0.35">
      <c r="A76" s="107">
        <v>42124</v>
      </c>
      <c r="B76" s="76">
        <v>-7.1578979492187278E-3</v>
      </c>
      <c r="C76" s="76">
        <v>4.868870940399761E-2</v>
      </c>
    </row>
    <row r="77" spans="1:3" ht="14.25" customHeight="1" x14ac:dyDescent="0.35">
      <c r="A77" s="107">
        <v>42155</v>
      </c>
      <c r="B77" s="76">
        <v>5.7251924759868622E-2</v>
      </c>
      <c r="C77" s="76">
        <v>7.166834103471964E-2</v>
      </c>
    </row>
    <row r="78" spans="1:3" ht="14.25" customHeight="1" x14ac:dyDescent="0.35">
      <c r="A78" s="107">
        <v>42185</v>
      </c>
      <c r="B78" s="76">
        <v>9.8275123369419681E-2</v>
      </c>
      <c r="C78" s="76">
        <v>-5.142604399727535E-2</v>
      </c>
    </row>
    <row r="79" spans="1:3" ht="14.25" customHeight="1" x14ac:dyDescent="0.35">
      <c r="A79" s="107">
        <v>42216</v>
      </c>
      <c r="B79" s="76">
        <v>-3.4696818287419662E-2</v>
      </c>
      <c r="C79" s="76">
        <v>-9.0546746028587477E-2</v>
      </c>
    </row>
    <row r="80" spans="1:3" ht="14.25" customHeight="1" x14ac:dyDescent="0.35">
      <c r="A80" s="107">
        <v>42247</v>
      </c>
      <c r="B80" s="76">
        <v>-0.13072265924376336</v>
      </c>
      <c r="C80" s="76">
        <v>-9.2673784186448116E-2</v>
      </c>
    </row>
    <row r="81" spans="1:3" ht="14.25" customHeight="1" x14ac:dyDescent="0.35">
      <c r="A81" s="107">
        <v>42277</v>
      </c>
      <c r="B81" s="76">
        <v>-2.3068582278369609E-2</v>
      </c>
      <c r="C81" s="76">
        <v>1.1732313862247157E-2</v>
      </c>
    </row>
    <row r="82" spans="1:3" ht="14.25" customHeight="1" x14ac:dyDescent="0.35">
      <c r="A82" s="107">
        <v>42308</v>
      </c>
      <c r="B82" s="76">
        <v>9.2893785705957965E-2</v>
      </c>
      <c r="C82" s="76">
        <v>-4.638525963567508E-3</v>
      </c>
    </row>
    <row r="83" spans="1:3" ht="14.25" customHeight="1" x14ac:dyDescent="0.35">
      <c r="A83" s="107">
        <v>42338</v>
      </c>
      <c r="B83" s="76">
        <v>7.7048484987502608E-2</v>
      </c>
      <c r="C83" s="76">
        <v>-8.7033971406292099E-2</v>
      </c>
    </row>
    <row r="84" spans="1:3" ht="14.25" customHeight="1" x14ac:dyDescent="0.35">
      <c r="A84" s="107">
        <v>42369</v>
      </c>
      <c r="B84" s="76">
        <v>1.5897050532971191E-2</v>
      </c>
      <c r="C84" s="76">
        <v>2.5071282895106073E-2</v>
      </c>
    </row>
    <row r="85" spans="1:3" ht="14.25" customHeight="1" x14ac:dyDescent="0.35">
      <c r="A85" s="107">
        <v>42400</v>
      </c>
      <c r="B85" s="76">
        <v>-4.7131124532667434E-2</v>
      </c>
      <c r="C85" s="76">
        <v>-9.1827776359960867E-2</v>
      </c>
    </row>
    <row r="86" spans="1:3" ht="14.25" customHeight="1" x14ac:dyDescent="0.35">
      <c r="A86" s="107">
        <v>42429</v>
      </c>
      <c r="B86" s="76">
        <v>-8.9932137917376753E-3</v>
      </c>
      <c r="C86" s="76">
        <v>-0.19819379831465567</v>
      </c>
    </row>
    <row r="87" spans="1:3" ht="14.25" customHeight="1" x14ac:dyDescent="0.35">
      <c r="A87" s="107">
        <v>42460</v>
      </c>
      <c r="B87" s="76">
        <v>-1.8938629127656315E-2</v>
      </c>
      <c r="C87" s="76">
        <v>0.13978271877733284</v>
      </c>
    </row>
    <row r="88" spans="1:3" ht="14.25" customHeight="1" x14ac:dyDescent="0.35">
      <c r="A88" s="107">
        <v>42490</v>
      </c>
      <c r="B88" s="76">
        <v>2.6141377299797597E-3</v>
      </c>
      <c r="C88" s="76">
        <v>0.10287633702888455</v>
      </c>
    </row>
    <row r="89" spans="1:3" ht="14.25" customHeight="1" x14ac:dyDescent="0.35">
      <c r="A89" s="107">
        <v>42521</v>
      </c>
      <c r="B89" s="76">
        <v>0.15864419876821856</v>
      </c>
      <c r="C89" s="76">
        <v>7.3119995117187475E-2</v>
      </c>
    </row>
    <row r="90" spans="1:3" ht="14.25" customHeight="1" x14ac:dyDescent="0.35">
      <c r="A90" s="107">
        <v>42551</v>
      </c>
      <c r="B90" s="76">
        <v>4.2236430801015912E-2</v>
      </c>
      <c r="C90" s="76">
        <v>-0.1180855554641741</v>
      </c>
    </row>
    <row r="91" spans="1:3" ht="14.25" customHeight="1" x14ac:dyDescent="0.35">
      <c r="A91" s="107">
        <v>42582</v>
      </c>
      <c r="B91" s="76">
        <v>-9.7990393881278726E-3</v>
      </c>
      <c r="C91" s="76">
        <v>0.1131021917063646</v>
      </c>
    </row>
    <row r="92" spans="1:3" ht="14.25" customHeight="1" x14ac:dyDescent="0.35">
      <c r="A92" s="107">
        <v>42613</v>
      </c>
      <c r="B92" s="76">
        <v>5.753103600512488E-2</v>
      </c>
      <c r="C92" s="76">
        <v>-2.9465293437376028E-2</v>
      </c>
    </row>
    <row r="93" spans="1:3" ht="14.25" customHeight="1" x14ac:dyDescent="0.35">
      <c r="A93" s="107">
        <v>42643</v>
      </c>
      <c r="B93" s="76">
        <v>-5.5511257471255737E-3</v>
      </c>
      <c r="C93" s="76">
        <v>-7.3082971394785923E-2</v>
      </c>
    </row>
    <row r="94" spans="1:3" ht="14.25" customHeight="1" x14ac:dyDescent="0.35">
      <c r="A94" s="107">
        <v>42674</v>
      </c>
      <c r="B94" s="76">
        <v>-9.250397394713894E-2</v>
      </c>
      <c r="C94" s="76">
        <v>4.6935654242483693E-2</v>
      </c>
    </row>
    <row r="95" spans="1:3" ht="14.25" customHeight="1" x14ac:dyDescent="0.35">
      <c r="A95" s="107">
        <v>42704</v>
      </c>
      <c r="B95" s="76">
        <v>0.12478028618139692</v>
      </c>
      <c r="C95" s="76">
        <v>0.10111273387321451</v>
      </c>
    </row>
    <row r="96" spans="1:3" ht="14.25" customHeight="1" x14ac:dyDescent="0.35">
      <c r="A96" s="107">
        <v>42735</v>
      </c>
      <c r="B96" s="76">
        <v>9.687495231628418E-2</v>
      </c>
      <c r="C96" s="76">
        <v>5.7996472689940459E-2</v>
      </c>
    </row>
    <row r="97" spans="1:3" ht="14.25" customHeight="1" x14ac:dyDescent="0.35">
      <c r="A97" s="107">
        <v>42766</v>
      </c>
      <c r="B97" s="76">
        <v>-7.1218553471086299E-4</v>
      </c>
      <c r="C97" s="76">
        <v>-4.1943505937124481E-2</v>
      </c>
    </row>
    <row r="98" spans="1:3" ht="14.25" customHeight="1" x14ac:dyDescent="0.35">
      <c r="A98" s="107">
        <v>42794</v>
      </c>
      <c r="B98" s="76">
        <v>7.8403419534795127E-2</v>
      </c>
      <c r="C98" s="76">
        <v>0.18263256114511695</v>
      </c>
    </row>
    <row r="99" spans="1:3" ht="14.25" customHeight="1" x14ac:dyDescent="0.35">
      <c r="A99" s="107">
        <v>42825</v>
      </c>
      <c r="B99" s="76">
        <v>-0.13681425334248654</v>
      </c>
      <c r="C99" s="76">
        <v>-3.1643205695471299E-2</v>
      </c>
    </row>
    <row r="100" spans="1:3" ht="14.25" customHeight="1" x14ac:dyDescent="0.35">
      <c r="A100" s="107">
        <v>42855</v>
      </c>
      <c r="B100" s="76">
        <v>4.5941103881037559E-3</v>
      </c>
      <c r="C100" s="76">
        <v>-2.9018843140865558E-3</v>
      </c>
    </row>
    <row r="101" spans="1:3" ht="14.25" customHeight="1" x14ac:dyDescent="0.35">
      <c r="A101" s="107">
        <v>42886</v>
      </c>
      <c r="B101" s="76">
        <v>-3.5823148304617081E-2</v>
      </c>
      <c r="C101" s="76">
        <v>1.1894248461667756E-2</v>
      </c>
    </row>
    <row r="102" spans="1:3" ht="14.25" customHeight="1" x14ac:dyDescent="0.35">
      <c r="A102" s="107">
        <v>42916</v>
      </c>
      <c r="B102" s="76">
        <v>-4.5059264412981581E-2</v>
      </c>
      <c r="C102" s="76">
        <v>-6.7150214638133754E-2</v>
      </c>
    </row>
    <row r="103" spans="1:3" ht="14.25" customHeight="1" x14ac:dyDescent="0.35">
      <c r="A103" s="107">
        <v>42947</v>
      </c>
      <c r="B103" s="76">
        <v>4.4701935099874746E-2</v>
      </c>
      <c r="C103" s="76">
        <v>5.0804302855878891E-2</v>
      </c>
    </row>
    <row r="104" spans="1:3" ht="14.25" customHeight="1" x14ac:dyDescent="0.35">
      <c r="A104" s="107">
        <v>42978</v>
      </c>
      <c r="B104" s="76">
        <v>-5.0713106586754875E-2</v>
      </c>
      <c r="C104" s="76">
        <v>-4.7965329321420835E-2</v>
      </c>
    </row>
    <row r="105" spans="1:3" ht="14.25" customHeight="1" x14ac:dyDescent="0.35">
      <c r="A105" s="107">
        <v>43008</v>
      </c>
      <c r="B105" s="76">
        <v>2.5876447371889988E-2</v>
      </c>
      <c r="C105" s="76">
        <v>-6.9275068460605271E-2</v>
      </c>
    </row>
    <row r="106" spans="1:3" ht="14.25" customHeight="1" x14ac:dyDescent="0.35">
      <c r="A106" s="107">
        <v>43039</v>
      </c>
      <c r="B106" s="76">
        <v>0.10577699112451255</v>
      </c>
      <c r="C106" s="76">
        <v>-9.7898116057965057E-3</v>
      </c>
    </row>
    <row r="107" spans="1:3" ht="14.25" customHeight="1" x14ac:dyDescent="0.35">
      <c r="A107" s="107">
        <v>43069</v>
      </c>
      <c r="B107" s="76">
        <v>7.5055280832467375E-2</v>
      </c>
      <c r="C107" s="76">
        <v>-2.7188065576854603E-2</v>
      </c>
    </row>
    <row r="108" spans="1:3" ht="14.25" customHeight="1" x14ac:dyDescent="0.35">
      <c r="A108" s="107">
        <v>43100</v>
      </c>
      <c r="B108" s="76">
        <v>-1.1635948911779992E-2</v>
      </c>
      <c r="C108" s="76">
        <v>2.5406988438350098E-3</v>
      </c>
    </row>
    <row r="109" spans="1:3" ht="14.25" customHeight="1" x14ac:dyDescent="0.35">
      <c r="A109" s="107">
        <v>43131</v>
      </c>
      <c r="B109" s="76">
        <v>5.1939060367111267E-2</v>
      </c>
      <c r="C109" s="76">
        <v>0.18410849935909912</v>
      </c>
    </row>
    <row r="110" spans="1:3" ht="14.25" customHeight="1" x14ac:dyDescent="0.35">
      <c r="A110" s="107">
        <v>43159</v>
      </c>
      <c r="B110" s="76">
        <v>2.0408204266474161E-2</v>
      </c>
      <c r="C110" s="76">
        <v>-5.0358806302803871E-2</v>
      </c>
    </row>
    <row r="111" spans="1:3" ht="14.25" customHeight="1" x14ac:dyDescent="0.35">
      <c r="A111" s="107">
        <v>43190</v>
      </c>
      <c r="B111" s="76">
        <v>4.9032297442036299E-2</v>
      </c>
      <c r="C111" s="76">
        <v>-1.9753385360483544E-2</v>
      </c>
    </row>
    <row r="112" spans="1:3" ht="14.25" customHeight="1" x14ac:dyDescent="0.35">
      <c r="A112" s="107">
        <v>43220</v>
      </c>
      <c r="B112" s="76">
        <v>0.12238618173123239</v>
      </c>
      <c r="C112" s="76">
        <v>-2.3126846470254647E-2</v>
      </c>
    </row>
    <row r="113" spans="1:3" ht="14.25" customHeight="1" x14ac:dyDescent="0.35">
      <c r="A113" s="107">
        <v>43251</v>
      </c>
      <c r="B113" s="76">
        <v>2.301368190817632E-2</v>
      </c>
      <c r="C113" s="76">
        <v>-3.7103699025628267E-2</v>
      </c>
    </row>
    <row r="114" spans="1:3" ht="14.25" customHeight="1" x14ac:dyDescent="0.35">
      <c r="A114" s="107">
        <v>43281</v>
      </c>
      <c r="B114" s="76">
        <v>2.8387804704823383E-2</v>
      </c>
      <c r="C114" s="76">
        <v>2.3004460919402447E-3</v>
      </c>
    </row>
    <row r="115" spans="1:3" ht="14.25" customHeight="1" x14ac:dyDescent="0.35">
      <c r="A115" s="107">
        <v>43312</v>
      </c>
      <c r="B115" s="76">
        <v>9.1145833333333259E-2</v>
      </c>
      <c r="C115" s="76">
        <v>-8.3202099938612939E-3</v>
      </c>
    </row>
    <row r="116" spans="1:3" ht="14.25" customHeight="1" x14ac:dyDescent="0.35">
      <c r="A116" s="107">
        <v>43343</v>
      </c>
      <c r="B116" s="76">
        <v>0.19570405727923634</v>
      </c>
      <c r="C116" s="76">
        <v>-6.0031738194220585E-2</v>
      </c>
    </row>
    <row r="117" spans="1:3" ht="14.25" customHeight="1" x14ac:dyDescent="0.35">
      <c r="A117" s="107">
        <v>43373</v>
      </c>
      <c r="B117" s="76">
        <v>-5.3093824557915448E-2</v>
      </c>
      <c r="C117" s="76">
        <v>5.7402208908027941E-2</v>
      </c>
    </row>
    <row r="118" spans="1:3" ht="14.25" customHeight="1" x14ac:dyDescent="0.35">
      <c r="A118" s="107">
        <v>43404</v>
      </c>
      <c r="B118" s="76">
        <v>-9.34232881417143E-2</v>
      </c>
      <c r="C118" s="76">
        <v>-0.10056760208826221</v>
      </c>
    </row>
    <row r="119" spans="1:3" ht="14.25" customHeight="1" x14ac:dyDescent="0.35">
      <c r="A119" s="107">
        <v>43434</v>
      </c>
      <c r="B119" s="76">
        <v>0.10667784206485798</v>
      </c>
      <c r="C119" s="76">
        <v>-7.6537210366174557E-2</v>
      </c>
    </row>
    <row r="120" spans="1:3" ht="14.25" customHeight="1" x14ac:dyDescent="0.35">
      <c r="A120" s="107">
        <v>43465</v>
      </c>
      <c r="B120" s="76">
        <v>-0.13984368172440331</v>
      </c>
      <c r="C120" s="76">
        <v>-6.360611683066919E-2</v>
      </c>
    </row>
    <row r="121" spans="1:3" ht="14.25" customHeight="1" x14ac:dyDescent="0.35">
      <c r="A121" s="107">
        <v>43496</v>
      </c>
      <c r="B121" s="76">
        <v>3.4587210242337019E-2</v>
      </c>
      <c r="C121" s="76">
        <v>3.0501517776996723E-2</v>
      </c>
    </row>
    <row r="122" spans="1:3" ht="14.25" customHeight="1" x14ac:dyDescent="0.35">
      <c r="A122" s="107">
        <v>43524</v>
      </c>
      <c r="B122" s="76">
        <v>4.1080352244730944E-2</v>
      </c>
      <c r="C122" s="76">
        <v>-3.6135788538175007E-2</v>
      </c>
    </row>
    <row r="123" spans="1:3" ht="14.25" customHeight="1" x14ac:dyDescent="0.35">
      <c r="A123" s="107">
        <v>43555</v>
      </c>
      <c r="B123" s="76">
        <v>-4.7260515107329093E-2</v>
      </c>
      <c r="C123" s="76">
        <v>-1.8843511464650131E-4</v>
      </c>
    </row>
    <row r="124" spans="1:3" ht="14.25" customHeight="1" x14ac:dyDescent="0.35">
      <c r="A124" s="107">
        <v>43585</v>
      </c>
      <c r="B124" s="76">
        <v>0.10911167492778784</v>
      </c>
      <c r="C124" s="76">
        <v>-1.2436401944740827E-2</v>
      </c>
    </row>
    <row r="125" spans="1:3" ht="14.25" customHeight="1" x14ac:dyDescent="0.35">
      <c r="A125" s="107">
        <v>43616</v>
      </c>
      <c r="B125" s="76">
        <v>-4.103355538633302E-2</v>
      </c>
      <c r="C125" s="76">
        <v>-2.2896190084743528E-3</v>
      </c>
    </row>
    <row r="126" spans="1:3" ht="14.25" customHeight="1" x14ac:dyDescent="0.35">
      <c r="A126" s="107">
        <v>43646</v>
      </c>
      <c r="B126" s="76">
        <v>9.7216011989574858E-2</v>
      </c>
      <c r="C126" s="76">
        <v>6.5404438880584781E-2</v>
      </c>
    </row>
    <row r="127" spans="1:3" ht="14.25" customHeight="1" x14ac:dyDescent="0.35">
      <c r="A127" s="107">
        <v>43677</v>
      </c>
      <c r="B127" s="76">
        <v>5.3112524699674868E-2</v>
      </c>
      <c r="C127" s="76">
        <v>4.8824291247587359E-2</v>
      </c>
    </row>
    <row r="128" spans="1:3" ht="14.25" customHeight="1" x14ac:dyDescent="0.35">
      <c r="A128" s="107">
        <v>43708</v>
      </c>
      <c r="B128" s="76">
        <v>3.4397291434946631E-2</v>
      </c>
      <c r="C128" s="76">
        <v>-8.5914777195696734E-2</v>
      </c>
    </row>
    <row r="129" spans="1:3" ht="14.25" customHeight="1" x14ac:dyDescent="0.35">
      <c r="A129" s="107">
        <v>43738</v>
      </c>
      <c r="B129" s="76">
        <v>-2.2243867028662656E-2</v>
      </c>
      <c r="C129" s="76">
        <v>6.0101087692255417E-2</v>
      </c>
    </row>
    <row r="130" spans="1:3" ht="14.25" customHeight="1" x14ac:dyDescent="0.35">
      <c r="A130" s="107">
        <v>43769</v>
      </c>
      <c r="B130" s="76">
        <v>8.364609661951472E-2</v>
      </c>
      <c r="C130" s="76">
        <v>-4.6273383633169907E-2</v>
      </c>
    </row>
    <row r="131" spans="1:3" ht="14.25" customHeight="1" x14ac:dyDescent="0.35">
      <c r="A131" s="107">
        <v>43799</v>
      </c>
      <c r="B131" s="76">
        <v>-0.17395914609457142</v>
      </c>
      <c r="C131" s="76">
        <v>-1.1481461701569828E-2</v>
      </c>
    </row>
    <row r="132" spans="1:3" ht="14.25" customHeight="1" x14ac:dyDescent="0.35">
      <c r="A132" s="107">
        <v>43830</v>
      </c>
      <c r="B132" s="76">
        <v>-2.1478710620579711E-2</v>
      </c>
      <c r="C132" s="76">
        <v>7.8119109882073934E-2</v>
      </c>
    </row>
    <row r="133" spans="1:3" ht="14.25" customHeight="1" x14ac:dyDescent="0.35">
      <c r="A133" s="107">
        <v>43861</v>
      </c>
      <c r="B133" s="76">
        <v>2.4398784020611242E-2</v>
      </c>
      <c r="C133" s="76">
        <v>-8.8966099040147961E-2</v>
      </c>
    </row>
    <row r="134" spans="1:3" ht="14.25" customHeight="1" x14ac:dyDescent="0.35">
      <c r="A134" s="107">
        <v>43890</v>
      </c>
      <c r="B134" s="76">
        <v>-0.11029535800123136</v>
      </c>
      <c r="C134" s="76">
        <v>-0.10452030345869279</v>
      </c>
    </row>
    <row r="135" spans="1:3" ht="14.25" customHeight="1" x14ac:dyDescent="0.35">
      <c r="A135" s="43"/>
      <c r="B135" s="44"/>
      <c r="C135" s="44"/>
    </row>
    <row r="136" spans="1:3" ht="14.25" customHeight="1" x14ac:dyDescent="0.35">
      <c r="A136" s="43"/>
      <c r="B136" s="44"/>
      <c r="C136" s="44"/>
    </row>
    <row r="137" spans="1:3" ht="14.25" customHeight="1" x14ac:dyDescent="0.35">
      <c r="A137" s="43"/>
      <c r="B137" s="44"/>
      <c r="C137" s="44"/>
    </row>
    <row r="138" spans="1:3" ht="14.25" customHeight="1" x14ac:dyDescent="0.35">
      <c r="A138" s="43"/>
      <c r="B138" s="44"/>
      <c r="C138" s="44"/>
    </row>
    <row r="139" spans="1:3" ht="14.25" customHeight="1" x14ac:dyDescent="0.35">
      <c r="A139" s="43"/>
      <c r="B139" s="44"/>
      <c r="C139" s="44"/>
    </row>
    <row r="140" spans="1:3" ht="14.25" customHeight="1" x14ac:dyDescent="0.35">
      <c r="A140" s="43"/>
      <c r="B140" s="44"/>
      <c r="C140" s="44"/>
    </row>
    <row r="141" spans="1:3" ht="14.25" customHeight="1" x14ac:dyDescent="0.35">
      <c r="A141" s="43"/>
      <c r="B141" s="44"/>
      <c r="C141" s="44"/>
    </row>
    <row r="142" spans="1:3" ht="14.25" customHeight="1" x14ac:dyDescent="0.35">
      <c r="A142" s="43"/>
      <c r="B142" s="44"/>
      <c r="C142" s="44"/>
    </row>
    <row r="143" spans="1:3" ht="14.25" customHeight="1" x14ac:dyDescent="0.35">
      <c r="A143" s="43"/>
      <c r="B143" s="44"/>
      <c r="C143" s="44"/>
    </row>
    <row r="144" spans="1:3" ht="14.25" customHeight="1" x14ac:dyDescent="0.35">
      <c r="A144" s="43"/>
      <c r="B144" s="44"/>
      <c r="C144" s="44"/>
    </row>
    <row r="145" spans="1:3" ht="14.25" customHeight="1" x14ac:dyDescent="0.35">
      <c r="A145" s="43"/>
      <c r="B145" s="44"/>
      <c r="C145" s="44"/>
    </row>
    <row r="146" spans="1:3" ht="14.25" customHeight="1" x14ac:dyDescent="0.35">
      <c r="A146" s="43"/>
      <c r="B146" s="44"/>
      <c r="C146" s="44"/>
    </row>
    <row r="147" spans="1:3" ht="14.25" customHeight="1" x14ac:dyDescent="0.35">
      <c r="A147" s="43"/>
      <c r="B147" s="44"/>
      <c r="C147" s="44"/>
    </row>
    <row r="148" spans="1:3" ht="14.25" customHeight="1" x14ac:dyDescent="0.35">
      <c r="A148" s="43"/>
      <c r="B148" s="44"/>
      <c r="C148" s="44"/>
    </row>
    <row r="149" spans="1:3" ht="14.25" customHeight="1" x14ac:dyDescent="0.35">
      <c r="A149" s="43"/>
      <c r="B149" s="44"/>
      <c r="C149" s="44"/>
    </row>
    <row r="150" spans="1:3" ht="14.25" customHeight="1" x14ac:dyDescent="0.35">
      <c r="A150" s="43"/>
      <c r="B150" s="44"/>
      <c r="C150" s="44"/>
    </row>
    <row r="151" spans="1:3" ht="14.25" customHeight="1" x14ac:dyDescent="0.35">
      <c r="A151" s="43"/>
      <c r="B151" s="44"/>
      <c r="C151" s="44"/>
    </row>
    <row r="152" spans="1:3" ht="14.25" customHeight="1" x14ac:dyDescent="0.35">
      <c r="A152" s="43"/>
      <c r="B152" s="44"/>
      <c r="C152" s="44"/>
    </row>
    <row r="153" spans="1:3" ht="14.25" customHeight="1" x14ac:dyDescent="0.35">
      <c r="A153" s="43"/>
      <c r="B153" s="44"/>
      <c r="C153" s="44"/>
    </row>
    <row r="154" spans="1:3" ht="14.25" customHeight="1" x14ac:dyDescent="0.35">
      <c r="A154" s="43"/>
      <c r="B154" s="44"/>
      <c r="C154" s="44"/>
    </row>
    <row r="155" spans="1:3" ht="14.25" customHeight="1" x14ac:dyDescent="0.35">
      <c r="A155" s="43"/>
      <c r="B155" s="44"/>
      <c r="C155" s="44"/>
    </row>
    <row r="156" spans="1:3" ht="14.25" customHeight="1" x14ac:dyDescent="0.35">
      <c r="A156" s="43"/>
      <c r="B156" s="44"/>
      <c r="C156" s="44"/>
    </row>
    <row r="157" spans="1:3" ht="14.25" customHeight="1" x14ac:dyDescent="0.35">
      <c r="A157" s="43"/>
      <c r="B157" s="44"/>
      <c r="C157" s="44"/>
    </row>
    <row r="158" spans="1:3" ht="14.25" customHeight="1" x14ac:dyDescent="0.35">
      <c r="A158" s="43"/>
      <c r="B158" s="44"/>
      <c r="C158" s="44"/>
    </row>
    <row r="159" spans="1:3" ht="14.25" customHeight="1" x14ac:dyDescent="0.35">
      <c r="A159" s="43"/>
      <c r="B159" s="44"/>
      <c r="C159" s="44"/>
    </row>
    <row r="160" spans="1:3" ht="14.25" customHeight="1" x14ac:dyDescent="0.35">
      <c r="A160" s="43"/>
      <c r="B160" s="44"/>
      <c r="C160" s="44"/>
    </row>
    <row r="161" spans="1:3" ht="14.25" customHeight="1" x14ac:dyDescent="0.35">
      <c r="A161" s="43"/>
      <c r="B161" s="44"/>
      <c r="C161" s="44"/>
    </row>
    <row r="162" spans="1:3" ht="14.25" customHeight="1" x14ac:dyDescent="0.35">
      <c r="A162" s="43"/>
      <c r="B162" s="44"/>
      <c r="C162" s="44"/>
    </row>
    <row r="163" spans="1:3" ht="14.25" customHeight="1" x14ac:dyDescent="0.35">
      <c r="A163" s="43"/>
      <c r="B163" s="44"/>
      <c r="C163" s="44"/>
    </row>
    <row r="164" spans="1:3" ht="14.25" customHeight="1" x14ac:dyDescent="0.35">
      <c r="A164" s="43"/>
      <c r="B164" s="44"/>
      <c r="C164" s="44"/>
    </row>
    <row r="165" spans="1:3" ht="14.25" customHeight="1" x14ac:dyDescent="0.35">
      <c r="A165" s="43"/>
      <c r="B165" s="44"/>
      <c r="C165" s="44"/>
    </row>
    <row r="166" spans="1:3" ht="14.25" customHeight="1" x14ac:dyDescent="0.35">
      <c r="A166" s="43"/>
      <c r="B166" s="44"/>
      <c r="C166" s="44"/>
    </row>
    <row r="167" spans="1:3" ht="14.25" customHeight="1" x14ac:dyDescent="0.35">
      <c r="A167" s="43"/>
      <c r="B167" s="44"/>
      <c r="C167" s="44"/>
    </row>
    <row r="168" spans="1:3" ht="14.25" customHeight="1" x14ac:dyDescent="0.35">
      <c r="A168" s="43"/>
      <c r="B168" s="44"/>
      <c r="C168" s="44"/>
    </row>
    <row r="169" spans="1:3" ht="14.25" customHeight="1" x14ac:dyDescent="0.35">
      <c r="A169" s="43"/>
      <c r="B169" s="44"/>
      <c r="C169" s="44"/>
    </row>
    <row r="170" spans="1:3" ht="14.25" customHeight="1" x14ac:dyDescent="0.35">
      <c r="A170" s="43"/>
      <c r="B170" s="44"/>
      <c r="C170" s="44"/>
    </row>
    <row r="171" spans="1:3" ht="14.25" customHeight="1" x14ac:dyDescent="0.35">
      <c r="A171" s="43"/>
      <c r="B171" s="44"/>
      <c r="C171" s="44"/>
    </row>
    <row r="172" spans="1:3" ht="14.25" customHeight="1" x14ac:dyDescent="0.35">
      <c r="A172" s="43"/>
      <c r="B172" s="44"/>
      <c r="C172" s="44"/>
    </row>
    <row r="173" spans="1:3" ht="14.25" customHeight="1" x14ac:dyDescent="0.35">
      <c r="A173" s="43"/>
      <c r="B173" s="44"/>
      <c r="C173" s="44"/>
    </row>
    <row r="174" spans="1:3" ht="14.25" customHeight="1" x14ac:dyDescent="0.35">
      <c r="A174" s="43"/>
      <c r="B174" s="44"/>
      <c r="C174" s="44"/>
    </row>
    <row r="175" spans="1:3" ht="14.25" customHeight="1" x14ac:dyDescent="0.35">
      <c r="A175" s="43"/>
      <c r="B175" s="44"/>
      <c r="C175" s="44"/>
    </row>
    <row r="176" spans="1:3" ht="14.25" customHeight="1" x14ac:dyDescent="0.35">
      <c r="A176" s="43"/>
      <c r="B176" s="44"/>
      <c r="C176" s="44"/>
    </row>
    <row r="177" spans="1:3" ht="14.25" customHeight="1" x14ac:dyDescent="0.35">
      <c r="A177" s="43"/>
      <c r="B177" s="44"/>
      <c r="C177" s="44"/>
    </row>
    <row r="178" spans="1:3" ht="14.25" customHeight="1" x14ac:dyDescent="0.35">
      <c r="A178" s="43"/>
      <c r="B178" s="44"/>
      <c r="C178" s="44"/>
    </row>
    <row r="179" spans="1:3" ht="14.25" customHeight="1" x14ac:dyDescent="0.35">
      <c r="A179" s="43"/>
      <c r="B179" s="44"/>
      <c r="C179" s="44"/>
    </row>
    <row r="180" spans="1:3" ht="14.25" customHeight="1" x14ac:dyDescent="0.35">
      <c r="A180" s="43"/>
      <c r="B180" s="44"/>
      <c r="C180" s="44"/>
    </row>
    <row r="181" spans="1:3" ht="14.25" customHeight="1" x14ac:dyDescent="0.35">
      <c r="A181" s="43"/>
      <c r="B181" s="44"/>
      <c r="C181" s="44"/>
    </row>
    <row r="182" spans="1:3" ht="14.25" customHeight="1" x14ac:dyDescent="0.35">
      <c r="A182" s="43"/>
      <c r="B182" s="44"/>
      <c r="C182" s="44"/>
    </row>
    <row r="183" spans="1:3" ht="14.25" customHeight="1" x14ac:dyDescent="0.35">
      <c r="A183" s="43"/>
      <c r="B183" s="44"/>
      <c r="C183" s="44"/>
    </row>
    <row r="184" spans="1:3" ht="14.25" customHeight="1" x14ac:dyDescent="0.35">
      <c r="A184" s="43"/>
      <c r="B184" s="44"/>
      <c r="C184" s="44"/>
    </row>
    <row r="185" spans="1:3" ht="14.25" customHeight="1" x14ac:dyDescent="0.35">
      <c r="A185" s="43"/>
      <c r="B185" s="44"/>
      <c r="C185" s="44"/>
    </row>
    <row r="186" spans="1:3" ht="14.25" customHeight="1" x14ac:dyDescent="0.35">
      <c r="A186" s="43"/>
      <c r="B186" s="44"/>
      <c r="C186" s="44"/>
    </row>
    <row r="187" spans="1:3" ht="14.25" customHeight="1" x14ac:dyDescent="0.35">
      <c r="A187" s="43"/>
      <c r="B187" s="44"/>
      <c r="C187" s="44"/>
    </row>
    <row r="188" spans="1:3" ht="14.25" customHeight="1" x14ac:dyDescent="0.35">
      <c r="A188" s="43"/>
      <c r="B188" s="44"/>
      <c r="C188" s="44"/>
    </row>
    <row r="189" spans="1:3" ht="14.25" customHeight="1" x14ac:dyDescent="0.35">
      <c r="A189" s="43"/>
      <c r="B189" s="44"/>
      <c r="C189" s="44"/>
    </row>
    <row r="190" spans="1:3" ht="14.25" customHeight="1" x14ac:dyDescent="0.35">
      <c r="A190" s="43"/>
      <c r="B190" s="44"/>
      <c r="C190" s="44"/>
    </row>
    <row r="191" spans="1:3" ht="14.25" customHeight="1" x14ac:dyDescent="0.35">
      <c r="A191" s="43"/>
      <c r="B191" s="44"/>
      <c r="C191" s="44"/>
    </row>
    <row r="192" spans="1:3" ht="14.25" customHeight="1" x14ac:dyDescent="0.35">
      <c r="A192" s="43"/>
      <c r="B192" s="44"/>
      <c r="C192" s="44"/>
    </row>
    <row r="193" spans="1:3" ht="14.25" customHeight="1" x14ac:dyDescent="0.35">
      <c r="A193" s="43"/>
      <c r="B193" s="44"/>
      <c r="C193" s="44"/>
    </row>
    <row r="194" spans="1:3" ht="14.25" customHeight="1" x14ac:dyDescent="0.35">
      <c r="A194" s="43"/>
      <c r="B194" s="44"/>
      <c r="C194" s="44"/>
    </row>
    <row r="195" spans="1:3" ht="14.25" customHeight="1" x14ac:dyDescent="0.35">
      <c r="A195" s="43"/>
      <c r="B195" s="44"/>
      <c r="C195" s="44"/>
    </row>
    <row r="196" spans="1:3" ht="14.25" customHeight="1" x14ac:dyDescent="0.35">
      <c r="A196" s="43"/>
      <c r="B196" s="44"/>
      <c r="C196" s="44"/>
    </row>
    <row r="197" spans="1:3" ht="14.25" customHeight="1" x14ac:dyDescent="0.35">
      <c r="A197" s="43"/>
      <c r="B197" s="44"/>
      <c r="C197" s="44"/>
    </row>
    <row r="198" spans="1:3" ht="14.25" customHeight="1" x14ac:dyDescent="0.35">
      <c r="A198" s="43"/>
      <c r="B198" s="44"/>
      <c r="C198" s="44"/>
    </row>
    <row r="199" spans="1:3" ht="14.25" customHeight="1" x14ac:dyDescent="0.35">
      <c r="A199" s="43"/>
      <c r="B199" s="44"/>
      <c r="C199" s="44"/>
    </row>
    <row r="200" spans="1:3" ht="14.25" customHeight="1" x14ac:dyDescent="0.35">
      <c r="A200" s="43"/>
      <c r="B200" s="44"/>
      <c r="C200" s="44"/>
    </row>
    <row r="201" spans="1:3" ht="14.25" customHeight="1" x14ac:dyDescent="0.35">
      <c r="A201" s="43"/>
      <c r="B201" s="44"/>
      <c r="C201" s="44"/>
    </row>
    <row r="202" spans="1:3" ht="14.25" customHeight="1" x14ac:dyDescent="0.35">
      <c r="A202" s="43"/>
      <c r="B202" s="44"/>
      <c r="C202" s="44"/>
    </row>
    <row r="203" spans="1:3" ht="14.25" customHeight="1" x14ac:dyDescent="0.35">
      <c r="A203" s="43"/>
      <c r="B203" s="44"/>
      <c r="C203" s="44"/>
    </row>
    <row r="204" spans="1:3" ht="14.25" customHeight="1" x14ac:dyDescent="0.35">
      <c r="A204" s="43"/>
      <c r="B204" s="44"/>
      <c r="C204" s="44"/>
    </row>
    <row r="205" spans="1:3" ht="14.25" customHeight="1" x14ac:dyDescent="0.35">
      <c r="A205" s="43"/>
      <c r="B205" s="44"/>
      <c r="C205" s="44"/>
    </row>
    <row r="206" spans="1:3" ht="14.25" customHeight="1" x14ac:dyDescent="0.35">
      <c r="A206" s="43"/>
      <c r="B206" s="44"/>
      <c r="C206" s="44"/>
    </row>
    <row r="207" spans="1:3" ht="14.25" customHeight="1" x14ac:dyDescent="0.35">
      <c r="A207" s="43"/>
      <c r="B207" s="44"/>
      <c r="C207" s="44"/>
    </row>
    <row r="208" spans="1:3" ht="14.25" customHeight="1" x14ac:dyDescent="0.35">
      <c r="A208" s="43"/>
      <c r="B208" s="44"/>
      <c r="C208" s="44"/>
    </row>
    <row r="209" spans="1:3" ht="14.25" customHeight="1" x14ac:dyDescent="0.35">
      <c r="A209" s="43"/>
      <c r="B209" s="44"/>
      <c r="C209" s="44"/>
    </row>
    <row r="210" spans="1:3" ht="14.25" customHeight="1" x14ac:dyDescent="0.35">
      <c r="A210" s="43"/>
      <c r="B210" s="44"/>
      <c r="C210" s="44"/>
    </row>
    <row r="211" spans="1:3" ht="14.25" customHeight="1" x14ac:dyDescent="0.35">
      <c r="A211" s="43"/>
      <c r="B211" s="44"/>
      <c r="C211" s="44"/>
    </row>
    <row r="212" spans="1:3" ht="14.25" customHeight="1" x14ac:dyDescent="0.35">
      <c r="A212" s="43"/>
      <c r="B212" s="44"/>
      <c r="C212" s="44"/>
    </row>
    <row r="213" spans="1:3" ht="14.25" customHeight="1" x14ac:dyDescent="0.35">
      <c r="A213" s="43"/>
      <c r="B213" s="44"/>
      <c r="C213" s="44"/>
    </row>
    <row r="214" spans="1:3" ht="14.25" customHeight="1" x14ac:dyDescent="0.35">
      <c r="A214" s="43"/>
      <c r="B214" s="44"/>
      <c r="C214" s="44"/>
    </row>
    <row r="215" spans="1:3" ht="14.25" customHeight="1" x14ac:dyDescent="0.35">
      <c r="A215" s="43"/>
      <c r="B215" s="44"/>
      <c r="C215" s="44"/>
    </row>
    <row r="216" spans="1:3" ht="14.25" customHeight="1" x14ac:dyDescent="0.35">
      <c r="A216" s="43"/>
      <c r="B216" s="44"/>
      <c r="C216" s="44"/>
    </row>
    <row r="217" spans="1:3" ht="14.25" customHeight="1" x14ac:dyDescent="0.35">
      <c r="A217" s="43"/>
      <c r="B217" s="44"/>
      <c r="C217" s="44"/>
    </row>
    <row r="218" spans="1:3" ht="14.25" customHeight="1" x14ac:dyDescent="0.35">
      <c r="A218" s="43"/>
      <c r="B218" s="44"/>
      <c r="C218" s="44"/>
    </row>
    <row r="219" spans="1:3" ht="14.25" customHeight="1" x14ac:dyDescent="0.35">
      <c r="A219" s="43"/>
      <c r="B219" s="44"/>
      <c r="C219" s="44"/>
    </row>
    <row r="220" spans="1:3" ht="14.25" customHeight="1" x14ac:dyDescent="0.35">
      <c r="A220" s="43"/>
      <c r="B220" s="44"/>
      <c r="C220" s="44"/>
    </row>
    <row r="221" spans="1:3" ht="14.25" customHeight="1" x14ac:dyDescent="0.35">
      <c r="A221" s="43"/>
      <c r="B221" s="44"/>
      <c r="C221" s="44"/>
    </row>
    <row r="222" spans="1:3" ht="14.25" customHeight="1" x14ac:dyDescent="0.35">
      <c r="A222" s="43"/>
      <c r="B222" s="44"/>
      <c r="C222" s="44"/>
    </row>
    <row r="223" spans="1:3" ht="14.25" customHeight="1" x14ac:dyDescent="0.35">
      <c r="A223" s="43"/>
      <c r="B223" s="44"/>
      <c r="C223" s="44"/>
    </row>
    <row r="224" spans="1:3" ht="14.25" customHeight="1" x14ac:dyDescent="0.35">
      <c r="A224" s="43"/>
      <c r="B224" s="44"/>
      <c r="C224" s="44"/>
    </row>
    <row r="225" spans="1:3" ht="14.25" customHeight="1" x14ac:dyDescent="0.35">
      <c r="A225" s="43"/>
      <c r="B225" s="44"/>
      <c r="C225" s="44"/>
    </row>
    <row r="226" spans="1:3" ht="14.25" customHeight="1" x14ac:dyDescent="0.35">
      <c r="A226" s="43"/>
      <c r="B226" s="44"/>
      <c r="C226" s="44"/>
    </row>
    <row r="227" spans="1:3" ht="14.25" customHeight="1" x14ac:dyDescent="0.35">
      <c r="A227" s="43"/>
      <c r="B227" s="44"/>
      <c r="C227" s="44"/>
    </row>
    <row r="228" spans="1:3" ht="14.25" customHeight="1" x14ac:dyDescent="0.35">
      <c r="A228" s="43"/>
      <c r="B228" s="44"/>
      <c r="C228" s="44"/>
    </row>
    <row r="229" spans="1:3" ht="14.25" customHeight="1" x14ac:dyDescent="0.35">
      <c r="A229" s="43"/>
      <c r="B229" s="44"/>
      <c r="C229" s="44"/>
    </row>
    <row r="230" spans="1:3" ht="14.25" customHeight="1" x14ac:dyDescent="0.35">
      <c r="A230" s="43"/>
      <c r="B230" s="44"/>
      <c r="C230" s="44"/>
    </row>
    <row r="231" spans="1:3" ht="14.25" customHeight="1" x14ac:dyDescent="0.35">
      <c r="A231" s="43"/>
      <c r="B231" s="44"/>
      <c r="C231" s="44"/>
    </row>
    <row r="232" spans="1:3" ht="14.25" customHeight="1" x14ac:dyDescent="0.35">
      <c r="A232" s="43"/>
      <c r="B232" s="44"/>
      <c r="C232" s="44"/>
    </row>
    <row r="233" spans="1:3" ht="14.25" customHeight="1" x14ac:dyDescent="0.35">
      <c r="A233" s="43"/>
      <c r="B233" s="44"/>
      <c r="C233" s="44"/>
    </row>
    <row r="234" spans="1:3" ht="14.25" customHeight="1" x14ac:dyDescent="0.35">
      <c r="A234" s="43"/>
      <c r="B234" s="44"/>
      <c r="C234" s="44"/>
    </row>
    <row r="235" spans="1:3" ht="14.25" customHeight="1" x14ac:dyDescent="0.35">
      <c r="A235" s="43"/>
      <c r="B235" s="44"/>
      <c r="C235" s="44"/>
    </row>
    <row r="236" spans="1:3" ht="14.25" customHeight="1" x14ac:dyDescent="0.35">
      <c r="A236" s="43"/>
      <c r="B236" s="44"/>
      <c r="C236" s="44"/>
    </row>
    <row r="237" spans="1:3" ht="14.25" customHeight="1" x14ac:dyDescent="0.35">
      <c r="A237" s="43"/>
      <c r="B237" s="44"/>
      <c r="C237" s="44"/>
    </row>
    <row r="238" spans="1:3" ht="14.25" customHeight="1" x14ac:dyDescent="0.35">
      <c r="A238" s="43"/>
      <c r="B238" s="44"/>
      <c r="C238" s="44"/>
    </row>
    <row r="239" spans="1:3" ht="14.25" customHeight="1" x14ac:dyDescent="0.35">
      <c r="A239" s="43"/>
      <c r="B239" s="44"/>
      <c r="C239" s="44"/>
    </row>
    <row r="240" spans="1:3" ht="14.25" customHeight="1" x14ac:dyDescent="0.35">
      <c r="A240" s="43"/>
      <c r="B240" s="44"/>
      <c r="C240" s="44"/>
    </row>
    <row r="241" spans="1:3" ht="14.25" customHeight="1" x14ac:dyDescent="0.35">
      <c r="A241" s="43"/>
      <c r="B241" s="44"/>
      <c r="C241" s="44"/>
    </row>
    <row r="242" spans="1:3" ht="14.25" customHeight="1" x14ac:dyDescent="0.35">
      <c r="A242" s="43"/>
      <c r="B242" s="44"/>
      <c r="C242" s="44"/>
    </row>
    <row r="243" spans="1:3" ht="14.25" customHeight="1" x14ac:dyDescent="0.35">
      <c r="A243" s="43"/>
      <c r="B243" s="44"/>
      <c r="C243" s="44"/>
    </row>
    <row r="244" spans="1:3" ht="14.25" customHeight="1" x14ac:dyDescent="0.35">
      <c r="A244" s="43"/>
      <c r="B244" s="44"/>
      <c r="C244" s="44"/>
    </row>
    <row r="245" spans="1:3" ht="14.25" customHeight="1" x14ac:dyDescent="0.35">
      <c r="A245" s="43"/>
      <c r="B245" s="44"/>
      <c r="C245" s="44"/>
    </row>
    <row r="246" spans="1:3" ht="14.25" customHeight="1" x14ac:dyDescent="0.35">
      <c r="A246" s="43"/>
      <c r="B246" s="44"/>
      <c r="C246" s="44"/>
    </row>
    <row r="247" spans="1:3" ht="14.25" customHeight="1" x14ac:dyDescent="0.35">
      <c r="A247" s="43"/>
      <c r="B247" s="44"/>
      <c r="C247" s="44"/>
    </row>
    <row r="248" spans="1:3" ht="14.25" customHeight="1" x14ac:dyDescent="0.35">
      <c r="A248" s="43"/>
      <c r="B248" s="44"/>
      <c r="C248" s="44"/>
    </row>
    <row r="249" spans="1:3" ht="14.25" customHeight="1" x14ac:dyDescent="0.35">
      <c r="A249" s="43"/>
      <c r="B249" s="44"/>
      <c r="C249" s="44"/>
    </row>
    <row r="250" spans="1:3" ht="14.25" customHeight="1" x14ac:dyDescent="0.35">
      <c r="A250" s="43"/>
      <c r="B250" s="44"/>
      <c r="C250" s="44"/>
    </row>
    <row r="251" spans="1:3" ht="14.25" customHeight="1" x14ac:dyDescent="0.35">
      <c r="A251" s="43"/>
      <c r="B251" s="44"/>
      <c r="C251" s="44"/>
    </row>
    <row r="252" spans="1:3" ht="14.25" customHeight="1" x14ac:dyDescent="0.35">
      <c r="A252" s="43"/>
      <c r="B252" s="44"/>
      <c r="C252" s="44"/>
    </row>
    <row r="253" spans="1:3" ht="14.25" customHeight="1" x14ac:dyDescent="0.35">
      <c r="A253" s="43"/>
      <c r="B253" s="44"/>
      <c r="C253" s="44"/>
    </row>
    <row r="254" spans="1:3" ht="14.25" customHeight="1" x14ac:dyDescent="0.35">
      <c r="A254" s="43"/>
      <c r="B254" s="44"/>
      <c r="C254" s="44"/>
    </row>
    <row r="255" spans="1:3" ht="14.25" customHeight="1" x14ac:dyDescent="0.35">
      <c r="A255" s="43"/>
      <c r="B255" s="44"/>
      <c r="C255" s="44"/>
    </row>
    <row r="256" spans="1:3" ht="14.25" customHeight="1" x14ac:dyDescent="0.35">
      <c r="A256" s="43"/>
      <c r="B256" s="44"/>
      <c r="C256" s="44"/>
    </row>
    <row r="257" spans="1:3" ht="14.25" customHeight="1" x14ac:dyDescent="0.35">
      <c r="A257" s="43"/>
      <c r="B257" s="44"/>
      <c r="C257" s="44"/>
    </row>
    <row r="258" spans="1:3" ht="14.25" customHeight="1" x14ac:dyDescent="0.35">
      <c r="A258" s="43"/>
      <c r="B258" s="44"/>
      <c r="C258" s="44"/>
    </row>
    <row r="259" spans="1:3" ht="14.25" customHeight="1" x14ac:dyDescent="0.35">
      <c r="A259" s="43"/>
      <c r="B259" s="44"/>
      <c r="C259" s="44"/>
    </row>
    <row r="260" spans="1:3" ht="14.25" customHeight="1" x14ac:dyDescent="0.35">
      <c r="A260" s="43"/>
      <c r="B260" s="44"/>
      <c r="C260" s="44"/>
    </row>
    <row r="261" spans="1:3" ht="14.25" customHeight="1" x14ac:dyDescent="0.35">
      <c r="A261" s="43"/>
      <c r="B261" s="44"/>
      <c r="C261" s="44"/>
    </row>
    <row r="262" spans="1:3" ht="14.25" customHeight="1" x14ac:dyDescent="0.35">
      <c r="A262" s="43"/>
      <c r="B262" s="44"/>
      <c r="C262" s="44"/>
    </row>
    <row r="263" spans="1:3" ht="14.25" customHeight="1" x14ac:dyDescent="0.35">
      <c r="A263" s="43"/>
      <c r="B263" s="44"/>
      <c r="C263" s="44"/>
    </row>
    <row r="264" spans="1:3" ht="14.25" customHeight="1" x14ac:dyDescent="0.35">
      <c r="A264" s="43"/>
      <c r="B264" s="44"/>
      <c r="C264" s="44"/>
    </row>
    <row r="265" spans="1:3" ht="14.25" customHeight="1" x14ac:dyDescent="0.35">
      <c r="A265" s="43"/>
      <c r="B265" s="44"/>
      <c r="C265" s="44"/>
    </row>
    <row r="266" spans="1:3" ht="14.25" customHeight="1" x14ac:dyDescent="0.35">
      <c r="A266" s="43"/>
      <c r="B266" s="44"/>
      <c r="C266" s="44"/>
    </row>
    <row r="267" spans="1:3" ht="14.25" customHeight="1" x14ac:dyDescent="0.35">
      <c r="A267" s="43"/>
      <c r="B267" s="44"/>
      <c r="C267" s="44"/>
    </row>
    <row r="268" spans="1:3" ht="14.25" customHeight="1" x14ac:dyDescent="0.35">
      <c r="A268" s="43"/>
      <c r="B268" s="44"/>
      <c r="C268" s="44"/>
    </row>
    <row r="269" spans="1:3" ht="14.25" customHeight="1" x14ac:dyDescent="0.35">
      <c r="A269" s="43"/>
      <c r="B269" s="44"/>
      <c r="C269" s="44"/>
    </row>
    <row r="270" spans="1:3" ht="14.25" customHeight="1" x14ac:dyDescent="0.35">
      <c r="A270" s="43"/>
      <c r="B270" s="44"/>
      <c r="C270" s="44"/>
    </row>
    <row r="271" spans="1:3" ht="14.25" customHeight="1" x14ac:dyDescent="0.35">
      <c r="A271" s="43"/>
      <c r="B271" s="44"/>
      <c r="C271" s="44"/>
    </row>
    <row r="272" spans="1:3" ht="14.25" customHeight="1" x14ac:dyDescent="0.35">
      <c r="A272" s="43"/>
      <c r="B272" s="44"/>
      <c r="C272" s="44"/>
    </row>
    <row r="273" spans="1:3" ht="14.25" customHeight="1" x14ac:dyDescent="0.35">
      <c r="A273" s="43"/>
      <c r="B273" s="44"/>
      <c r="C273" s="44"/>
    </row>
    <row r="274" spans="1:3" ht="14.25" customHeight="1" x14ac:dyDescent="0.35">
      <c r="A274" s="43"/>
      <c r="B274" s="44"/>
      <c r="C274" s="44"/>
    </row>
    <row r="275" spans="1:3" ht="14.25" customHeight="1" x14ac:dyDescent="0.35">
      <c r="A275" s="43"/>
      <c r="B275" s="44"/>
      <c r="C275" s="44"/>
    </row>
    <row r="276" spans="1:3" ht="14.25" customHeight="1" x14ac:dyDescent="0.35">
      <c r="A276" s="43"/>
      <c r="B276" s="44"/>
      <c r="C276" s="44"/>
    </row>
    <row r="277" spans="1:3" ht="14.25" customHeight="1" x14ac:dyDescent="0.35">
      <c r="A277" s="43"/>
      <c r="B277" s="44"/>
      <c r="C277" s="44"/>
    </row>
    <row r="278" spans="1:3" ht="14.25" customHeight="1" x14ac:dyDescent="0.35">
      <c r="A278" s="43"/>
      <c r="B278" s="44"/>
      <c r="C278" s="44"/>
    </row>
    <row r="279" spans="1:3" ht="14.25" customHeight="1" x14ac:dyDescent="0.35">
      <c r="A279" s="43"/>
      <c r="B279" s="44"/>
      <c r="C279" s="44"/>
    </row>
    <row r="280" spans="1:3" ht="14.25" customHeight="1" x14ac:dyDescent="0.35">
      <c r="A280" s="43"/>
      <c r="B280" s="44"/>
      <c r="C280" s="44"/>
    </row>
    <row r="281" spans="1:3" ht="14.25" customHeight="1" x14ac:dyDescent="0.35">
      <c r="A281" s="43"/>
      <c r="B281" s="44"/>
      <c r="C281" s="44"/>
    </row>
    <row r="282" spans="1:3" ht="14.25" customHeight="1" x14ac:dyDescent="0.35">
      <c r="A282" s="43"/>
      <c r="B282" s="44"/>
      <c r="C282" s="44"/>
    </row>
    <row r="283" spans="1:3" ht="14.25" customHeight="1" x14ac:dyDescent="0.35">
      <c r="A283" s="43"/>
      <c r="B283" s="44"/>
      <c r="C283" s="44"/>
    </row>
    <row r="284" spans="1:3" ht="14.25" customHeight="1" x14ac:dyDescent="0.35">
      <c r="A284" s="43"/>
      <c r="B284" s="44"/>
      <c r="C284" s="44"/>
    </row>
    <row r="285" spans="1:3" ht="14.25" customHeight="1" x14ac:dyDescent="0.35">
      <c r="A285" s="43"/>
      <c r="B285" s="44"/>
      <c r="C285" s="44"/>
    </row>
    <row r="286" spans="1:3" ht="14.25" customHeight="1" x14ac:dyDescent="0.35">
      <c r="A286" s="43"/>
      <c r="B286" s="44"/>
      <c r="C286" s="44"/>
    </row>
    <row r="287" spans="1:3" ht="14.25" customHeight="1" x14ac:dyDescent="0.35">
      <c r="A287" s="43"/>
      <c r="B287" s="44"/>
      <c r="C287" s="44"/>
    </row>
    <row r="288" spans="1:3" ht="14.25" customHeight="1" x14ac:dyDescent="0.35">
      <c r="A288" s="43"/>
      <c r="B288" s="44"/>
      <c r="C288" s="44"/>
    </row>
    <row r="289" spans="1:3" ht="14.25" customHeight="1" x14ac:dyDescent="0.35">
      <c r="A289" s="43"/>
      <c r="B289" s="44"/>
      <c r="C289" s="44"/>
    </row>
    <row r="290" spans="1:3" ht="14.25" customHeight="1" x14ac:dyDescent="0.35">
      <c r="A290" s="43"/>
      <c r="B290" s="44"/>
      <c r="C290" s="44"/>
    </row>
    <row r="291" spans="1:3" ht="14.25" customHeight="1" x14ac:dyDescent="0.35">
      <c r="A291" s="43"/>
      <c r="B291" s="44"/>
      <c r="C291" s="44"/>
    </row>
    <row r="292" spans="1:3" ht="14.25" customHeight="1" x14ac:dyDescent="0.35">
      <c r="A292" s="43"/>
      <c r="B292" s="44"/>
      <c r="C292" s="44"/>
    </row>
    <row r="293" spans="1:3" ht="14.25" customHeight="1" x14ac:dyDescent="0.35">
      <c r="A293" s="43"/>
      <c r="B293" s="44"/>
      <c r="C293" s="44"/>
    </row>
    <row r="294" spans="1:3" ht="14.25" customHeight="1" x14ac:dyDescent="0.35">
      <c r="A294" s="43"/>
      <c r="B294" s="44"/>
      <c r="C294" s="44"/>
    </row>
    <row r="295" spans="1:3" ht="14.25" customHeight="1" x14ac:dyDescent="0.35">
      <c r="A295" s="43"/>
      <c r="B295" s="44"/>
      <c r="C295" s="44"/>
    </row>
    <row r="296" spans="1:3" ht="14.25" customHeight="1" x14ac:dyDescent="0.35">
      <c r="A296" s="43"/>
      <c r="B296" s="44"/>
      <c r="C296" s="44"/>
    </row>
    <row r="297" spans="1:3" ht="14.25" customHeight="1" x14ac:dyDescent="0.35">
      <c r="A297" s="43"/>
      <c r="B297" s="44"/>
      <c r="C297" s="44"/>
    </row>
    <row r="298" spans="1:3" ht="14.25" customHeight="1" x14ac:dyDescent="0.35">
      <c r="A298" s="43"/>
      <c r="B298" s="44"/>
      <c r="C298" s="44"/>
    </row>
    <row r="299" spans="1:3" ht="14.25" customHeight="1" x14ac:dyDescent="0.35">
      <c r="A299" s="43"/>
      <c r="B299" s="44"/>
      <c r="C299" s="44"/>
    </row>
    <row r="300" spans="1:3" ht="14.25" customHeight="1" x14ac:dyDescent="0.35">
      <c r="A300" s="43"/>
      <c r="B300" s="44"/>
      <c r="C300" s="44"/>
    </row>
    <row r="301" spans="1:3" ht="14.25" customHeight="1" x14ac:dyDescent="0.35">
      <c r="A301" s="43"/>
      <c r="B301" s="44"/>
      <c r="C301" s="44"/>
    </row>
    <row r="302" spans="1:3" ht="14.25" customHeight="1" x14ac:dyDescent="0.35">
      <c r="A302" s="43"/>
      <c r="B302" s="44"/>
      <c r="C302" s="44"/>
    </row>
    <row r="303" spans="1:3" ht="14.25" customHeight="1" x14ac:dyDescent="0.35">
      <c r="A303" s="43"/>
      <c r="B303" s="44"/>
      <c r="C303" s="44"/>
    </row>
    <row r="304" spans="1:3" ht="14.25" customHeight="1" x14ac:dyDescent="0.35">
      <c r="A304" s="43"/>
      <c r="B304" s="44"/>
      <c r="C304" s="44"/>
    </row>
    <row r="305" spans="1:3" ht="14.25" customHeight="1" x14ac:dyDescent="0.35">
      <c r="A305" s="43"/>
      <c r="B305" s="44"/>
      <c r="C305" s="44"/>
    </row>
    <row r="306" spans="1:3" ht="14.25" customHeight="1" x14ac:dyDescent="0.35">
      <c r="A306" s="43"/>
      <c r="B306" s="44"/>
      <c r="C306" s="44"/>
    </row>
    <row r="307" spans="1:3" ht="14.25" customHeight="1" x14ac:dyDescent="0.35">
      <c r="A307" s="43"/>
      <c r="B307" s="44"/>
      <c r="C307" s="44"/>
    </row>
    <row r="308" spans="1:3" ht="14.25" customHeight="1" x14ac:dyDescent="0.35">
      <c r="A308" s="43"/>
      <c r="B308" s="44"/>
      <c r="C308" s="44"/>
    </row>
    <row r="309" spans="1:3" ht="14.25" customHeight="1" x14ac:dyDescent="0.35">
      <c r="A309" s="43"/>
      <c r="B309" s="44"/>
      <c r="C309" s="44"/>
    </row>
    <row r="310" spans="1:3" ht="14.25" customHeight="1" x14ac:dyDescent="0.35">
      <c r="A310" s="43"/>
      <c r="B310" s="44"/>
      <c r="C310" s="44"/>
    </row>
    <row r="311" spans="1:3" ht="14.25" customHeight="1" x14ac:dyDescent="0.35">
      <c r="A311" s="43"/>
      <c r="B311" s="44"/>
      <c r="C311" s="44"/>
    </row>
    <row r="312" spans="1:3" ht="14.25" customHeight="1" x14ac:dyDescent="0.35">
      <c r="A312" s="43"/>
      <c r="B312" s="44"/>
      <c r="C312" s="44"/>
    </row>
    <row r="313" spans="1:3" ht="14.25" customHeight="1" x14ac:dyDescent="0.35">
      <c r="A313" s="43"/>
      <c r="B313" s="44"/>
      <c r="C313" s="44"/>
    </row>
    <row r="314" spans="1:3" ht="14.25" customHeight="1" x14ac:dyDescent="0.35">
      <c r="A314" s="43"/>
      <c r="B314" s="44"/>
      <c r="C314" s="44"/>
    </row>
    <row r="315" spans="1:3" ht="14.25" customHeight="1" x14ac:dyDescent="0.35">
      <c r="A315" s="43"/>
      <c r="B315" s="44"/>
      <c r="C315" s="44"/>
    </row>
    <row r="316" spans="1:3" ht="14.25" customHeight="1" x14ac:dyDescent="0.35">
      <c r="A316" s="43"/>
      <c r="B316" s="44"/>
      <c r="C316" s="44"/>
    </row>
    <row r="317" spans="1:3" ht="14.25" customHeight="1" x14ac:dyDescent="0.35">
      <c r="A317" s="43"/>
      <c r="B317" s="44"/>
      <c r="C317" s="44"/>
    </row>
    <row r="318" spans="1:3" ht="14.25" customHeight="1" x14ac:dyDescent="0.35">
      <c r="A318" s="43"/>
      <c r="B318" s="44"/>
      <c r="C318" s="44"/>
    </row>
    <row r="319" spans="1:3" ht="14.25" customHeight="1" x14ac:dyDescent="0.35">
      <c r="A319" s="43"/>
      <c r="B319" s="44"/>
      <c r="C319" s="44"/>
    </row>
    <row r="320" spans="1:3" ht="14.25" customHeight="1" x14ac:dyDescent="0.35">
      <c r="A320" s="43"/>
      <c r="B320" s="44"/>
      <c r="C320" s="44"/>
    </row>
    <row r="321" spans="1:3" ht="14.25" customHeight="1" x14ac:dyDescent="0.35">
      <c r="A321" s="43"/>
      <c r="B321" s="44"/>
      <c r="C321" s="44"/>
    </row>
    <row r="322" spans="1:3" ht="14.25" customHeight="1" x14ac:dyDescent="0.35">
      <c r="A322" s="43"/>
      <c r="B322" s="44"/>
      <c r="C322" s="44"/>
    </row>
    <row r="323" spans="1:3" ht="14.25" customHeight="1" x14ac:dyDescent="0.35">
      <c r="A323" s="43"/>
      <c r="B323" s="44"/>
      <c r="C323" s="44"/>
    </row>
    <row r="324" spans="1:3" ht="14.25" customHeight="1" x14ac:dyDescent="0.35">
      <c r="A324" s="43"/>
      <c r="B324" s="44"/>
      <c r="C324" s="44"/>
    </row>
    <row r="325" spans="1:3" ht="14.25" customHeight="1" x14ac:dyDescent="0.35">
      <c r="A325" s="43"/>
      <c r="B325" s="44"/>
      <c r="C325" s="44"/>
    </row>
    <row r="326" spans="1:3" ht="14.25" customHeight="1" x14ac:dyDescent="0.35">
      <c r="A326" s="43"/>
      <c r="B326" s="44"/>
      <c r="C326" s="44"/>
    </row>
    <row r="327" spans="1:3" ht="14.25" customHeight="1" x14ac:dyDescent="0.35">
      <c r="A327" s="43"/>
      <c r="B327" s="44"/>
      <c r="C327" s="44"/>
    </row>
    <row r="328" spans="1:3" ht="14.25" customHeight="1" x14ac:dyDescent="0.35">
      <c r="A328" s="43"/>
      <c r="B328" s="44"/>
      <c r="C328" s="44"/>
    </row>
    <row r="329" spans="1:3" ht="14.25" customHeight="1" x14ac:dyDescent="0.35">
      <c r="A329" s="43"/>
      <c r="B329" s="44"/>
      <c r="C329" s="44"/>
    </row>
    <row r="330" spans="1:3" ht="14.25" customHeight="1" x14ac:dyDescent="0.35">
      <c r="A330" s="43"/>
      <c r="B330" s="44"/>
      <c r="C330" s="44"/>
    </row>
    <row r="331" spans="1:3" ht="14.25" customHeight="1" x14ac:dyDescent="0.35">
      <c r="A331" s="43"/>
      <c r="B331" s="44"/>
      <c r="C331" s="44"/>
    </row>
    <row r="332" spans="1:3" ht="14.25" customHeight="1" x14ac:dyDescent="0.35">
      <c r="A332" s="43"/>
      <c r="B332" s="44"/>
      <c r="C332" s="44"/>
    </row>
    <row r="333" spans="1:3" ht="14.25" customHeight="1" x14ac:dyDescent="0.35">
      <c r="A333" s="43"/>
      <c r="B333" s="44"/>
      <c r="C333" s="44"/>
    </row>
    <row r="334" spans="1:3" ht="14.25" customHeight="1" x14ac:dyDescent="0.35">
      <c r="A334" s="43"/>
      <c r="B334" s="44"/>
      <c r="C334" s="44"/>
    </row>
    <row r="335" spans="1:3" ht="14.25" customHeight="1" x14ac:dyDescent="0.35"/>
    <row r="336" spans="1:3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E3:G3"/>
    <mergeCell ref="H3:I3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000"/>
  <sheetViews>
    <sheetView topLeftCell="A40" workbookViewId="0">
      <selection activeCell="H7" sqref="H7"/>
    </sheetView>
  </sheetViews>
  <sheetFormatPr defaultColWidth="14.453125" defaultRowHeight="15" customHeight="1" x14ac:dyDescent="0.35"/>
  <cols>
    <col min="1" max="1" width="10.54296875" customWidth="1"/>
    <col min="2" max="2" width="10.453125" customWidth="1"/>
    <col min="3" max="4" width="8.81640625" customWidth="1"/>
    <col min="5" max="6" width="8.7265625" customWidth="1"/>
    <col min="7" max="7" width="43.81640625" customWidth="1"/>
    <col min="8" max="8" width="12.54296875" customWidth="1"/>
    <col min="9" max="10" width="8.81640625" customWidth="1"/>
    <col min="11" max="11" width="12" customWidth="1"/>
    <col min="12" max="12" width="12.54296875" customWidth="1"/>
    <col min="13" max="13" width="8.81640625" customWidth="1"/>
    <col min="14" max="14" width="12.54296875" customWidth="1"/>
    <col min="15" max="15" width="12.08984375" customWidth="1"/>
    <col min="16" max="26" width="8.7265625" customWidth="1"/>
  </cols>
  <sheetData>
    <row r="1" spans="1:8" ht="14.25" customHeight="1" x14ac:dyDescent="0.45">
      <c r="A1" s="111" t="s">
        <v>138</v>
      </c>
      <c r="B1" s="111"/>
      <c r="C1" s="111"/>
      <c r="D1" s="111"/>
      <c r="E1" s="111"/>
      <c r="F1" s="111"/>
      <c r="G1" s="111"/>
    </row>
    <row r="2" spans="1:8" ht="14.25" customHeight="1" x14ac:dyDescent="0.35">
      <c r="A2" s="38" t="s">
        <v>63</v>
      </c>
      <c r="B2" s="38" t="s">
        <v>66</v>
      </c>
      <c r="C2" s="40" t="s">
        <v>68</v>
      </c>
      <c r="D2" s="40" t="s">
        <v>69</v>
      </c>
    </row>
    <row r="3" spans="1:8" ht="14.25" customHeight="1" x14ac:dyDescent="0.35">
      <c r="A3" s="107">
        <v>39903</v>
      </c>
      <c r="B3" s="76">
        <v>8.9499999999999996E-2</v>
      </c>
      <c r="C3" s="76">
        <v>-5.673020572780909E-2</v>
      </c>
      <c r="D3" s="76">
        <v>0.20820444187635931</v>
      </c>
      <c r="G3" s="140" t="s">
        <v>139</v>
      </c>
      <c r="H3" s="138"/>
    </row>
    <row r="4" spans="1:8" ht="14.25" customHeight="1" x14ac:dyDescent="0.35">
      <c r="A4" s="107">
        <v>39933</v>
      </c>
      <c r="B4" s="76">
        <v>0.1018</v>
      </c>
      <c r="C4" s="76">
        <v>0.20651156373421009</v>
      </c>
      <c r="D4" s="76">
        <v>-0.15261549817520792</v>
      </c>
      <c r="G4" s="69" t="s">
        <v>71</v>
      </c>
      <c r="H4" s="70">
        <f>H23</f>
        <v>7.938622567109312E-3</v>
      </c>
    </row>
    <row r="5" spans="1:8" ht="14.25" customHeight="1" x14ac:dyDescent="0.35">
      <c r="A5" s="107">
        <v>39964</v>
      </c>
      <c r="B5" s="76">
        <v>5.21E-2</v>
      </c>
      <c r="C5" s="76">
        <v>0.15667807156607094</v>
      </c>
      <c r="D5" s="76">
        <v>0.31785050343120158</v>
      </c>
      <c r="G5" s="70" t="s">
        <v>72</v>
      </c>
      <c r="H5" s="70">
        <f>H24</f>
        <v>0.98190630919783473</v>
      </c>
    </row>
    <row r="6" spans="1:8" ht="14.25" customHeight="1" x14ac:dyDescent="0.35">
      <c r="A6" s="107">
        <v>39994</v>
      </c>
      <c r="B6" s="76">
        <v>4.3E-3</v>
      </c>
      <c r="C6" s="76">
        <v>9.1683845307957354E-2</v>
      </c>
      <c r="D6" s="76">
        <v>-4.7831949358522544E-2</v>
      </c>
      <c r="G6" s="70" t="s">
        <v>73</v>
      </c>
      <c r="H6" s="70">
        <f>H12</f>
        <v>0.22347850925454663</v>
      </c>
    </row>
    <row r="7" spans="1:8" ht="14.25" customHeight="1" x14ac:dyDescent="0.35">
      <c r="A7" s="107">
        <v>40025</v>
      </c>
      <c r="B7" s="76">
        <v>7.7199999999999991E-2</v>
      </c>
      <c r="C7" s="76">
        <v>0.10837460213354098</v>
      </c>
      <c r="D7" s="76">
        <v>0.16122782109050826</v>
      </c>
      <c r="G7" t="s">
        <v>74</v>
      </c>
    </row>
    <row r="8" spans="1:8" ht="14.25" customHeight="1" thickBot="1" x14ac:dyDescent="0.4">
      <c r="A8" s="107">
        <v>40056</v>
      </c>
      <c r="B8" s="76">
        <v>3.3300000000000003E-2</v>
      </c>
      <c r="C8" s="76">
        <v>-0.11202659822687767</v>
      </c>
      <c r="D8" s="76">
        <v>-4.2403830682181468E-2</v>
      </c>
    </row>
    <row r="9" spans="1:8" ht="14.25" customHeight="1" x14ac:dyDescent="0.35">
      <c r="A9" s="107">
        <v>40086</v>
      </c>
      <c r="B9" s="76">
        <v>4.0800000000000003E-2</v>
      </c>
      <c r="C9" s="76">
        <v>3.7778734140567524E-2</v>
      </c>
      <c r="D9" s="76">
        <v>-6.5761862193852175E-2</v>
      </c>
      <c r="G9" s="176" t="s">
        <v>75</v>
      </c>
      <c r="H9" s="176"/>
    </row>
    <row r="10" spans="1:8" ht="14.25" customHeight="1" x14ac:dyDescent="0.35">
      <c r="A10" s="107">
        <v>40117</v>
      </c>
      <c r="B10" s="76">
        <v>-2.5899999999999999E-2</v>
      </c>
      <c r="C10" s="76">
        <v>-6.8347694348324661E-2</v>
      </c>
      <c r="D10" s="76">
        <v>-8.8643973533885201E-2</v>
      </c>
      <c r="G10" s="173" t="s">
        <v>76</v>
      </c>
      <c r="H10" s="173">
        <v>0.47896362515546959</v>
      </c>
    </row>
    <row r="11" spans="1:8" ht="14.25" customHeight="1" x14ac:dyDescent="0.35">
      <c r="A11" s="107">
        <v>40147</v>
      </c>
      <c r="B11" s="76">
        <v>5.5599999999999997E-2</v>
      </c>
      <c r="C11" s="76">
        <v>4.059826897243024E-2</v>
      </c>
      <c r="D11" s="76">
        <v>8.4822993973032501E-2</v>
      </c>
      <c r="G11" s="173" t="s">
        <v>77</v>
      </c>
      <c r="H11" s="173">
        <v>0.22940615422206917</v>
      </c>
    </row>
    <row r="12" spans="1:8" ht="14.25" customHeight="1" x14ac:dyDescent="0.35">
      <c r="A12" s="107">
        <v>40178</v>
      </c>
      <c r="B12" s="76">
        <v>2.75E-2</v>
      </c>
      <c r="C12" s="76">
        <v>0.15869539377252595</v>
      </c>
      <c r="D12" s="76">
        <v>3.1079325647817447E-2</v>
      </c>
      <c r="G12" s="173" t="s">
        <v>78</v>
      </c>
      <c r="H12" s="173">
        <v>0.22347850925454663</v>
      </c>
    </row>
    <row r="13" spans="1:8" ht="14.25" customHeight="1" x14ac:dyDescent="0.35">
      <c r="A13" s="107">
        <v>40209</v>
      </c>
      <c r="B13" s="76">
        <v>-3.3599999999999998E-2</v>
      </c>
      <c r="C13" s="76">
        <v>-7.5014792372768646E-2</v>
      </c>
      <c r="D13" s="76">
        <v>-7.8959748879018243E-2</v>
      </c>
      <c r="E13">
        <f>INTERCEPT(C3:C134,B3:B134)</f>
        <v>7.9386225671092964E-3</v>
      </c>
      <c r="G13" s="173" t="s">
        <v>79</v>
      </c>
      <c r="H13" s="173">
        <v>7.0695401361755894E-2</v>
      </c>
    </row>
    <row r="14" spans="1:8" ht="14.25" customHeight="1" thickBot="1" x14ac:dyDescent="0.4">
      <c r="A14" s="107">
        <v>40237</v>
      </c>
      <c r="B14" s="76">
        <v>3.4000000000000002E-2</v>
      </c>
      <c r="C14" s="76">
        <v>4.7254136547162817E-2</v>
      </c>
      <c r="D14" s="76">
        <v>1.3607743231881075E-2</v>
      </c>
      <c r="G14" s="174" t="s">
        <v>80</v>
      </c>
      <c r="H14" s="174">
        <v>132</v>
      </c>
    </row>
    <row r="15" spans="1:8" ht="14.25" customHeight="1" x14ac:dyDescent="0.35">
      <c r="A15" s="107">
        <v>40268</v>
      </c>
      <c r="B15" s="76">
        <v>6.3099999999999989E-2</v>
      </c>
      <c r="C15" s="76">
        <v>6.0875611174411523E-2</v>
      </c>
      <c r="D15" s="76">
        <v>3.4133947143877283E-2</v>
      </c>
    </row>
    <row r="16" spans="1:8" ht="14.25" customHeight="1" thickBot="1" x14ac:dyDescent="0.4">
      <c r="A16" s="107">
        <v>40298</v>
      </c>
      <c r="B16" s="76">
        <v>0.02</v>
      </c>
      <c r="C16" s="76">
        <v>7.9460517279536964E-3</v>
      </c>
      <c r="D16" s="76">
        <v>-0.14094050226743293</v>
      </c>
      <c r="G16" t="s">
        <v>81</v>
      </c>
    </row>
    <row r="17" spans="1:15" ht="14.25" customHeight="1" x14ac:dyDescent="0.35">
      <c r="A17" s="107">
        <v>40329</v>
      </c>
      <c r="B17" s="76">
        <v>-7.8899999999999998E-2</v>
      </c>
      <c r="C17" s="76">
        <v>-4.8560680564574757E-2</v>
      </c>
      <c r="D17" s="76">
        <v>-7.9231300869383584E-2</v>
      </c>
      <c r="G17" s="175"/>
      <c r="H17" s="175" t="s">
        <v>82</v>
      </c>
      <c r="I17" s="175" t="s">
        <v>83</v>
      </c>
      <c r="J17" s="175" t="s">
        <v>84</v>
      </c>
      <c r="K17" s="175" t="s">
        <v>85</v>
      </c>
      <c r="L17" s="175" t="s">
        <v>86</v>
      </c>
    </row>
    <row r="18" spans="1:15" ht="14.25" customHeight="1" x14ac:dyDescent="0.35">
      <c r="A18" s="107">
        <v>40359</v>
      </c>
      <c r="B18" s="76">
        <v>-5.57E-2</v>
      </c>
      <c r="C18" s="76">
        <v>1.1283979666224065E-2</v>
      </c>
      <c r="D18" s="76">
        <v>8.7187104179180415E-3</v>
      </c>
      <c r="G18" s="173" t="s">
        <v>87</v>
      </c>
      <c r="H18" s="173">
        <v>1</v>
      </c>
      <c r="I18" s="173">
        <v>0.19342170595310659</v>
      </c>
      <c r="J18" s="173">
        <v>0.19342170595310659</v>
      </c>
      <c r="K18" s="173">
        <v>38.701061800931264</v>
      </c>
      <c r="L18" s="173">
        <v>6.2669673294766344E-9</v>
      </c>
    </row>
    <row r="19" spans="1:15" ht="14.25" customHeight="1" x14ac:dyDescent="0.35">
      <c r="A19" s="107">
        <v>40390</v>
      </c>
      <c r="B19" s="76">
        <v>6.93E-2</v>
      </c>
      <c r="C19" s="76">
        <v>7.7506720285614325E-2</v>
      </c>
      <c r="D19" s="76">
        <v>9.2515534054144928E-3</v>
      </c>
      <c r="G19" s="173" t="s">
        <v>88</v>
      </c>
      <c r="H19" s="173">
        <v>130</v>
      </c>
      <c r="I19" s="173">
        <v>0.6497191705809684</v>
      </c>
      <c r="J19" s="173">
        <v>4.9978397736997566E-3</v>
      </c>
      <c r="K19" s="173"/>
      <c r="L19" s="173"/>
    </row>
    <row r="20" spans="1:15" ht="14.25" customHeight="1" thickBot="1" x14ac:dyDescent="0.4">
      <c r="A20" s="107">
        <v>40421</v>
      </c>
      <c r="B20" s="76">
        <v>-4.7699999999999992E-2</v>
      </c>
      <c r="C20" s="76">
        <v>-0.11884655217122643</v>
      </c>
      <c r="D20" s="76">
        <v>6.7372273336688146E-2</v>
      </c>
      <c r="G20" s="174" t="s">
        <v>89</v>
      </c>
      <c r="H20" s="174">
        <v>131</v>
      </c>
      <c r="I20" s="174">
        <v>0.84314087653407499</v>
      </c>
      <c r="J20" s="174"/>
      <c r="K20" s="174"/>
      <c r="L20" s="174"/>
    </row>
    <row r="21" spans="1:15" ht="14.25" customHeight="1" thickBot="1" x14ac:dyDescent="0.4">
      <c r="A21" s="107">
        <v>40451</v>
      </c>
      <c r="B21" s="76">
        <v>9.5399999999999985E-2</v>
      </c>
      <c r="C21" s="76">
        <v>4.2944204438731579E-2</v>
      </c>
      <c r="D21" s="76">
        <v>0.11612641221532292</v>
      </c>
    </row>
    <row r="22" spans="1:15" ht="14.25" customHeight="1" x14ac:dyDescent="0.35">
      <c r="A22" s="107">
        <v>40482</v>
      </c>
      <c r="B22" s="76">
        <v>3.8800000000000001E-2</v>
      </c>
      <c r="C22" s="76">
        <v>0.1225077289830878</v>
      </c>
      <c r="D22" s="76">
        <v>1.5282012335348528E-2</v>
      </c>
      <c r="G22" s="175"/>
      <c r="H22" s="175" t="s">
        <v>90</v>
      </c>
      <c r="I22" s="175" t="s">
        <v>79</v>
      </c>
      <c r="J22" s="175" t="s">
        <v>91</v>
      </c>
      <c r="K22" s="175" t="s">
        <v>92</v>
      </c>
      <c r="L22" s="175" t="s">
        <v>93</v>
      </c>
      <c r="M22" s="175" t="s">
        <v>94</v>
      </c>
      <c r="N22" s="175" t="s">
        <v>95</v>
      </c>
      <c r="O22" s="175" t="s">
        <v>96</v>
      </c>
    </row>
    <row r="23" spans="1:15" ht="14.25" customHeight="1" x14ac:dyDescent="0.35">
      <c r="A23" s="107">
        <v>40512</v>
      </c>
      <c r="B23" s="76">
        <v>6.0000000000000001E-3</v>
      </c>
      <c r="C23" s="76">
        <v>2.2276135644697426E-2</v>
      </c>
      <c r="D23" s="76">
        <v>1.2385433724159334E-2</v>
      </c>
      <c r="G23" s="173" t="s">
        <v>97</v>
      </c>
      <c r="H23" s="173">
        <v>7.938622567109312E-3</v>
      </c>
      <c r="I23" s="173">
        <v>6.4741537391724332E-3</v>
      </c>
      <c r="J23" s="173">
        <v>1.2262023558501527</v>
      </c>
      <c r="K23" s="173">
        <v>0.22233901126001424</v>
      </c>
      <c r="L23" s="173">
        <v>-4.8697163323210019E-3</v>
      </c>
      <c r="M23" s="173">
        <v>2.0746961466539628E-2</v>
      </c>
      <c r="N23" s="173">
        <v>-4.8697163323210019E-3</v>
      </c>
      <c r="O23" s="173">
        <v>2.0746961466539628E-2</v>
      </c>
    </row>
    <row r="24" spans="1:15" ht="14.25" customHeight="1" thickBot="1" x14ac:dyDescent="0.4">
      <c r="A24" s="107">
        <v>40543</v>
      </c>
      <c r="B24" s="76">
        <v>6.8199999999999997E-2</v>
      </c>
      <c r="C24" s="76">
        <v>3.2729554102851818E-2</v>
      </c>
      <c r="D24" s="76">
        <v>7.7177161654477175E-2</v>
      </c>
      <c r="G24" s="174" t="s">
        <v>98</v>
      </c>
      <c r="H24" s="174">
        <v>0.98190630919783473</v>
      </c>
      <c r="I24" s="174">
        <v>0.1578369246362015</v>
      </c>
      <c r="J24" s="174">
        <v>6.2210177463925609</v>
      </c>
      <c r="K24" s="174">
        <v>6.2669673294768172E-9</v>
      </c>
      <c r="L24" s="174">
        <v>0.6696448302415553</v>
      </c>
      <c r="M24" s="174">
        <v>1.2941677881541143</v>
      </c>
      <c r="N24" s="174">
        <v>0.6696448302415553</v>
      </c>
      <c r="O24" s="174">
        <v>1.2941677881541143</v>
      </c>
    </row>
    <row r="25" spans="1:15" ht="14.25" customHeight="1" x14ac:dyDescent="0.35">
      <c r="A25" s="107">
        <v>40574</v>
      </c>
      <c r="B25" s="76">
        <v>1.9900000000000001E-2</v>
      </c>
      <c r="C25" s="76">
        <v>-4.1472336400103629E-2</v>
      </c>
      <c r="D25" s="76">
        <v>3.8819462490962561E-2</v>
      </c>
      <c r="G25" s="177" t="s">
        <v>1863</v>
      </c>
      <c r="H25" s="138"/>
    </row>
    <row r="26" spans="1:15" ht="14.25" customHeight="1" x14ac:dyDescent="0.35">
      <c r="A26" s="107">
        <v>40602</v>
      </c>
      <c r="B26" s="76">
        <v>3.49E-2</v>
      </c>
      <c r="C26" s="76">
        <v>4.0426339882298365E-2</v>
      </c>
      <c r="D26" s="76">
        <v>6.0132091854010236E-2</v>
      </c>
      <c r="G26" s="69" t="s">
        <v>71</v>
      </c>
      <c r="H26" s="70">
        <f>H45</f>
        <v>-9.1242426087822272E-3</v>
      </c>
    </row>
    <row r="27" spans="1:15" ht="14.25" customHeight="1" x14ac:dyDescent="0.35">
      <c r="A27" s="107">
        <v>40633</v>
      </c>
      <c r="B27" s="76">
        <v>4.5999999999999999E-3</v>
      </c>
      <c r="C27" s="76">
        <v>0.12989492338478859</v>
      </c>
      <c r="D27" s="76">
        <v>2.1170384670763267E-3</v>
      </c>
      <c r="G27" s="70" t="s">
        <v>72</v>
      </c>
      <c r="H27" s="70">
        <f>H46</f>
        <v>0.90211407289754808</v>
      </c>
    </row>
    <row r="28" spans="1:15" ht="14.25" customHeight="1" x14ac:dyDescent="0.35">
      <c r="A28" s="107">
        <v>40663</v>
      </c>
      <c r="B28" s="76">
        <v>2.8999999999999998E-2</v>
      </c>
      <c r="C28" s="76">
        <v>8.9973151976411092E-2</v>
      </c>
      <c r="D28" s="76">
        <v>4.2997380500774396E-2</v>
      </c>
      <c r="G28" s="70" t="s">
        <v>73</v>
      </c>
      <c r="H28" s="70">
        <f>H34</f>
        <v>0.20962370802437863</v>
      </c>
    </row>
    <row r="29" spans="1:15" ht="14.25" customHeight="1" x14ac:dyDescent="0.35">
      <c r="A29" s="107">
        <v>40694</v>
      </c>
      <c r="B29" s="76">
        <v>-1.2699999999999999E-2</v>
      </c>
      <c r="C29" s="76">
        <v>5.7084162951644757E-2</v>
      </c>
      <c r="D29" s="76">
        <v>-1.312308405521323E-2</v>
      </c>
      <c r="G29" t="s">
        <v>74</v>
      </c>
    </row>
    <row r="30" spans="1:15" ht="14.25" customHeight="1" thickBot="1" x14ac:dyDescent="0.4">
      <c r="A30" s="107">
        <v>40724</v>
      </c>
      <c r="B30" s="76">
        <v>-1.7500000000000002E-2</v>
      </c>
      <c r="C30" s="76">
        <v>-3.923854847951902E-2</v>
      </c>
      <c r="D30" s="76">
        <v>-7.3875086977150728E-2</v>
      </c>
    </row>
    <row r="31" spans="1:15" ht="14.25" customHeight="1" x14ac:dyDescent="0.35">
      <c r="A31" s="107">
        <v>40755</v>
      </c>
      <c r="B31" s="76">
        <v>-2.35E-2</v>
      </c>
      <c r="C31" s="76">
        <v>-2.6283850811244291E-2</v>
      </c>
      <c r="D31" s="76">
        <v>-2.0304480905710687E-3</v>
      </c>
      <c r="G31" s="176" t="s">
        <v>75</v>
      </c>
      <c r="H31" s="176"/>
    </row>
    <row r="32" spans="1:15" ht="14.25" customHeight="1" x14ac:dyDescent="0.35">
      <c r="A32" s="107">
        <v>40786</v>
      </c>
      <c r="B32" s="76">
        <v>-5.9900000000000002E-2</v>
      </c>
      <c r="C32" s="76">
        <v>-0.17534914147528824</v>
      </c>
      <c r="D32" s="76">
        <v>-5.9684342676801019E-2</v>
      </c>
      <c r="G32" s="173" t="s">
        <v>76</v>
      </c>
      <c r="H32" s="173">
        <v>0.46438896932781776</v>
      </c>
    </row>
    <row r="33" spans="1:15" ht="14.25" customHeight="1" x14ac:dyDescent="0.35">
      <c r="A33" s="107">
        <v>40816</v>
      </c>
      <c r="B33" s="76">
        <v>-7.5899999999999995E-2</v>
      </c>
      <c r="C33" s="76">
        <v>-6.7472311752570957E-2</v>
      </c>
      <c r="D33" s="76">
        <v>-9.9211841442999105E-2</v>
      </c>
      <c r="G33" s="173" t="s">
        <v>77</v>
      </c>
      <c r="H33" s="173">
        <v>0.21565711483335284</v>
      </c>
    </row>
    <row r="34" spans="1:15" ht="14.25" customHeight="1" x14ac:dyDescent="0.35">
      <c r="A34" s="107">
        <v>40847</v>
      </c>
      <c r="B34" s="76">
        <v>0.11349999999999999</v>
      </c>
      <c r="C34" s="76">
        <v>5.399567901094704E-2</v>
      </c>
      <c r="D34" s="76">
        <v>5.9701483746405826E-2</v>
      </c>
      <c r="G34" s="173" t="s">
        <v>78</v>
      </c>
      <c r="H34" s="173">
        <v>0.20962370802437863</v>
      </c>
    </row>
    <row r="35" spans="1:15" ht="14.25" customHeight="1" x14ac:dyDescent="0.35">
      <c r="A35" s="107">
        <v>40877</v>
      </c>
      <c r="B35" s="76">
        <v>-2.8000000000000004E-3</v>
      </c>
      <c r="C35" s="76">
        <v>7.6844065067949163E-3</v>
      </c>
      <c r="D35" s="76">
        <v>1.1818027146292209E-2</v>
      </c>
      <c r="G35" s="173" t="s">
        <v>79</v>
      </c>
      <c r="H35" s="173">
        <v>6.7583926695884089E-2</v>
      </c>
    </row>
    <row r="36" spans="1:15" ht="14.25" customHeight="1" thickBot="1" x14ac:dyDescent="0.4">
      <c r="A36" s="107">
        <v>40908</v>
      </c>
      <c r="B36" s="76">
        <v>7.4000000000000003E-3</v>
      </c>
      <c r="C36" s="76">
        <v>5.0840004285945817E-4</v>
      </c>
      <c r="D36" s="76">
        <v>-8.4799987792968712E-2</v>
      </c>
      <c r="G36" s="174" t="s">
        <v>80</v>
      </c>
      <c r="H36" s="174">
        <v>132</v>
      </c>
    </row>
    <row r="37" spans="1:15" ht="14.25" customHeight="1" x14ac:dyDescent="0.35">
      <c r="A37" s="107">
        <v>40939</v>
      </c>
      <c r="B37" s="76">
        <v>5.0499999999999996E-2</v>
      </c>
      <c r="C37" s="76">
        <v>3.6585330395809468E-2</v>
      </c>
      <c r="D37" s="76">
        <v>1.2237708722124818E-3</v>
      </c>
    </row>
    <row r="38" spans="1:15" ht="14.25" customHeight="1" thickBot="1" x14ac:dyDescent="0.4">
      <c r="A38" s="107">
        <v>40968</v>
      </c>
      <c r="B38" s="76">
        <v>4.4199999999999996E-2</v>
      </c>
      <c r="C38" s="76">
        <v>-6.8137226256897998E-2</v>
      </c>
      <c r="D38" s="76">
        <v>0.17548453215872373</v>
      </c>
      <c r="G38" t="s">
        <v>81</v>
      </c>
    </row>
    <row r="39" spans="1:15" ht="14.25" customHeight="1" x14ac:dyDescent="0.35">
      <c r="A39" s="107">
        <v>40999</v>
      </c>
      <c r="B39" s="76">
        <v>3.1099999999999999E-2</v>
      </c>
      <c r="C39" s="76">
        <v>0.21251967172734432</v>
      </c>
      <c r="D39" s="76">
        <v>1.6636998687748594E-2</v>
      </c>
      <c r="G39" s="175"/>
      <c r="H39" s="175" t="s">
        <v>82</v>
      </c>
      <c r="I39" s="175" t="s">
        <v>83</v>
      </c>
      <c r="J39" s="175" t="s">
        <v>84</v>
      </c>
      <c r="K39" s="175" t="s">
        <v>85</v>
      </c>
      <c r="L39" s="175" t="s">
        <v>86</v>
      </c>
    </row>
    <row r="40" spans="1:15" ht="14.25" customHeight="1" x14ac:dyDescent="0.35">
      <c r="A40" s="107">
        <v>41029</v>
      </c>
      <c r="B40" s="76">
        <v>-8.5000000000000006E-3</v>
      </c>
      <c r="C40" s="76">
        <v>5.7700649359138989E-2</v>
      </c>
      <c r="D40" s="76">
        <v>-5.7568706909083112E-2</v>
      </c>
      <c r="G40" s="173" t="s">
        <v>87</v>
      </c>
      <c r="H40" s="173">
        <v>1</v>
      </c>
      <c r="I40" s="173">
        <v>0.16326309449971643</v>
      </c>
      <c r="J40" s="173">
        <v>0.16326309449971643</v>
      </c>
      <c r="K40" s="173">
        <v>35.74383787822498</v>
      </c>
      <c r="L40" s="173">
        <v>2.0365356019797501E-8</v>
      </c>
    </row>
    <row r="41" spans="1:15" ht="14.25" customHeight="1" x14ac:dyDescent="0.35">
      <c r="A41" s="107">
        <v>41060</v>
      </c>
      <c r="B41" s="76">
        <v>-6.1900000000000004E-2</v>
      </c>
      <c r="C41" s="76">
        <v>-3.3813751624237717E-3</v>
      </c>
      <c r="D41" s="76">
        <v>-7.761937984496127E-2</v>
      </c>
      <c r="G41" s="173" t="s">
        <v>88</v>
      </c>
      <c r="H41" s="173">
        <v>130</v>
      </c>
      <c r="I41" s="173">
        <v>0.5937863291925024</v>
      </c>
      <c r="J41" s="173">
        <v>4.5675871476346342E-3</v>
      </c>
      <c r="K41" s="173"/>
      <c r="L41" s="173"/>
    </row>
    <row r="42" spans="1:15" ht="14.25" customHeight="1" thickBot="1" x14ac:dyDescent="0.4">
      <c r="A42" s="107">
        <v>41090</v>
      </c>
      <c r="B42" s="76">
        <v>3.8900000000000004E-2</v>
      </c>
      <c r="C42" s="76">
        <v>4.6502103028539965E-2</v>
      </c>
      <c r="D42" s="76">
        <v>5.4453809722130986E-2</v>
      </c>
      <c r="G42" s="174" t="s">
        <v>89</v>
      </c>
      <c r="H42" s="174">
        <v>131</v>
      </c>
      <c r="I42" s="174">
        <v>0.75704942369221884</v>
      </c>
      <c r="J42" s="174"/>
      <c r="K42" s="174"/>
      <c r="L42" s="174"/>
    </row>
    <row r="43" spans="1:15" ht="14.25" customHeight="1" thickBot="1" x14ac:dyDescent="0.4">
      <c r="A43" s="107">
        <v>41121</v>
      </c>
      <c r="B43" s="76">
        <v>7.9000000000000008E-3</v>
      </c>
      <c r="C43" s="76">
        <v>9.437662927173518E-3</v>
      </c>
      <c r="D43" s="76">
        <v>4.8294467381876816E-2</v>
      </c>
    </row>
    <row r="44" spans="1:15" ht="14.25" customHeight="1" x14ac:dyDescent="0.35">
      <c r="A44" s="107">
        <v>41152</v>
      </c>
      <c r="B44" s="76">
        <v>2.5499999999999998E-2</v>
      </c>
      <c r="C44" s="76">
        <v>1.1586764167078812E-2</v>
      </c>
      <c r="D44" s="76">
        <v>-3.233346853266085E-2</v>
      </c>
      <c r="G44" s="175"/>
      <c r="H44" s="175" t="s">
        <v>90</v>
      </c>
      <c r="I44" s="175" t="s">
        <v>79</v>
      </c>
      <c r="J44" s="175" t="s">
        <v>91</v>
      </c>
      <c r="K44" s="175" t="s">
        <v>92</v>
      </c>
      <c r="L44" s="175" t="s">
        <v>93</v>
      </c>
      <c r="M44" s="175" t="s">
        <v>94</v>
      </c>
      <c r="N44" s="175" t="s">
        <v>95</v>
      </c>
      <c r="O44" s="175" t="s">
        <v>96</v>
      </c>
    </row>
    <row r="45" spans="1:15" ht="14.25" customHeight="1" x14ac:dyDescent="0.35">
      <c r="A45" s="107">
        <v>41182</v>
      </c>
      <c r="B45" s="76">
        <v>2.7300000000000001E-2</v>
      </c>
      <c r="C45" s="76">
        <v>6.3819903400170505E-2</v>
      </c>
      <c r="D45" s="76">
        <v>5.3317147594199574E-2</v>
      </c>
      <c r="G45" s="173" t="s">
        <v>97</v>
      </c>
      <c r="H45" s="173">
        <v>-9.1242426087822272E-3</v>
      </c>
      <c r="I45" s="173">
        <v>6.1892106600700972E-3</v>
      </c>
      <c r="J45" s="173">
        <v>-1.4742174907129253</v>
      </c>
      <c r="K45" s="173">
        <v>0.1428405602683753</v>
      </c>
      <c r="L45" s="173">
        <v>-2.1368855703848739E-2</v>
      </c>
      <c r="M45" s="173">
        <v>3.1203704862842845E-3</v>
      </c>
      <c r="N45" s="173">
        <v>-2.1368855703848739E-2</v>
      </c>
      <c r="O45" s="173">
        <v>3.1203704862842845E-3</v>
      </c>
    </row>
    <row r="46" spans="1:15" ht="14.25" customHeight="1" thickBot="1" x14ac:dyDescent="0.4">
      <c r="A46" s="107">
        <v>41213</v>
      </c>
      <c r="B46" s="76">
        <v>-1.7600000000000001E-2</v>
      </c>
      <c r="C46" s="76">
        <v>-3.3759009268002807E-2</v>
      </c>
      <c r="D46" s="76">
        <v>5.92586211243986E-2</v>
      </c>
      <c r="G46" s="174" t="s">
        <v>98</v>
      </c>
      <c r="H46" s="174">
        <v>0.90211407289754808</v>
      </c>
      <c r="I46" s="174">
        <v>0.15089014191929437</v>
      </c>
      <c r="J46" s="174">
        <v>5.9786150468335828</v>
      </c>
      <c r="K46" s="174">
        <v>2.0365356019797723E-8</v>
      </c>
      <c r="L46" s="174">
        <v>0.60359597274929577</v>
      </c>
      <c r="M46" s="174">
        <v>1.2006321730458005</v>
      </c>
      <c r="N46" s="174">
        <v>0.60359597274929577</v>
      </c>
      <c r="O46" s="174">
        <v>1.2006321730458005</v>
      </c>
    </row>
    <row r="47" spans="1:15" ht="14.25" customHeight="1" x14ac:dyDescent="0.35">
      <c r="A47" s="107">
        <v>41243</v>
      </c>
      <c r="B47" s="76">
        <v>7.8000000000000005E-3</v>
      </c>
      <c r="C47" s="76">
        <v>6.4900935743782422E-4</v>
      </c>
      <c r="D47" s="76">
        <v>2.9887398555796352E-2</v>
      </c>
    </row>
    <row r="48" spans="1:15" ht="14.25" customHeight="1" x14ac:dyDescent="0.35">
      <c r="A48" s="107">
        <v>41274</v>
      </c>
      <c r="B48" s="76">
        <v>1.18E-2</v>
      </c>
      <c r="C48" s="76">
        <v>3.0588683504681791E-2</v>
      </c>
      <c r="D48" s="76">
        <v>-6.524291924229997E-3</v>
      </c>
    </row>
    <row r="49" spans="1:4" ht="14.25" customHeight="1" x14ac:dyDescent="0.35">
      <c r="A49" s="107">
        <v>41305</v>
      </c>
      <c r="B49" s="76">
        <v>5.57E-2</v>
      </c>
      <c r="C49" s="76">
        <v>-0.10675382847935955</v>
      </c>
      <c r="D49" s="76">
        <v>9.588665547674835E-2</v>
      </c>
    </row>
    <row r="50" spans="1:4" ht="14.25" customHeight="1" x14ac:dyDescent="0.35">
      <c r="A50" s="107">
        <v>41333</v>
      </c>
      <c r="B50" s="76">
        <v>1.29E-2</v>
      </c>
      <c r="C50" s="76">
        <v>8.130267257528967E-4</v>
      </c>
      <c r="D50" s="76">
        <v>-6.9671137291168583E-2</v>
      </c>
    </row>
    <row r="51" spans="1:4" ht="14.25" customHeight="1" x14ac:dyDescent="0.35">
      <c r="A51" s="107">
        <v>41364</v>
      </c>
      <c r="B51" s="76">
        <v>4.0300000000000002E-2</v>
      </c>
      <c r="C51" s="76">
        <v>9.0576745175519946E-2</v>
      </c>
      <c r="D51" s="76">
        <v>-3.7781510861000234E-3</v>
      </c>
    </row>
    <row r="52" spans="1:4" ht="14.25" customHeight="1" x14ac:dyDescent="0.35">
      <c r="A52" s="107">
        <v>41394</v>
      </c>
      <c r="B52" s="76">
        <v>1.55E-2</v>
      </c>
      <c r="C52" s="76">
        <v>-0.11135939399023964</v>
      </c>
      <c r="D52" s="76">
        <v>-2.1942336535343498E-2</v>
      </c>
    </row>
    <row r="53" spans="1:4" ht="14.25" customHeight="1" x14ac:dyDescent="0.35">
      <c r="A53" s="107">
        <v>41425</v>
      </c>
      <c r="B53" s="76">
        <v>2.7999999999999997E-2</v>
      </c>
      <c r="C53" s="76">
        <v>0.17770325493112793</v>
      </c>
      <c r="D53" s="76">
        <v>-3.6144587223970626E-2</v>
      </c>
    </row>
    <row r="54" spans="1:4" ht="14.25" customHeight="1" x14ac:dyDescent="0.35">
      <c r="A54" s="107">
        <v>41455</v>
      </c>
      <c r="B54" s="76">
        <v>-1.2E-2</v>
      </c>
      <c r="C54" s="76">
        <v>-1.6370141835465368E-2</v>
      </c>
      <c r="D54" s="76">
        <v>1.681031888787099E-2</v>
      </c>
    </row>
    <row r="55" spans="1:4" ht="14.25" customHeight="1" x14ac:dyDescent="0.35">
      <c r="A55" s="107">
        <v>41486</v>
      </c>
      <c r="B55" s="76">
        <v>5.6500000000000002E-2</v>
      </c>
      <c r="C55" s="76">
        <v>3.5455914299042268E-2</v>
      </c>
      <c r="D55" s="76">
        <v>7.4042754581329362E-2</v>
      </c>
    </row>
    <row r="56" spans="1:4" ht="14.25" customHeight="1" x14ac:dyDescent="0.35">
      <c r="A56" s="107">
        <v>41517</v>
      </c>
      <c r="B56" s="76">
        <v>-2.7099999999999999E-2</v>
      </c>
      <c r="C56" s="76">
        <v>-3.8085259281113393E-2</v>
      </c>
      <c r="D56" s="76">
        <v>-3.025961721739745E-3</v>
      </c>
    </row>
    <row r="57" spans="1:4" ht="14.25" customHeight="1" x14ac:dyDescent="0.35">
      <c r="A57" s="107">
        <v>41547</v>
      </c>
      <c r="B57" s="76">
        <v>3.7699999999999997E-2</v>
      </c>
      <c r="C57" s="76">
        <v>0.12895020517680567</v>
      </c>
      <c r="D57" s="76">
        <v>1.7155566759921026E-3</v>
      </c>
    </row>
    <row r="58" spans="1:4" ht="14.25" customHeight="1" x14ac:dyDescent="0.35">
      <c r="A58" s="107">
        <v>41578</v>
      </c>
      <c r="B58" s="76">
        <v>4.1799999999999997E-2</v>
      </c>
      <c r="C58" s="76">
        <v>2.702703200289247E-2</v>
      </c>
      <c r="D58" s="76">
        <v>8.1939050075600539E-2</v>
      </c>
    </row>
    <row r="59" spans="1:4" ht="14.25" customHeight="1" x14ac:dyDescent="0.35">
      <c r="A59" s="107">
        <v>41608</v>
      </c>
      <c r="B59" s="76">
        <v>3.1300000000000001E-2</v>
      </c>
      <c r="C59" s="76">
        <v>5.7644055164203012E-2</v>
      </c>
      <c r="D59" s="76">
        <v>-2.4473329770533847E-2</v>
      </c>
    </row>
    <row r="60" spans="1:4" ht="14.25" customHeight="1" x14ac:dyDescent="0.35">
      <c r="A60" s="107">
        <v>41639</v>
      </c>
      <c r="B60" s="76">
        <v>2.81E-2</v>
      </c>
      <c r="C60" s="76">
        <v>4.4431281829870661E-2</v>
      </c>
      <c r="D60" s="76">
        <v>2.4837715870577926E-2</v>
      </c>
    </row>
    <row r="61" spans="1:4" ht="14.25" customHeight="1" x14ac:dyDescent="0.35">
      <c r="A61" s="107">
        <v>41670</v>
      </c>
      <c r="B61" s="76">
        <v>-3.32E-2</v>
      </c>
      <c r="C61" s="76">
        <v>-0.10635275868295346</v>
      </c>
      <c r="D61" s="76">
        <v>-7.7335262780652725E-2</v>
      </c>
    </row>
    <row r="62" spans="1:4" ht="14.25" customHeight="1" x14ac:dyDescent="0.35">
      <c r="A62" s="107">
        <v>41698</v>
      </c>
      <c r="B62" s="76">
        <v>4.6500000000000007E-2</v>
      </c>
      <c r="C62" s="76">
        <v>5.2999049957582312E-2</v>
      </c>
      <c r="D62" s="76">
        <v>5.0818352238138687E-2</v>
      </c>
    </row>
    <row r="63" spans="1:4" ht="14.25" customHeight="1" x14ac:dyDescent="0.35">
      <c r="A63" s="107">
        <v>41729</v>
      </c>
      <c r="B63" s="76">
        <v>4.3E-3</v>
      </c>
      <c r="C63" s="76">
        <v>4.1892687669192297E-2</v>
      </c>
      <c r="D63" s="76">
        <v>-1.2561044260070986E-3</v>
      </c>
    </row>
    <row r="64" spans="1:4" ht="14.25" customHeight="1" x14ac:dyDescent="0.35">
      <c r="A64" s="107">
        <v>41759</v>
      </c>
      <c r="B64" s="76">
        <v>-1.9E-3</v>
      </c>
      <c r="C64" s="76">
        <v>-0.10760773347393005</v>
      </c>
      <c r="D64" s="76">
        <v>1.7607770832224201E-3</v>
      </c>
    </row>
    <row r="65" spans="1:4" ht="14.25" customHeight="1" x14ac:dyDescent="0.35">
      <c r="A65" s="107">
        <v>41790</v>
      </c>
      <c r="B65" s="76">
        <v>2.06E-2</v>
      </c>
      <c r="C65" s="76">
        <v>8.687190809361911E-2</v>
      </c>
      <c r="D65" s="76">
        <v>-2.4356590134853029E-2</v>
      </c>
    </row>
    <row r="66" spans="1:4" ht="14.25" customHeight="1" x14ac:dyDescent="0.35">
      <c r="A66" s="107">
        <v>41820</v>
      </c>
      <c r="B66" s="76">
        <v>2.6099999999999998E-2</v>
      </c>
      <c r="C66" s="76">
        <v>1.9683861361176502E-2</v>
      </c>
      <c r="D66" s="76">
        <v>-2.663749477816979E-2</v>
      </c>
    </row>
    <row r="67" spans="1:4" ht="14.25" customHeight="1" x14ac:dyDescent="0.35">
      <c r="A67" s="107">
        <v>41851</v>
      </c>
      <c r="B67" s="76">
        <v>-2.0400000000000001E-2</v>
      </c>
      <c r="C67" s="76">
        <v>2.1936239547377667E-2</v>
      </c>
      <c r="D67" s="76">
        <v>4.2305618377359799E-2</v>
      </c>
    </row>
    <row r="68" spans="1:4" ht="14.25" customHeight="1" x14ac:dyDescent="0.35">
      <c r="A68" s="107">
        <v>41882</v>
      </c>
      <c r="B68" s="76">
        <v>4.24E-2</v>
      </c>
      <c r="C68" s="76">
        <v>2.1751636121974949E-2</v>
      </c>
      <c r="D68" s="76">
        <v>7.3693625797341511E-2</v>
      </c>
    </row>
    <row r="69" spans="1:4" ht="14.25" customHeight="1" x14ac:dyDescent="0.35">
      <c r="A69" s="107">
        <v>41912</v>
      </c>
      <c r="B69" s="76">
        <v>-1.9699999999999999E-2</v>
      </c>
      <c r="C69" s="76">
        <v>-8.6835116713170901E-3</v>
      </c>
      <c r="D69" s="76">
        <v>-4.9615848951510833E-3</v>
      </c>
    </row>
    <row r="70" spans="1:4" ht="14.25" customHeight="1" x14ac:dyDescent="0.35">
      <c r="A70" s="107">
        <v>41943</v>
      </c>
      <c r="B70" s="76">
        <v>2.52E-2</v>
      </c>
      <c r="C70" s="76">
        <v>0.2192710446471573</v>
      </c>
      <c r="D70" s="76">
        <v>5.2475341241708051E-2</v>
      </c>
    </row>
    <row r="71" spans="1:4" ht="14.25" customHeight="1" x14ac:dyDescent="0.35">
      <c r="A71" s="107">
        <v>41973</v>
      </c>
      <c r="B71" s="76">
        <v>2.5499999999999998E-2</v>
      </c>
      <c r="C71" s="76">
        <v>-9.9188932622105264E-2</v>
      </c>
      <c r="D71" s="76">
        <v>2.3914214108260667E-2</v>
      </c>
    </row>
    <row r="72" spans="1:4" ht="14.25" customHeight="1" x14ac:dyDescent="0.35">
      <c r="A72" s="107">
        <v>42004</v>
      </c>
      <c r="B72" s="76">
        <v>-5.9999999999999995E-4</v>
      </c>
      <c r="C72" s="76">
        <v>7.9495761191112013E-2</v>
      </c>
      <c r="D72" s="76">
        <v>1.5424371953378646E-3</v>
      </c>
    </row>
    <row r="73" spans="1:4" ht="14.25" customHeight="1" x14ac:dyDescent="0.35">
      <c r="A73" s="107">
        <v>42035</v>
      </c>
      <c r="B73" s="76">
        <v>-3.1099999999999999E-2</v>
      </c>
      <c r="C73" s="76">
        <v>-7.554809909703708E-2</v>
      </c>
      <c r="D73" s="76">
        <v>-1.5179901300429455E-2</v>
      </c>
    </row>
    <row r="74" spans="1:4" ht="14.25" customHeight="1" x14ac:dyDescent="0.35">
      <c r="A74" s="107">
        <v>42063</v>
      </c>
      <c r="B74" s="76">
        <v>6.13E-2</v>
      </c>
      <c r="C74" s="76">
        <v>9.2807383066599858E-2</v>
      </c>
      <c r="D74" s="76">
        <v>-8.6563164365776046E-2</v>
      </c>
    </row>
    <row r="75" spans="1:4" ht="14.25" customHeight="1" x14ac:dyDescent="0.35">
      <c r="A75" s="107">
        <v>42094</v>
      </c>
      <c r="B75" s="76">
        <v>-1.1200000000000002E-2</v>
      </c>
      <c r="C75" s="76">
        <v>0.12054731502542593</v>
      </c>
      <c r="D75" s="76">
        <v>7.0922210774295724E-3</v>
      </c>
    </row>
    <row r="76" spans="1:4" ht="14.25" customHeight="1" x14ac:dyDescent="0.35">
      <c r="A76" s="107">
        <v>42124</v>
      </c>
      <c r="B76" s="76">
        <v>5.8999999999999999E-3</v>
      </c>
      <c r="C76" s="76">
        <v>-7.1578979492187278E-3</v>
      </c>
      <c r="D76" s="76">
        <v>4.868870940399761E-2</v>
      </c>
    </row>
    <row r="77" spans="1:4" ht="14.25" customHeight="1" x14ac:dyDescent="0.35">
      <c r="A77" s="107">
        <v>42155</v>
      </c>
      <c r="B77" s="76">
        <v>1.3600000000000001E-2</v>
      </c>
      <c r="C77" s="76">
        <v>5.7251924759868622E-2</v>
      </c>
      <c r="D77" s="76">
        <v>7.166834103471964E-2</v>
      </c>
    </row>
    <row r="78" spans="1:4" ht="14.25" customHeight="1" x14ac:dyDescent="0.35">
      <c r="A78" s="107">
        <v>42185</v>
      </c>
      <c r="B78" s="76">
        <v>-1.5300000000000001E-2</v>
      </c>
      <c r="C78" s="76">
        <v>9.8275123369419681E-2</v>
      </c>
      <c r="D78" s="76">
        <v>-5.142604399727535E-2</v>
      </c>
    </row>
    <row r="79" spans="1:4" ht="14.25" customHeight="1" x14ac:dyDescent="0.35">
      <c r="A79" s="107">
        <v>42216</v>
      </c>
      <c r="B79" s="76">
        <v>1.54E-2</v>
      </c>
      <c r="C79" s="76">
        <v>-3.4696818287419662E-2</v>
      </c>
      <c r="D79" s="76">
        <v>-9.0546746028587477E-2</v>
      </c>
    </row>
    <row r="80" spans="1:4" ht="14.25" customHeight="1" x14ac:dyDescent="0.35">
      <c r="A80" s="107">
        <v>42247</v>
      </c>
      <c r="B80" s="76">
        <v>-6.0400000000000002E-2</v>
      </c>
      <c r="C80" s="76">
        <v>-0.13072265924376336</v>
      </c>
      <c r="D80" s="76">
        <v>-9.2673784186448116E-2</v>
      </c>
    </row>
    <row r="81" spans="1:4" ht="14.25" customHeight="1" x14ac:dyDescent="0.35">
      <c r="A81" s="107">
        <v>42277</v>
      </c>
      <c r="B81" s="76">
        <v>-3.0699999999999998E-2</v>
      </c>
      <c r="C81" s="76">
        <v>-2.3068582278369609E-2</v>
      </c>
      <c r="D81" s="76">
        <v>1.1732313862247157E-2</v>
      </c>
    </row>
    <row r="82" spans="1:4" ht="14.25" customHeight="1" x14ac:dyDescent="0.35">
      <c r="A82" s="107">
        <v>42308</v>
      </c>
      <c r="B82" s="76">
        <v>7.7499999999999999E-2</v>
      </c>
      <c r="C82" s="76">
        <v>9.2893785705957965E-2</v>
      </c>
      <c r="D82" s="76">
        <v>-4.638525963567508E-3</v>
      </c>
    </row>
    <row r="83" spans="1:4" ht="14.25" customHeight="1" x14ac:dyDescent="0.35">
      <c r="A83" s="107">
        <v>42338</v>
      </c>
      <c r="B83" s="76">
        <v>5.6000000000000008E-3</v>
      </c>
      <c r="C83" s="76">
        <v>7.7048484987502608E-2</v>
      </c>
      <c r="D83" s="76">
        <v>-8.7033971406292099E-2</v>
      </c>
    </row>
    <row r="84" spans="1:4" ht="14.25" customHeight="1" x14ac:dyDescent="0.35">
      <c r="A84" s="107">
        <v>42369</v>
      </c>
      <c r="B84" s="76">
        <v>-2.1700000000000001E-2</v>
      </c>
      <c r="C84" s="76">
        <v>1.5797050532971191E-2</v>
      </c>
      <c r="D84" s="76">
        <v>2.4971282895106073E-2</v>
      </c>
    </row>
    <row r="85" spans="1:4" ht="14.25" customHeight="1" x14ac:dyDescent="0.35">
      <c r="A85" s="107">
        <v>42400</v>
      </c>
      <c r="B85" s="76">
        <v>-5.7699999999999994E-2</v>
      </c>
      <c r="C85" s="76">
        <v>-4.7231124532667437E-2</v>
      </c>
      <c r="D85" s="76">
        <v>-9.1927776359960869E-2</v>
      </c>
    </row>
    <row r="86" spans="1:4" ht="14.25" customHeight="1" x14ac:dyDescent="0.35">
      <c r="A86" s="107">
        <v>42429</v>
      </c>
      <c r="B86" s="76">
        <v>-8.0000000000000004E-4</v>
      </c>
      <c r="C86" s="76">
        <v>-9.1932137917376758E-3</v>
      </c>
      <c r="D86" s="76">
        <v>-0.19839379831465567</v>
      </c>
    </row>
    <row r="87" spans="1:4" ht="14.25" customHeight="1" x14ac:dyDescent="0.35">
      <c r="A87" s="107">
        <v>42460</v>
      </c>
      <c r="B87" s="76">
        <v>6.9599999999999995E-2</v>
      </c>
      <c r="C87" s="76">
        <v>-1.9138629127656313E-2</v>
      </c>
      <c r="D87" s="76">
        <v>0.13958271877733283</v>
      </c>
    </row>
    <row r="88" spans="1:4" ht="14.25" customHeight="1" x14ac:dyDescent="0.35">
      <c r="A88" s="107">
        <v>42490</v>
      </c>
      <c r="B88" s="76">
        <v>9.1999999999999998E-3</v>
      </c>
      <c r="C88" s="76">
        <v>2.5141377299797599E-3</v>
      </c>
      <c r="D88" s="76">
        <v>0.10277633702888454</v>
      </c>
    </row>
    <row r="89" spans="1:4" ht="14.25" customHeight="1" x14ac:dyDescent="0.35">
      <c r="A89" s="107">
        <v>42521</v>
      </c>
      <c r="B89" s="76">
        <v>1.78E-2</v>
      </c>
      <c r="C89" s="76">
        <v>0.15854419876821857</v>
      </c>
      <c r="D89" s="76">
        <v>7.3019995117187472E-2</v>
      </c>
    </row>
    <row r="90" spans="1:4" ht="14.25" customHeight="1" x14ac:dyDescent="0.35">
      <c r="A90" s="107">
        <v>42551</v>
      </c>
      <c r="B90" s="76">
        <v>-5.0000000000000001E-4</v>
      </c>
      <c r="C90" s="76">
        <v>4.2036430801015913E-2</v>
      </c>
      <c r="D90" s="76">
        <v>-0.1182855554641741</v>
      </c>
    </row>
    <row r="91" spans="1:4" ht="14.25" customHeight="1" x14ac:dyDescent="0.35">
      <c r="A91" s="107">
        <v>42582</v>
      </c>
      <c r="B91" s="76">
        <v>3.95E-2</v>
      </c>
      <c r="C91" s="76">
        <v>-9.9990393881278731E-3</v>
      </c>
      <c r="D91" s="76">
        <v>0.11290219170636459</v>
      </c>
    </row>
    <row r="92" spans="1:4" ht="14.25" customHeight="1" x14ac:dyDescent="0.35">
      <c r="A92" s="107">
        <v>42613</v>
      </c>
      <c r="B92" s="76">
        <v>5.0000000000000001E-3</v>
      </c>
      <c r="C92" s="76">
        <v>5.7331036005124882E-2</v>
      </c>
      <c r="D92" s="76">
        <v>-2.9665293437376027E-2</v>
      </c>
    </row>
    <row r="93" spans="1:4" ht="14.25" customHeight="1" x14ac:dyDescent="0.35">
      <c r="A93" s="107">
        <v>42643</v>
      </c>
      <c r="B93" s="76">
        <v>2.5000000000000001E-3</v>
      </c>
      <c r="C93" s="76">
        <v>-5.7511257471255734E-3</v>
      </c>
      <c r="D93" s="76">
        <v>-7.3282971394785928E-2</v>
      </c>
    </row>
    <row r="94" spans="1:4" ht="14.25" customHeight="1" x14ac:dyDescent="0.35">
      <c r="A94" s="107">
        <v>42674</v>
      </c>
      <c r="B94" s="76">
        <v>-2.0199999999999999E-2</v>
      </c>
      <c r="C94" s="76">
        <v>-9.2703973947138946E-2</v>
      </c>
      <c r="D94" s="76">
        <v>4.6735654242483694E-2</v>
      </c>
    </row>
    <row r="95" spans="1:4" ht="14.25" customHeight="1" x14ac:dyDescent="0.35">
      <c r="A95" s="107">
        <v>42704</v>
      </c>
      <c r="B95" s="76">
        <v>4.8600000000000004E-2</v>
      </c>
      <c r="C95" s="76">
        <v>0.12468028618139691</v>
      </c>
      <c r="D95" s="76">
        <v>0.10101273387321451</v>
      </c>
    </row>
    <row r="96" spans="1:4" ht="14.25" customHeight="1" x14ac:dyDescent="0.35">
      <c r="A96" s="107">
        <v>42735</v>
      </c>
      <c r="B96" s="76">
        <v>1.8100000000000002E-2</v>
      </c>
      <c r="C96" s="76">
        <v>9.6574952316284185E-2</v>
      </c>
      <c r="D96" s="76">
        <v>5.7696472689940458E-2</v>
      </c>
    </row>
    <row r="97" spans="1:4" ht="14.25" customHeight="1" x14ac:dyDescent="0.35">
      <c r="A97" s="107">
        <v>42766</v>
      </c>
      <c r="B97" s="76">
        <v>1.9400000000000001E-2</v>
      </c>
      <c r="C97" s="76">
        <v>-1.112185534710863E-3</v>
      </c>
      <c r="D97" s="76">
        <v>-4.2343505937124479E-2</v>
      </c>
    </row>
    <row r="98" spans="1:4" ht="14.25" customHeight="1" x14ac:dyDescent="0.35">
      <c r="A98" s="107">
        <v>42794</v>
      </c>
      <c r="B98" s="76">
        <v>3.5699999999999996E-2</v>
      </c>
      <c r="C98" s="76">
        <v>7.8003419534795129E-2</v>
      </c>
      <c r="D98" s="76">
        <v>0.18223256114511693</v>
      </c>
    </row>
    <row r="99" spans="1:4" ht="14.25" customHeight="1" x14ac:dyDescent="0.35">
      <c r="A99" s="107">
        <v>42825</v>
      </c>
      <c r="B99" s="76">
        <v>1.7000000000000001E-3</v>
      </c>
      <c r="C99" s="76">
        <v>-0.13711425334248653</v>
      </c>
      <c r="D99" s="76">
        <v>-3.1943205695471301E-2</v>
      </c>
    </row>
    <row r="100" spans="1:4" ht="14.25" customHeight="1" x14ac:dyDescent="0.35">
      <c r="A100" s="107">
        <v>42855</v>
      </c>
      <c r="B100" s="76">
        <v>1.09E-2</v>
      </c>
      <c r="C100" s="76">
        <v>4.0941103881037555E-3</v>
      </c>
      <c r="D100" s="76">
        <v>-3.4018843140865558E-3</v>
      </c>
    </row>
    <row r="101" spans="1:4" ht="14.25" customHeight="1" x14ac:dyDescent="0.35">
      <c r="A101" s="107">
        <v>42886</v>
      </c>
      <c r="B101" s="76">
        <v>1.06E-2</v>
      </c>
      <c r="C101" s="76">
        <v>-3.6423148304617084E-2</v>
      </c>
      <c r="D101" s="76">
        <v>1.1294248461667756E-2</v>
      </c>
    </row>
    <row r="102" spans="1:4" ht="14.25" customHeight="1" x14ac:dyDescent="0.35">
      <c r="A102" s="107">
        <v>42916</v>
      </c>
      <c r="B102" s="76">
        <v>7.8000000000000005E-3</v>
      </c>
      <c r="C102" s="76">
        <v>-4.5659264412981584E-2</v>
      </c>
      <c r="D102" s="76">
        <v>-6.7750214638133757E-2</v>
      </c>
    </row>
    <row r="103" spans="1:4" ht="14.25" customHeight="1" x14ac:dyDescent="0.35">
      <c r="A103" s="107">
        <v>42947</v>
      </c>
      <c r="B103" s="76">
        <v>1.8700000000000001E-2</v>
      </c>
      <c r="C103" s="76">
        <v>4.4001935099874746E-2</v>
      </c>
      <c r="D103" s="76">
        <v>5.0104302855878892E-2</v>
      </c>
    </row>
    <row r="104" spans="1:4" ht="14.25" customHeight="1" x14ac:dyDescent="0.35">
      <c r="A104" s="107">
        <v>42978</v>
      </c>
      <c r="B104" s="76">
        <v>1.6000000000000001E-3</v>
      </c>
      <c r="C104" s="76">
        <v>-5.1613106586754873E-2</v>
      </c>
      <c r="D104" s="76">
        <v>-4.8865329321420833E-2</v>
      </c>
    </row>
    <row r="105" spans="1:4" ht="14.25" customHeight="1" x14ac:dyDescent="0.35">
      <c r="A105" s="107">
        <v>43008</v>
      </c>
      <c r="B105" s="76">
        <v>2.5099999999999997E-2</v>
      </c>
      <c r="C105" s="76">
        <v>2.4976447371889986E-2</v>
      </c>
      <c r="D105" s="76">
        <v>-7.0175068460605269E-2</v>
      </c>
    </row>
    <row r="106" spans="1:4" ht="14.25" customHeight="1" x14ac:dyDescent="0.35">
      <c r="A106" s="107">
        <v>43039</v>
      </c>
      <c r="B106" s="76">
        <v>2.2499999999999999E-2</v>
      </c>
      <c r="C106" s="76">
        <v>0.10487699112451256</v>
      </c>
      <c r="D106" s="76">
        <v>-1.0689811605796505E-2</v>
      </c>
    </row>
    <row r="107" spans="1:4" ht="14.25" customHeight="1" x14ac:dyDescent="0.35">
      <c r="A107" s="107">
        <v>43069</v>
      </c>
      <c r="B107" s="76">
        <v>3.1200000000000002E-2</v>
      </c>
      <c r="C107" s="76">
        <v>7.425528083246738E-2</v>
      </c>
      <c r="D107" s="76">
        <v>-2.7988065576854602E-2</v>
      </c>
    </row>
    <row r="108" spans="1:4" ht="14.25" customHeight="1" x14ac:dyDescent="0.35">
      <c r="A108" s="107">
        <v>43100</v>
      </c>
      <c r="B108" s="76">
        <v>1.06E-2</v>
      </c>
      <c r="C108" s="76">
        <v>-1.2535948911779992E-2</v>
      </c>
      <c r="D108" s="76">
        <v>1.6406988438350098E-3</v>
      </c>
    </row>
    <row r="109" spans="1:4" ht="14.25" customHeight="1" x14ac:dyDescent="0.35">
      <c r="A109" s="107">
        <v>43131</v>
      </c>
      <c r="B109" s="76">
        <v>5.5800000000000002E-2</v>
      </c>
      <c r="C109" s="76">
        <v>5.083906036711127E-2</v>
      </c>
      <c r="D109" s="76">
        <v>0.18300849935909913</v>
      </c>
    </row>
    <row r="110" spans="1:4" ht="14.25" customHeight="1" x14ac:dyDescent="0.35">
      <c r="A110" s="107">
        <v>43159</v>
      </c>
      <c r="B110" s="76">
        <v>-3.6499999999999998E-2</v>
      </c>
      <c r="C110" s="76">
        <v>1.9308204266474161E-2</v>
      </c>
      <c r="D110" s="76">
        <v>-5.1458806302803868E-2</v>
      </c>
    </row>
    <row r="111" spans="1:4" ht="14.25" customHeight="1" x14ac:dyDescent="0.35">
      <c r="A111" s="107">
        <v>43190</v>
      </c>
      <c r="B111" s="76">
        <v>-2.35E-2</v>
      </c>
      <c r="C111" s="76">
        <v>4.7832297442036299E-2</v>
      </c>
      <c r="D111" s="76">
        <v>-2.0953385360483544E-2</v>
      </c>
    </row>
    <row r="112" spans="1:4" ht="14.25" customHeight="1" x14ac:dyDescent="0.35">
      <c r="A112" s="107">
        <v>43220</v>
      </c>
      <c r="B112" s="76">
        <v>2.8999999999999998E-3</v>
      </c>
      <c r="C112" s="76">
        <v>0.12098618173123239</v>
      </c>
      <c r="D112" s="76">
        <v>-2.4526846470254646E-2</v>
      </c>
    </row>
    <row r="113" spans="1:4" ht="14.25" customHeight="1" x14ac:dyDescent="0.35">
      <c r="A113" s="107">
        <v>43251</v>
      </c>
      <c r="B113" s="76">
        <v>2.6499999999999999E-2</v>
      </c>
      <c r="C113" s="76">
        <v>2.1613681908176322E-2</v>
      </c>
      <c r="D113" s="76">
        <v>-3.8503699025628266E-2</v>
      </c>
    </row>
    <row r="114" spans="1:4" ht="14.25" customHeight="1" x14ac:dyDescent="0.35">
      <c r="A114" s="107">
        <v>43281</v>
      </c>
      <c r="B114" s="76">
        <v>4.7999999999999996E-3</v>
      </c>
      <c r="C114" s="76">
        <v>2.6987804704823384E-2</v>
      </c>
      <c r="D114" s="76">
        <v>9.0044609194024454E-4</v>
      </c>
    </row>
    <row r="115" spans="1:4" ht="14.25" customHeight="1" x14ac:dyDescent="0.35">
      <c r="A115" s="107">
        <v>43312</v>
      </c>
      <c r="B115" s="76">
        <v>3.1899999999999998E-2</v>
      </c>
      <c r="C115" s="76">
        <v>8.9545833333333255E-2</v>
      </c>
      <c r="D115" s="76">
        <v>-9.9202099938612946E-3</v>
      </c>
    </row>
    <row r="116" spans="1:4" ht="14.25" customHeight="1" x14ac:dyDescent="0.35">
      <c r="A116" s="107">
        <v>43343</v>
      </c>
      <c r="B116" s="76">
        <v>3.44E-2</v>
      </c>
      <c r="C116" s="76">
        <v>0.19410405727923635</v>
      </c>
      <c r="D116" s="76">
        <v>-6.1631738194220582E-2</v>
      </c>
    </row>
    <row r="117" spans="1:4" ht="14.25" customHeight="1" x14ac:dyDescent="0.35">
      <c r="A117" s="107">
        <v>43373</v>
      </c>
      <c r="B117" s="76">
        <v>5.9999999999999995E-4</v>
      </c>
      <c r="C117" s="76">
        <v>-5.4593824557915449E-2</v>
      </c>
      <c r="D117" s="76">
        <v>5.5902208908027939E-2</v>
      </c>
    </row>
    <row r="118" spans="1:4" ht="14.25" customHeight="1" x14ac:dyDescent="0.35">
      <c r="A118" s="107">
        <v>43404</v>
      </c>
      <c r="B118" s="76">
        <v>-7.6799999999999993E-2</v>
      </c>
      <c r="C118" s="76">
        <v>-9.5323288141714299E-2</v>
      </c>
      <c r="D118" s="76">
        <v>-0.10246760208826221</v>
      </c>
    </row>
    <row r="119" spans="1:4" ht="14.25" customHeight="1" x14ac:dyDescent="0.35">
      <c r="A119" s="107">
        <v>43434</v>
      </c>
      <c r="B119" s="76">
        <v>1.6899999999999998E-2</v>
      </c>
      <c r="C119" s="76">
        <v>0.10487784206485798</v>
      </c>
      <c r="D119" s="76">
        <v>-7.8337210366174553E-2</v>
      </c>
    </row>
    <row r="120" spans="1:4" ht="14.25" customHeight="1" x14ac:dyDescent="0.35">
      <c r="A120" s="107">
        <v>43465</v>
      </c>
      <c r="B120" s="76">
        <v>-9.5500000000000002E-2</v>
      </c>
      <c r="C120" s="76">
        <v>-0.14174368172440333</v>
      </c>
      <c r="D120" s="76">
        <v>-6.5506116830669189E-2</v>
      </c>
    </row>
    <row r="121" spans="1:4" ht="14.25" customHeight="1" x14ac:dyDescent="0.35">
      <c r="A121" s="107">
        <v>43496</v>
      </c>
      <c r="B121" s="76">
        <v>8.4100000000000008E-2</v>
      </c>
      <c r="C121" s="76">
        <v>3.2487210242337021E-2</v>
      </c>
      <c r="D121" s="76">
        <v>2.8401517776996722E-2</v>
      </c>
    </row>
    <row r="122" spans="1:4" ht="14.25" customHeight="1" x14ac:dyDescent="0.35">
      <c r="A122" s="107">
        <v>43524</v>
      </c>
      <c r="B122" s="76">
        <v>3.4000000000000002E-2</v>
      </c>
      <c r="C122" s="76">
        <v>3.9280352244730941E-2</v>
      </c>
      <c r="D122" s="76">
        <v>-3.793578853817501E-2</v>
      </c>
    </row>
    <row r="123" spans="1:4" ht="14.25" customHeight="1" x14ac:dyDescent="0.35">
      <c r="A123" s="107">
        <v>43555</v>
      </c>
      <c r="B123" s="76">
        <v>1.1000000000000001E-2</v>
      </c>
      <c r="C123" s="76">
        <v>-4.9160515107329092E-2</v>
      </c>
      <c r="D123" s="76">
        <v>-2.0884351146465011E-3</v>
      </c>
    </row>
    <row r="124" spans="1:4" ht="14.25" customHeight="1" x14ac:dyDescent="0.35">
      <c r="A124" s="107">
        <v>43585</v>
      </c>
      <c r="B124" s="76">
        <v>3.9599999999999996E-2</v>
      </c>
      <c r="C124" s="76">
        <v>0.10701167492778783</v>
      </c>
      <c r="D124" s="76">
        <v>-1.4536401944740826E-2</v>
      </c>
    </row>
    <row r="125" spans="1:4" ht="14.25" customHeight="1" x14ac:dyDescent="0.35">
      <c r="A125" s="107">
        <v>43616</v>
      </c>
      <c r="B125" s="76">
        <v>-6.9400000000000003E-2</v>
      </c>
      <c r="C125" s="76">
        <v>-4.3133555386333018E-2</v>
      </c>
      <c r="D125" s="76">
        <v>-4.3896190084743523E-3</v>
      </c>
    </row>
    <row r="126" spans="1:4" ht="14.25" customHeight="1" x14ac:dyDescent="0.35">
      <c r="A126" s="107">
        <v>43646</v>
      </c>
      <c r="B126" s="76">
        <v>6.93E-2</v>
      </c>
      <c r="C126" s="76">
        <v>9.5416011989574862E-2</v>
      </c>
      <c r="D126" s="76">
        <v>6.3604438880584785E-2</v>
      </c>
    </row>
    <row r="127" spans="1:4" ht="14.25" customHeight="1" x14ac:dyDescent="0.35">
      <c r="A127" s="107">
        <v>43677</v>
      </c>
      <c r="B127" s="76">
        <v>1.1899999999999999E-2</v>
      </c>
      <c r="C127" s="76">
        <v>5.1212524699674869E-2</v>
      </c>
      <c r="D127" s="76">
        <v>4.692429124758736E-2</v>
      </c>
    </row>
    <row r="128" spans="1:4" ht="14.25" customHeight="1" x14ac:dyDescent="0.35">
      <c r="A128" s="107">
        <v>43708</v>
      </c>
      <c r="B128" s="76">
        <v>-2.58E-2</v>
      </c>
      <c r="C128" s="76">
        <v>3.2797291434946634E-2</v>
      </c>
      <c r="D128" s="76">
        <v>-8.7514777195696739E-2</v>
      </c>
    </row>
    <row r="129" spans="1:4" ht="14.25" customHeight="1" x14ac:dyDescent="0.35">
      <c r="A129" s="107">
        <v>43738</v>
      </c>
      <c r="B129" s="76">
        <v>1.43E-2</v>
      </c>
      <c r="C129" s="76">
        <v>-2.4043867028662656E-2</v>
      </c>
      <c r="D129" s="76">
        <v>5.8301087692255414E-2</v>
      </c>
    </row>
    <row r="130" spans="1:4" ht="14.25" customHeight="1" x14ac:dyDescent="0.35">
      <c r="A130" s="107">
        <v>43769</v>
      </c>
      <c r="B130" s="76">
        <v>2.06E-2</v>
      </c>
      <c r="C130" s="76">
        <v>8.2146096619514719E-2</v>
      </c>
      <c r="D130" s="76">
        <v>-4.7773383633169908E-2</v>
      </c>
    </row>
    <row r="131" spans="1:4" ht="14.25" customHeight="1" x14ac:dyDescent="0.35">
      <c r="A131" s="107">
        <v>43799</v>
      </c>
      <c r="B131" s="76">
        <v>3.8699999999999998E-2</v>
      </c>
      <c r="C131" s="76">
        <v>-0.17515914609457142</v>
      </c>
      <c r="D131" s="76">
        <v>-1.2681461701569828E-2</v>
      </c>
    </row>
    <row r="132" spans="1:4" ht="14.25" customHeight="1" x14ac:dyDescent="0.35">
      <c r="A132" s="107">
        <v>43830</v>
      </c>
      <c r="B132" s="76">
        <v>2.7699999999999999E-2</v>
      </c>
      <c r="C132" s="76">
        <v>-2.2878710620579709E-2</v>
      </c>
      <c r="D132" s="76">
        <v>7.6719109882073935E-2</v>
      </c>
    </row>
    <row r="133" spans="1:4" ht="14.25" customHeight="1" x14ac:dyDescent="0.35">
      <c r="A133" s="107">
        <v>43861</v>
      </c>
      <c r="B133" s="76">
        <v>-1.1000000000000001E-3</v>
      </c>
      <c r="C133" s="76">
        <v>2.3098784020611243E-2</v>
      </c>
      <c r="D133" s="76">
        <v>-9.0266099040147957E-2</v>
      </c>
    </row>
    <row r="134" spans="1:4" ht="14.25" customHeight="1" x14ac:dyDescent="0.35">
      <c r="A134" s="107">
        <v>43890</v>
      </c>
      <c r="B134" s="76">
        <v>-8.1300000000000011E-2</v>
      </c>
      <c r="C134" s="76">
        <v>-0.11149535800123136</v>
      </c>
      <c r="D134" s="76">
        <v>-0.10572030345869279</v>
      </c>
    </row>
    <row r="135" spans="1:4" ht="14.25" customHeight="1" x14ac:dyDescent="0.35"/>
    <row r="136" spans="1:4" ht="14.25" customHeight="1" x14ac:dyDescent="0.35"/>
    <row r="137" spans="1:4" ht="14.25" customHeight="1" x14ac:dyDescent="0.35"/>
    <row r="138" spans="1:4" ht="14.25" customHeight="1" x14ac:dyDescent="0.35"/>
    <row r="139" spans="1:4" ht="14.25" customHeight="1" x14ac:dyDescent="0.35"/>
    <row r="140" spans="1:4" ht="14.25" customHeight="1" x14ac:dyDescent="0.35"/>
    <row r="141" spans="1:4" ht="14.25" customHeight="1" x14ac:dyDescent="0.35"/>
    <row r="142" spans="1:4" ht="14.25" customHeight="1" x14ac:dyDescent="0.35"/>
    <row r="143" spans="1:4" ht="14.25" customHeight="1" x14ac:dyDescent="0.35"/>
    <row r="144" spans="1: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G3:H3"/>
    <mergeCell ref="G25:H25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workbookViewId="0"/>
  </sheetViews>
  <sheetFormatPr defaultColWidth="14.453125" defaultRowHeight="15" customHeight="1" x14ac:dyDescent="0.35"/>
  <cols>
    <col min="1" max="1" width="10.453125" customWidth="1"/>
    <col min="2" max="3" width="8.7265625" customWidth="1"/>
    <col min="4" max="4" width="12.453125" customWidth="1"/>
    <col min="5" max="5" width="42.453125" customWidth="1"/>
    <col min="6" max="6" width="18.81640625" customWidth="1"/>
    <col min="7" max="7" width="11.81640625" customWidth="1"/>
    <col min="8" max="26" width="8.7265625" customWidth="1"/>
  </cols>
  <sheetData>
    <row r="1" spans="1:9" ht="14.25" customHeight="1" x14ac:dyDescent="0.35"/>
    <row r="2" spans="1:9" ht="26.25" customHeight="1" x14ac:dyDescent="0.45">
      <c r="A2" s="38" t="s">
        <v>63</v>
      </c>
      <c r="B2" s="106" t="s">
        <v>64</v>
      </c>
      <c r="C2" s="106" t="s">
        <v>65</v>
      </c>
      <c r="E2" s="112" t="s">
        <v>140</v>
      </c>
      <c r="F2" s="113"/>
      <c r="G2" s="114"/>
    </row>
    <row r="3" spans="1:9" ht="14.25" customHeight="1" x14ac:dyDescent="0.45">
      <c r="A3" s="107">
        <v>44592</v>
      </c>
      <c r="B3" s="76">
        <v>1.2768116717356337E-2</v>
      </c>
      <c r="C3" s="76">
        <v>5.8911739117857076E-2</v>
      </c>
      <c r="E3" s="99" t="s">
        <v>130</v>
      </c>
      <c r="G3" s="115"/>
      <c r="H3" s="111"/>
      <c r="I3" s="111"/>
    </row>
    <row r="4" spans="1:9" ht="14.25" customHeight="1" x14ac:dyDescent="0.35">
      <c r="A4" s="107">
        <v>44620</v>
      </c>
      <c r="B4" s="76">
        <v>-4.9602103842867118E-2</v>
      </c>
      <c r="C4" s="76">
        <v>5.7556164336200144E-2</v>
      </c>
      <c r="E4" s="99"/>
      <c r="G4" s="116"/>
    </row>
    <row r="5" spans="1:9" ht="14.25" customHeight="1" x14ac:dyDescent="0.35">
      <c r="A5" s="107">
        <v>44651</v>
      </c>
      <c r="B5" s="76">
        <v>8.1330821227120431E-2</v>
      </c>
      <c r="C5" s="76">
        <v>5.9875603291345447E-2</v>
      </c>
      <c r="E5" s="117"/>
      <c r="F5" s="118" t="s">
        <v>131</v>
      </c>
      <c r="G5" s="119" t="s">
        <v>132</v>
      </c>
    </row>
    <row r="6" spans="1:9" ht="14.25" customHeight="1" x14ac:dyDescent="0.35">
      <c r="A6" s="107">
        <v>44681</v>
      </c>
      <c r="B6" s="76">
        <v>4.3438912291495768E-2</v>
      </c>
      <c r="C6" s="76">
        <v>2.084654127680774E-2</v>
      </c>
      <c r="E6" s="99" t="s">
        <v>28</v>
      </c>
      <c r="F6" s="71">
        <v>-2.7510001340058468E-3</v>
      </c>
      <c r="G6" s="100">
        <v>1.1967886625940977E-2</v>
      </c>
    </row>
    <row r="7" spans="1:9" ht="14.25" customHeight="1" x14ac:dyDescent="0.35">
      <c r="A7" s="107">
        <v>44712</v>
      </c>
      <c r="B7" s="76">
        <v>8.499566329525865E-2</v>
      </c>
      <c r="C7" s="76">
        <v>4.596885450835364E-2</v>
      </c>
      <c r="E7" s="99" t="s">
        <v>32</v>
      </c>
      <c r="F7" s="71">
        <v>2.0546692428220156E-2</v>
      </c>
      <c r="G7" s="100">
        <v>1.3084805784243574E-2</v>
      </c>
    </row>
    <row r="8" spans="1:9" ht="14.25" customHeight="1" x14ac:dyDescent="0.35">
      <c r="A8" s="107">
        <v>44742</v>
      </c>
      <c r="B8" s="76">
        <v>-3.0109241494908345E-2</v>
      </c>
      <c r="C8" s="76">
        <v>-0.23351924716601058</v>
      </c>
      <c r="E8" s="99" t="s">
        <v>80</v>
      </c>
      <c r="F8" s="71">
        <v>12</v>
      </c>
      <c r="G8" s="100">
        <v>12</v>
      </c>
    </row>
    <row r="9" spans="1:9" ht="14.25" customHeight="1" x14ac:dyDescent="0.35">
      <c r="A9" s="107">
        <v>44773</v>
      </c>
      <c r="B9" s="76">
        <v>0.1884615604962796</v>
      </c>
      <c r="C9" s="76">
        <v>1.8083574214346587E-2</v>
      </c>
      <c r="E9" s="99" t="s">
        <v>133</v>
      </c>
      <c r="F9" s="71">
        <v>0</v>
      </c>
      <c r="G9" s="100"/>
    </row>
    <row r="10" spans="1:9" ht="14.25" customHeight="1" x14ac:dyDescent="0.35">
      <c r="A10" s="107">
        <v>44804</v>
      </c>
      <c r="B10" s="76">
        <v>-0.36346123141180142</v>
      </c>
      <c r="C10" s="76">
        <v>7.4082055694165705E-2</v>
      </c>
      <c r="E10" s="99" t="s">
        <v>82</v>
      </c>
      <c r="F10" s="71">
        <v>21</v>
      </c>
      <c r="G10" s="100"/>
    </row>
    <row r="11" spans="1:9" ht="14.25" customHeight="1" x14ac:dyDescent="0.35">
      <c r="A11" s="107">
        <v>44834</v>
      </c>
      <c r="B11" s="76">
        <v>-7.9772472080812284E-2</v>
      </c>
      <c r="C11" s="76">
        <v>-0.16738931915518895</v>
      </c>
      <c r="E11" s="99" t="s">
        <v>91</v>
      </c>
      <c r="F11" s="71">
        <v>-0.27803052498995173</v>
      </c>
      <c r="G11" s="100"/>
    </row>
    <row r="12" spans="1:9" ht="14.25" customHeight="1" x14ac:dyDescent="0.35">
      <c r="A12" s="107">
        <v>44865</v>
      </c>
      <c r="B12" s="76">
        <v>0.16811374602786233</v>
      </c>
      <c r="C12" s="76">
        <v>0.19534936796698399</v>
      </c>
      <c r="E12" s="99" t="s">
        <v>134</v>
      </c>
      <c r="F12" s="71">
        <v>0.39185397074750439</v>
      </c>
      <c r="G12" s="100"/>
    </row>
    <row r="13" spans="1:9" ht="14.25" customHeight="1" x14ac:dyDescent="0.35">
      <c r="A13" s="107">
        <v>44895</v>
      </c>
      <c r="B13" s="76">
        <v>-2.6914406616128206E-2</v>
      </c>
      <c r="C13" s="76">
        <v>6.2208709012100627E-2</v>
      </c>
      <c r="E13" s="99" t="s">
        <v>135</v>
      </c>
      <c r="F13" s="71">
        <v>1.7207429028118781</v>
      </c>
      <c r="G13" s="100"/>
    </row>
    <row r="14" spans="1:9" ht="14.25" customHeight="1" x14ac:dyDescent="0.35">
      <c r="A14" s="107">
        <v>44926</v>
      </c>
      <c r="B14" s="76">
        <v>-6.2261366216925906E-2</v>
      </c>
      <c r="C14" s="76">
        <v>-4.8359403585669702E-2</v>
      </c>
      <c r="E14" s="99" t="s">
        <v>136</v>
      </c>
      <c r="F14" s="71">
        <v>0.78370794149500878</v>
      </c>
      <c r="G14" s="100"/>
    </row>
    <row r="15" spans="1:9" ht="14.25" customHeight="1" x14ac:dyDescent="0.35">
      <c r="E15" s="103" t="s">
        <v>137</v>
      </c>
      <c r="F15" s="104">
        <v>2.07961384472768</v>
      </c>
      <c r="G15" s="105"/>
    </row>
    <row r="16" spans="1: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00"/>
  <sheetViews>
    <sheetView tabSelected="1" topLeftCell="A38" workbookViewId="0">
      <selection activeCell="H30" sqref="H30"/>
    </sheetView>
  </sheetViews>
  <sheetFormatPr defaultColWidth="14.453125" defaultRowHeight="15" customHeight="1" x14ac:dyDescent="0.35"/>
  <cols>
    <col min="1" max="2" width="10.453125" customWidth="1"/>
    <col min="3" max="3" width="9.54296875" customWidth="1"/>
    <col min="4" max="4" width="6.7265625" customWidth="1"/>
    <col min="5" max="5" width="8.26953125" customWidth="1"/>
    <col min="6" max="6" width="8.7265625" customWidth="1"/>
    <col min="7" max="7" width="28.54296875" customWidth="1"/>
    <col min="8" max="8" width="12.7265625" customWidth="1"/>
    <col min="9" max="9" width="13.54296875" customWidth="1"/>
    <col min="10" max="11" width="8.7265625" customWidth="1"/>
    <col min="12" max="12" width="13.26953125" customWidth="1"/>
    <col min="13" max="14" width="8.7265625" customWidth="1"/>
    <col min="15" max="15" width="12" customWidth="1"/>
    <col min="16" max="26" width="8.7265625" customWidth="1"/>
  </cols>
  <sheetData>
    <row r="1" spans="1:8" ht="14.25" customHeight="1" x14ac:dyDescent="0.45">
      <c r="A1" s="111" t="s">
        <v>141</v>
      </c>
      <c r="B1" s="111"/>
      <c r="C1" s="111"/>
      <c r="D1" s="111"/>
      <c r="E1" s="111"/>
      <c r="F1" s="111"/>
      <c r="G1" s="111"/>
      <c r="H1" s="111"/>
    </row>
    <row r="2" spans="1:8" ht="14.25" customHeight="1" x14ac:dyDescent="0.35">
      <c r="A2" s="38" t="s">
        <v>63</v>
      </c>
      <c r="B2" s="38" t="s">
        <v>66</v>
      </c>
      <c r="C2" s="40" t="s">
        <v>68</v>
      </c>
      <c r="D2" s="40" t="s">
        <v>69</v>
      </c>
      <c r="G2" s="140" t="s">
        <v>142</v>
      </c>
      <c r="H2" s="138"/>
    </row>
    <row r="3" spans="1:8" ht="14.25" customHeight="1" x14ac:dyDescent="0.35">
      <c r="A3" s="107">
        <v>44592</v>
      </c>
      <c r="B3" s="76">
        <v>-6.25E-2</v>
      </c>
      <c r="C3" s="76">
        <v>1.2768116717356337E-2</v>
      </c>
      <c r="D3" s="76">
        <v>5.8911739117857076E-2</v>
      </c>
      <c r="G3" s="69" t="s">
        <v>71</v>
      </c>
      <c r="H3" s="70">
        <f>H23</f>
        <v>1.5935000268088171E-2</v>
      </c>
    </row>
    <row r="4" spans="1:8" ht="14.25" customHeight="1" x14ac:dyDescent="0.35">
      <c r="A4" s="107">
        <v>44620</v>
      </c>
      <c r="B4" s="76">
        <v>-2.29E-2</v>
      </c>
      <c r="C4" s="76">
        <v>-4.9602103842867118E-2</v>
      </c>
      <c r="D4" s="76">
        <v>5.7556164336200144E-2</v>
      </c>
      <c r="G4" s="70" t="s">
        <v>72</v>
      </c>
      <c r="H4" s="70">
        <f>H24</f>
        <v>1.122032963882956</v>
      </c>
    </row>
    <row r="5" spans="1:8" ht="14.25" customHeight="1" x14ac:dyDescent="0.35">
      <c r="A5" s="107">
        <v>44651</v>
      </c>
      <c r="B5" s="76">
        <v>3.0499999999999999E-2</v>
      </c>
      <c r="C5" s="76">
        <v>8.1230821227120428E-2</v>
      </c>
      <c r="D5" s="76">
        <v>5.9775603291345444E-2</v>
      </c>
      <c r="G5" s="70" t="s">
        <v>73</v>
      </c>
      <c r="H5" s="70">
        <f>H12</f>
        <v>0.20090771351868519</v>
      </c>
    </row>
    <row r="6" spans="1:8" ht="14.25" customHeight="1" x14ac:dyDescent="0.35">
      <c r="A6" s="107">
        <v>44681</v>
      </c>
      <c r="B6" s="76">
        <v>-9.4600000000000004E-2</v>
      </c>
      <c r="C6" s="76">
        <v>4.3338912291495765E-2</v>
      </c>
      <c r="D6" s="76">
        <v>2.074654127680774E-2</v>
      </c>
      <c r="G6" s="148"/>
      <c r="H6" s="138"/>
    </row>
    <row r="7" spans="1:8" ht="14.25" customHeight="1" x14ac:dyDescent="0.35">
      <c r="A7" s="107">
        <v>44712</v>
      </c>
      <c r="B7" s="76">
        <v>-3.4000000000000002E-3</v>
      </c>
      <c r="C7" s="76">
        <v>8.4695663295258655E-2</v>
      </c>
      <c r="D7" s="76">
        <v>4.5668854508353639E-2</v>
      </c>
      <c r="G7" t="s">
        <v>74</v>
      </c>
    </row>
    <row r="8" spans="1:8" ht="14.25" customHeight="1" thickBot="1" x14ac:dyDescent="0.4">
      <c r="A8" s="107">
        <v>44742</v>
      </c>
      <c r="B8" s="76">
        <v>-8.43E-2</v>
      </c>
      <c r="C8" s="76">
        <v>-3.0709241494908345E-2</v>
      </c>
      <c r="D8" s="76">
        <v>-0.23411924716601057</v>
      </c>
    </row>
    <row r="9" spans="1:8" ht="14.25" customHeight="1" x14ac:dyDescent="0.35">
      <c r="A9" s="107">
        <v>44773</v>
      </c>
      <c r="B9" s="76">
        <v>9.5700000000000007E-2</v>
      </c>
      <c r="C9" s="76">
        <v>0.18766156049627961</v>
      </c>
      <c r="D9" s="76">
        <v>1.7283574214346589E-2</v>
      </c>
      <c r="G9" s="176" t="s">
        <v>75</v>
      </c>
      <c r="H9" s="176"/>
    </row>
    <row r="10" spans="1:8" ht="14.25" customHeight="1" x14ac:dyDescent="0.35">
      <c r="A10" s="107">
        <v>44804</v>
      </c>
      <c r="B10" s="76">
        <v>-3.7699999999999997E-2</v>
      </c>
      <c r="C10" s="76">
        <v>-0.36536123141180143</v>
      </c>
      <c r="D10" s="76">
        <v>7.2182055694165706E-2</v>
      </c>
      <c r="G10" s="173" t="s">
        <v>76</v>
      </c>
      <c r="H10" s="173">
        <v>0.52302243435169049</v>
      </c>
    </row>
    <row r="11" spans="1:8" ht="14.25" customHeight="1" x14ac:dyDescent="0.35">
      <c r="A11" s="107">
        <v>44834</v>
      </c>
      <c r="B11" s="76">
        <v>-9.35E-2</v>
      </c>
      <c r="C11" s="76">
        <v>-8.1672472080812283E-2</v>
      </c>
      <c r="D11" s="76">
        <v>-0.16928931915518897</v>
      </c>
      <c r="G11" s="173" t="s">
        <v>77</v>
      </c>
      <c r="H11" s="173">
        <v>0.27355246683516837</v>
      </c>
    </row>
    <row r="12" spans="1:8" ht="14.25" customHeight="1" x14ac:dyDescent="0.35">
      <c r="A12" s="107">
        <v>44865</v>
      </c>
      <c r="B12" s="76">
        <v>7.8299999999999995E-2</v>
      </c>
      <c r="C12" s="76">
        <v>0.16581374602786234</v>
      </c>
      <c r="D12" s="76">
        <v>0.19304936796698399</v>
      </c>
      <c r="G12" s="173" t="s">
        <v>78</v>
      </c>
      <c r="H12" s="173">
        <v>0.20090771351868519</v>
      </c>
    </row>
    <row r="13" spans="1:8" ht="14.25" customHeight="1" x14ac:dyDescent="0.35">
      <c r="A13" s="107">
        <v>44895</v>
      </c>
      <c r="B13" s="76">
        <v>4.5999999999999999E-2</v>
      </c>
      <c r="C13" s="76">
        <v>-2.9814406616128206E-2</v>
      </c>
      <c r="D13" s="76">
        <v>5.9308709012100627E-2</v>
      </c>
      <c r="G13" s="173" t="s">
        <v>79</v>
      </c>
      <c r="H13" s="173">
        <v>0.12843974910290398</v>
      </c>
    </row>
    <row r="14" spans="1:8" ht="14.25" customHeight="1" thickBot="1" x14ac:dyDescent="0.4">
      <c r="A14" s="107">
        <v>44926</v>
      </c>
      <c r="B14" s="76">
        <v>-6.4100000000000004E-2</v>
      </c>
      <c r="C14" s="76">
        <v>-6.5561366216925904E-2</v>
      </c>
      <c r="D14" s="76">
        <v>-5.16594035856697E-2</v>
      </c>
      <c r="G14" s="174" t="s">
        <v>80</v>
      </c>
      <c r="H14" s="174">
        <v>12</v>
      </c>
    </row>
    <row r="15" spans="1:8" ht="14.25" customHeight="1" x14ac:dyDescent="0.35"/>
    <row r="16" spans="1:8" ht="14.25" customHeight="1" thickBot="1" x14ac:dyDescent="0.4">
      <c r="G16" t="s">
        <v>81</v>
      </c>
    </row>
    <row r="17" spans="7:15" ht="14.25" customHeight="1" x14ac:dyDescent="0.35">
      <c r="G17" s="175"/>
      <c r="H17" s="175" t="s">
        <v>82</v>
      </c>
      <c r="I17" s="175" t="s">
        <v>83</v>
      </c>
      <c r="J17" s="175" t="s">
        <v>84</v>
      </c>
      <c r="K17" s="175" t="s">
        <v>85</v>
      </c>
      <c r="L17" s="175" t="s">
        <v>86</v>
      </c>
    </row>
    <row r="18" spans="7:15" ht="14.25" customHeight="1" x14ac:dyDescent="0.35">
      <c r="G18" s="173" t="s">
        <v>87</v>
      </c>
      <c r="H18" s="173">
        <v>1</v>
      </c>
      <c r="I18" s="173">
        <v>6.2120548142381382E-2</v>
      </c>
      <c r="J18" s="173">
        <v>6.2120548142381382E-2</v>
      </c>
      <c r="K18" s="173">
        <v>3.7656190481288219</v>
      </c>
      <c r="L18" s="173">
        <v>8.101110045524676E-2</v>
      </c>
    </row>
    <row r="19" spans="7:15" ht="14.25" customHeight="1" x14ac:dyDescent="0.35">
      <c r="G19" s="173" t="s">
        <v>88</v>
      </c>
      <c r="H19" s="173">
        <v>10</v>
      </c>
      <c r="I19" s="173">
        <v>0.16496769149616922</v>
      </c>
      <c r="J19" s="173">
        <v>1.6496769149616921E-2</v>
      </c>
      <c r="K19" s="173"/>
      <c r="L19" s="173"/>
    </row>
    <row r="20" spans="7:15" ht="14.25" customHeight="1" thickBot="1" x14ac:dyDescent="0.4">
      <c r="G20" s="174" t="s">
        <v>89</v>
      </c>
      <c r="H20" s="174">
        <v>11</v>
      </c>
      <c r="I20" s="174">
        <v>0.2270882396385506</v>
      </c>
      <c r="J20" s="174"/>
      <c r="K20" s="174"/>
      <c r="L20" s="174"/>
    </row>
    <row r="21" spans="7:15" ht="14.25" customHeight="1" thickBot="1" x14ac:dyDescent="0.4"/>
    <row r="22" spans="7:15" ht="14.25" customHeight="1" x14ac:dyDescent="0.35">
      <c r="G22" s="175"/>
      <c r="H22" s="175" t="s">
        <v>90</v>
      </c>
      <c r="I22" s="175" t="s">
        <v>79</v>
      </c>
      <c r="J22" s="175" t="s">
        <v>91</v>
      </c>
      <c r="K22" s="175" t="s">
        <v>92</v>
      </c>
      <c r="L22" s="175" t="s">
        <v>93</v>
      </c>
      <c r="M22" s="175" t="s">
        <v>94</v>
      </c>
      <c r="N22" s="175" t="s">
        <v>95</v>
      </c>
      <c r="O22" s="175" t="s">
        <v>96</v>
      </c>
    </row>
    <row r="23" spans="7:15" ht="14.25" customHeight="1" x14ac:dyDescent="0.35">
      <c r="G23" s="173" t="s">
        <v>97</v>
      </c>
      <c r="H23" s="173">
        <v>1.5935000268088171E-2</v>
      </c>
      <c r="I23" s="173">
        <v>3.8465199056529092E-2</v>
      </c>
      <c r="J23" s="173">
        <v>0.41427057857337046</v>
      </c>
      <c r="K23" s="173">
        <v>0.68742198953292444</v>
      </c>
      <c r="L23" s="173">
        <v>-6.9770804199150091E-2</v>
      </c>
      <c r="M23" s="173">
        <v>0.10164080473532643</v>
      </c>
      <c r="N23" s="173">
        <v>-6.9770804199150091E-2</v>
      </c>
      <c r="O23" s="173">
        <v>0.10164080473532643</v>
      </c>
    </row>
    <row r="24" spans="7:15" ht="14.25" customHeight="1" thickBot="1" x14ac:dyDescent="0.4">
      <c r="G24" s="174" t="s">
        <v>98</v>
      </c>
      <c r="H24" s="174">
        <v>1.122032963882956</v>
      </c>
      <c r="I24" s="174">
        <v>0.57821243193595007</v>
      </c>
      <c r="J24" s="174">
        <v>1.9405203034569936</v>
      </c>
      <c r="K24" s="174">
        <v>8.101110045524676E-2</v>
      </c>
      <c r="L24" s="174">
        <v>-0.1663046204150036</v>
      </c>
      <c r="M24" s="174">
        <v>2.4103705481809157</v>
      </c>
      <c r="N24" s="174">
        <v>-0.1663046204150036</v>
      </c>
      <c r="O24" s="174">
        <v>2.4103705481809157</v>
      </c>
    </row>
    <row r="25" spans="7:15" ht="14.25" customHeight="1" x14ac:dyDescent="0.35"/>
    <row r="26" spans="7:15" ht="14.25" customHeight="1" x14ac:dyDescent="0.35">
      <c r="G26" s="177" t="s">
        <v>143</v>
      </c>
      <c r="H26" s="138"/>
    </row>
    <row r="27" spans="7:15" ht="14.25" customHeight="1" x14ac:dyDescent="0.35">
      <c r="G27" s="69" t="s">
        <v>71</v>
      </c>
      <c r="H27" s="70">
        <f>H23</f>
        <v>1.5935000268088171E-2</v>
      </c>
    </row>
    <row r="28" spans="7:15" ht="14.25" customHeight="1" x14ac:dyDescent="0.35">
      <c r="G28" s="70" t="s">
        <v>72</v>
      </c>
      <c r="H28" s="70">
        <f>H24</f>
        <v>1.122032963882956</v>
      </c>
      <c r="O28" s="100"/>
    </row>
    <row r="29" spans="7:15" ht="14.25" customHeight="1" x14ac:dyDescent="0.35">
      <c r="G29" s="70" t="s">
        <v>73</v>
      </c>
      <c r="H29" s="70">
        <f>H12</f>
        <v>0.20090771351868519</v>
      </c>
      <c r="O29" s="100"/>
    </row>
    <row r="30" spans="7:15" ht="14.25" customHeight="1" x14ac:dyDescent="0.35">
      <c r="G30" t="s">
        <v>74</v>
      </c>
    </row>
    <row r="31" spans="7:15" ht="14.25" customHeight="1" thickBot="1" x14ac:dyDescent="0.4"/>
    <row r="32" spans="7:15" ht="14.25" customHeight="1" x14ac:dyDescent="0.35">
      <c r="G32" s="176" t="s">
        <v>75</v>
      </c>
      <c r="H32" s="176"/>
    </row>
    <row r="33" spans="7:15" ht="14.25" customHeight="1" x14ac:dyDescent="0.35">
      <c r="G33" s="173" t="s">
        <v>76</v>
      </c>
      <c r="H33" s="173">
        <v>0.62479658548603034</v>
      </c>
    </row>
    <row r="34" spans="7:15" ht="14.25" customHeight="1" x14ac:dyDescent="0.35">
      <c r="G34" s="173" t="s">
        <v>77</v>
      </c>
      <c r="H34" s="173">
        <v>0.39037077323500236</v>
      </c>
    </row>
    <row r="35" spans="7:15" ht="14.25" customHeight="1" x14ac:dyDescent="0.35">
      <c r="G35" s="173" t="s">
        <v>78</v>
      </c>
      <c r="H35" s="173">
        <v>0.32940785055850264</v>
      </c>
    </row>
    <row r="36" spans="7:15" ht="14.25" customHeight="1" x14ac:dyDescent="0.35">
      <c r="G36" s="173" t="s">
        <v>79</v>
      </c>
      <c r="H36" s="173">
        <v>9.366546944615782E-2</v>
      </c>
    </row>
    <row r="37" spans="7:15" ht="14.25" customHeight="1" thickBot="1" x14ac:dyDescent="0.4">
      <c r="G37" s="174" t="s">
        <v>80</v>
      </c>
      <c r="H37" s="174">
        <v>12</v>
      </c>
    </row>
    <row r="38" spans="7:15" ht="14.25" customHeight="1" x14ac:dyDescent="0.35"/>
    <row r="39" spans="7:15" ht="14.25" customHeight="1" thickBot="1" x14ac:dyDescent="0.4">
      <c r="G39" t="s">
        <v>81</v>
      </c>
    </row>
    <row r="40" spans="7:15" ht="14.25" customHeight="1" x14ac:dyDescent="0.35">
      <c r="G40" s="175"/>
      <c r="H40" s="175" t="s">
        <v>82</v>
      </c>
      <c r="I40" s="175" t="s">
        <v>83</v>
      </c>
      <c r="J40" s="175" t="s">
        <v>84</v>
      </c>
      <c r="K40" s="175" t="s">
        <v>85</v>
      </c>
      <c r="L40" s="175" t="s">
        <v>86</v>
      </c>
    </row>
    <row r="41" spans="7:15" ht="14.25" customHeight="1" x14ac:dyDescent="0.35">
      <c r="G41" s="173" t="s">
        <v>87</v>
      </c>
      <c r="H41" s="173">
        <v>1</v>
      </c>
      <c r="I41" s="173">
        <v>5.6178552303968107E-2</v>
      </c>
      <c r="J41" s="173">
        <v>5.6178552303968107E-2</v>
      </c>
      <c r="K41" s="173">
        <v>6.4034130270706999</v>
      </c>
      <c r="L41" s="173">
        <v>2.9845482168536035E-2</v>
      </c>
    </row>
    <row r="42" spans="7:15" ht="14.25" customHeight="1" x14ac:dyDescent="0.35">
      <c r="G42" s="173" t="s">
        <v>88</v>
      </c>
      <c r="H42" s="173">
        <v>10</v>
      </c>
      <c r="I42" s="173">
        <v>8.7732201665691248E-2</v>
      </c>
      <c r="J42" s="173">
        <v>8.7732201665691248E-3</v>
      </c>
      <c r="K42" s="173"/>
      <c r="L42" s="173"/>
    </row>
    <row r="43" spans="7:15" ht="14.25" customHeight="1" thickBot="1" x14ac:dyDescent="0.4">
      <c r="G43" s="174" t="s">
        <v>89</v>
      </c>
      <c r="H43" s="174">
        <v>11</v>
      </c>
      <c r="I43" s="174">
        <v>0.14391075396965936</v>
      </c>
      <c r="J43" s="174"/>
      <c r="K43" s="174"/>
      <c r="L43" s="174"/>
    </row>
    <row r="44" spans="7:15" ht="14.25" customHeight="1" thickBot="1" x14ac:dyDescent="0.4"/>
    <row r="45" spans="7:15" ht="14.25" customHeight="1" x14ac:dyDescent="0.35">
      <c r="G45" s="175"/>
      <c r="H45" s="175" t="s">
        <v>90</v>
      </c>
      <c r="I45" s="175" t="s">
        <v>79</v>
      </c>
      <c r="J45" s="175" t="s">
        <v>91</v>
      </c>
      <c r="K45" s="175" t="s">
        <v>92</v>
      </c>
      <c r="L45" s="175" t="s">
        <v>93</v>
      </c>
      <c r="M45" s="175" t="s">
        <v>94</v>
      </c>
      <c r="N45" s="175" t="s">
        <v>95</v>
      </c>
      <c r="O45" s="175" t="s">
        <v>96</v>
      </c>
    </row>
    <row r="46" spans="7:15" ht="14.25" customHeight="1" x14ac:dyDescent="0.35">
      <c r="G46" s="173" t="s">
        <v>97</v>
      </c>
      <c r="H46" s="173">
        <v>2.9679729076692127E-2</v>
      </c>
      <c r="I46" s="173">
        <v>2.8050980729362428E-2</v>
      </c>
      <c r="J46" s="173">
        <v>1.0580638646129332</v>
      </c>
      <c r="K46" s="173">
        <v>0.31491521713757298</v>
      </c>
      <c r="L46" s="173">
        <v>-3.2821750922718579E-2</v>
      </c>
      <c r="M46" s="173">
        <v>9.2181209076102832E-2</v>
      </c>
      <c r="N46" s="173">
        <v>-3.2821750922718579E-2</v>
      </c>
      <c r="O46" s="173">
        <v>9.2181209076102832E-2</v>
      </c>
    </row>
    <row r="47" spans="7:15" ht="14.25" customHeight="1" thickBot="1" x14ac:dyDescent="0.4">
      <c r="G47" s="174" t="s">
        <v>98</v>
      </c>
      <c r="H47" s="174">
        <v>1.0670216913365351</v>
      </c>
      <c r="I47" s="174">
        <v>0.42166493826996143</v>
      </c>
      <c r="J47" s="174">
        <v>2.5304965969292867</v>
      </c>
      <c r="K47" s="174">
        <v>2.9845482168536008E-2</v>
      </c>
      <c r="L47" s="174">
        <v>0.12749365985684002</v>
      </c>
      <c r="M47" s="174">
        <v>2.0065497228162301</v>
      </c>
      <c r="N47" s="174">
        <v>0.12749365985684002</v>
      </c>
      <c r="O47" s="174">
        <v>2.0065497228162301</v>
      </c>
    </row>
    <row r="48" spans="7:15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G2:H2"/>
    <mergeCell ref="G6:H6"/>
    <mergeCell ref="G26:H26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Z1302"/>
  <sheetViews>
    <sheetView workbookViewId="0">
      <pane ySplit="4" topLeftCell="A10" activePane="bottomLeft" state="frozen"/>
      <selection pane="bottomLeft" activeCell="B6" sqref="B6"/>
    </sheetView>
  </sheetViews>
  <sheetFormatPr defaultColWidth="14.453125" defaultRowHeight="15" customHeight="1" x14ac:dyDescent="0.35"/>
  <cols>
    <col min="1" max="1" width="16.81640625" customWidth="1"/>
    <col min="2" max="26" width="10.81640625" customWidth="1"/>
  </cols>
  <sheetData>
    <row r="1" spans="1:26" ht="14.25" customHeight="1" x14ac:dyDescent="0.35">
      <c r="A1" s="13" t="s">
        <v>144</v>
      </c>
      <c r="B1" s="120"/>
      <c r="C1" s="120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14.25" customHeight="1" x14ac:dyDescent="0.35">
      <c r="A2" s="13" t="s">
        <v>145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4.25" customHeight="1" x14ac:dyDescent="0.35">
      <c r="A3" s="48"/>
      <c r="B3" s="120"/>
      <c r="C3" s="120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4.25" customHeight="1" x14ac:dyDescent="0.35">
      <c r="A4" s="56" t="s">
        <v>146</v>
      </c>
      <c r="B4" s="122" t="s">
        <v>66</v>
      </c>
      <c r="C4" s="122" t="s">
        <v>67</v>
      </c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4.25" customHeight="1" x14ac:dyDescent="0.35">
      <c r="A5" s="48" t="s">
        <v>147</v>
      </c>
      <c r="B5" s="120">
        <v>2.9600000000000001E-2</v>
      </c>
      <c r="C5" s="120">
        <v>2.2000000000000001E-3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4.25" customHeight="1" x14ac:dyDescent="0.35">
      <c r="A6" s="48" t="s">
        <v>148</v>
      </c>
      <c r="B6" s="120">
        <v>2.64E-2</v>
      </c>
      <c r="C6" s="120">
        <v>2.5000000000000001E-3</v>
      </c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4.25" customHeight="1" x14ac:dyDescent="0.35">
      <c r="A7" s="48" t="s">
        <v>149</v>
      </c>
      <c r="B7" s="120">
        <v>3.5999999999999999E-3</v>
      </c>
      <c r="C7" s="120">
        <v>2.3E-3</v>
      </c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4.25" customHeight="1" x14ac:dyDescent="0.35">
      <c r="A8" s="48" t="s">
        <v>150</v>
      </c>
      <c r="B8" s="120">
        <v>-3.2400000000000005E-2</v>
      </c>
      <c r="C8" s="120">
        <v>3.2000000000000002E-3</v>
      </c>
      <c r="D8" s="121"/>
      <c r="E8" s="149" t="s">
        <v>151</v>
      </c>
      <c r="F8" s="150"/>
      <c r="G8" s="150"/>
      <c r="H8" s="150"/>
      <c r="I8" s="15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4.25" customHeight="1" x14ac:dyDescent="0.35">
      <c r="A9" s="48" t="s">
        <v>152</v>
      </c>
      <c r="B9" s="120">
        <v>2.53E-2</v>
      </c>
      <c r="C9" s="120">
        <v>3.0999999999999999E-3</v>
      </c>
      <c r="D9" s="121"/>
      <c r="E9" s="152"/>
      <c r="F9" s="146"/>
      <c r="G9" s="146"/>
      <c r="H9" s="146"/>
      <c r="I9" s="153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5.75" customHeight="1" x14ac:dyDescent="0.35">
      <c r="A10" s="48" t="s">
        <v>153</v>
      </c>
      <c r="B10" s="120">
        <v>2.6200000000000001E-2</v>
      </c>
      <c r="C10" s="120">
        <v>2.8000000000000004E-3</v>
      </c>
      <c r="D10" s="121"/>
      <c r="E10" s="154" t="s">
        <v>154</v>
      </c>
      <c r="F10" s="150"/>
      <c r="G10" s="150"/>
      <c r="H10" s="150"/>
      <c r="I10" s="151"/>
      <c r="J10" s="123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4.25" customHeight="1" x14ac:dyDescent="0.35">
      <c r="A11" s="48" t="s">
        <v>155</v>
      </c>
      <c r="B11" s="120">
        <v>-5.9999999999999995E-4</v>
      </c>
      <c r="C11" s="120">
        <v>2.5000000000000001E-3</v>
      </c>
      <c r="D11" s="121"/>
      <c r="E11" s="155"/>
      <c r="F11" s="134"/>
      <c r="G11" s="134"/>
      <c r="H11" s="134"/>
      <c r="I11" s="156"/>
      <c r="J11" s="123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4.25" customHeight="1" x14ac:dyDescent="0.35">
      <c r="A12" s="48" t="s">
        <v>156</v>
      </c>
      <c r="B12" s="120">
        <v>4.1799999999999997E-2</v>
      </c>
      <c r="C12" s="120">
        <v>2.5999999999999999E-3</v>
      </c>
      <c r="D12" s="121"/>
      <c r="E12" s="155"/>
      <c r="F12" s="134"/>
      <c r="G12" s="134"/>
      <c r="H12" s="134"/>
      <c r="I12" s="156"/>
      <c r="J12" s="123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4.25" customHeight="1" x14ac:dyDescent="0.35">
      <c r="A13" s="48" t="s">
        <v>157</v>
      </c>
      <c r="B13" s="120">
        <v>1.2999999999999999E-3</v>
      </c>
      <c r="C13" s="120">
        <v>3.0000000000000001E-3</v>
      </c>
      <c r="D13" s="121"/>
      <c r="E13" s="155"/>
      <c r="F13" s="134"/>
      <c r="G13" s="134"/>
      <c r="H13" s="134"/>
      <c r="I13" s="156"/>
      <c r="J13" s="123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4.25" customHeight="1" x14ac:dyDescent="0.35">
      <c r="A14" s="48" t="s">
        <v>158</v>
      </c>
      <c r="B14" s="120">
        <v>4.5999999999999999E-3</v>
      </c>
      <c r="C14" s="120">
        <v>2.5000000000000001E-3</v>
      </c>
      <c r="D14" s="121"/>
      <c r="E14" s="155"/>
      <c r="F14" s="134"/>
      <c r="G14" s="134"/>
      <c r="H14" s="134"/>
      <c r="I14" s="156"/>
      <c r="J14" s="123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4.25" customHeight="1" x14ac:dyDescent="0.35">
      <c r="A15" s="48" t="s">
        <v>159</v>
      </c>
      <c r="B15" s="120">
        <v>5.4400000000000004E-2</v>
      </c>
      <c r="C15" s="120">
        <v>3.0000000000000001E-3</v>
      </c>
      <c r="D15" s="121"/>
      <c r="E15" s="152"/>
      <c r="F15" s="146"/>
      <c r="G15" s="146"/>
      <c r="H15" s="146"/>
      <c r="I15" s="153"/>
      <c r="J15" s="123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4.25" customHeight="1" x14ac:dyDescent="0.35">
      <c r="A16" s="48" t="s">
        <v>160</v>
      </c>
      <c r="B16" s="120">
        <v>-2.3399999999999997E-2</v>
      </c>
      <c r="C16" s="120">
        <v>2.5999999999999999E-3</v>
      </c>
      <c r="D16" s="121"/>
      <c r="E16" s="123"/>
      <c r="F16" s="123"/>
      <c r="G16" s="123"/>
      <c r="H16" s="123"/>
      <c r="I16" s="123"/>
      <c r="J16" s="123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4.25" customHeight="1" x14ac:dyDescent="0.35">
      <c r="A17" s="48" t="s">
        <v>161</v>
      </c>
      <c r="B17" s="120">
        <v>7.2599999999999998E-2</v>
      </c>
      <c r="C17" s="120">
        <v>3.0000000000000001E-3</v>
      </c>
      <c r="D17" s="121"/>
      <c r="E17" s="123"/>
      <c r="F17" s="123"/>
      <c r="G17" s="123"/>
      <c r="H17" s="123"/>
      <c r="I17" s="123"/>
      <c r="J17" s="123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4.25" customHeight="1" x14ac:dyDescent="0.35">
      <c r="A18" s="48" t="s">
        <v>162</v>
      </c>
      <c r="B18" s="120">
        <v>1.9699999999999999E-2</v>
      </c>
      <c r="C18" s="120">
        <v>2.8000000000000004E-3</v>
      </c>
      <c r="D18" s="121"/>
      <c r="E18" s="157" t="s">
        <v>163</v>
      </c>
      <c r="F18" s="158"/>
      <c r="G18" s="158"/>
      <c r="H18" s="158"/>
      <c r="I18" s="159"/>
      <c r="J18" s="123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4.25" customHeight="1" x14ac:dyDescent="0.35">
      <c r="A19" s="48" t="s">
        <v>164</v>
      </c>
      <c r="B19" s="120">
        <v>4.7599999999999996E-2</v>
      </c>
      <c r="C19" s="120">
        <v>2.0999999999999999E-3</v>
      </c>
      <c r="D19" s="121"/>
      <c r="E19" s="160"/>
      <c r="F19" s="130"/>
      <c r="G19" s="130"/>
      <c r="H19" s="130"/>
      <c r="I19" s="161"/>
      <c r="J19" s="123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4.25" customHeight="1" x14ac:dyDescent="0.35">
      <c r="A20" s="48" t="s">
        <v>165</v>
      </c>
      <c r="B20" s="120">
        <v>-4.3099999999999999E-2</v>
      </c>
      <c r="C20" s="120">
        <v>2.5000000000000001E-3</v>
      </c>
      <c r="D20" s="121"/>
      <c r="E20" s="123"/>
      <c r="F20" s="123"/>
      <c r="G20" s="123"/>
      <c r="H20" s="123"/>
      <c r="I20" s="123"/>
      <c r="J20" s="123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4.25" customHeight="1" x14ac:dyDescent="0.35">
      <c r="A21" s="48" t="s">
        <v>166</v>
      </c>
      <c r="B21" s="120">
        <v>6.5799999999999997E-2</v>
      </c>
      <c r="C21" s="120">
        <v>2.0999999999999999E-3</v>
      </c>
      <c r="D21" s="121"/>
      <c r="E21" s="123"/>
      <c r="F21" s="123"/>
      <c r="G21" s="123"/>
      <c r="H21" s="123"/>
      <c r="I21" s="123"/>
      <c r="J21" s="123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4.25" customHeight="1" x14ac:dyDescent="0.35">
      <c r="A22" s="48" t="s">
        <v>167</v>
      </c>
      <c r="B22" s="120">
        <v>2.0899999999999998E-2</v>
      </c>
      <c r="C22" s="120">
        <v>2.2000000000000001E-3</v>
      </c>
      <c r="D22" s="121"/>
      <c r="E22" s="123"/>
      <c r="F22" s="123"/>
      <c r="G22" s="123"/>
      <c r="H22" s="123"/>
      <c r="I22" s="123"/>
      <c r="J22" s="123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4.25" customHeight="1" x14ac:dyDescent="0.35">
      <c r="A23" s="48" t="s">
        <v>168</v>
      </c>
      <c r="B23" s="120">
        <v>-6.8000000000000005E-3</v>
      </c>
      <c r="C23" s="120">
        <v>2.5000000000000001E-3</v>
      </c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4.25" customHeight="1" x14ac:dyDescent="0.35">
      <c r="A24" s="48" t="s">
        <v>169</v>
      </c>
      <c r="B24" s="120">
        <v>-1.7000000000000001E-2</v>
      </c>
      <c r="C24" s="120">
        <v>3.3E-3</v>
      </c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4.25" customHeight="1" x14ac:dyDescent="0.35">
      <c r="A25" s="48" t="s">
        <v>170</v>
      </c>
      <c r="B25" s="120">
        <v>8.8100000000000012E-2</v>
      </c>
      <c r="C25" s="120">
        <v>2.8999999999999998E-3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4.25" customHeight="1" x14ac:dyDescent="0.35">
      <c r="A26" s="48" t="s">
        <v>171</v>
      </c>
      <c r="B26" s="120">
        <v>4.2300000000000004E-2</v>
      </c>
      <c r="C26" s="120">
        <v>2.2000000000000001E-3</v>
      </c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4.25" customHeight="1" x14ac:dyDescent="0.35">
      <c r="A27" s="48" t="s">
        <v>172</v>
      </c>
      <c r="B27" s="120">
        <v>1.52E-2</v>
      </c>
      <c r="C27" s="120">
        <v>3.2000000000000002E-3</v>
      </c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4.25" customHeight="1" x14ac:dyDescent="0.35">
      <c r="A28" s="48" t="s">
        <v>173</v>
      </c>
      <c r="B28" s="120">
        <v>-4.8499999999999995E-2</v>
      </c>
      <c r="C28" s="120">
        <v>3.0999999999999999E-3</v>
      </c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4.25" customHeight="1" x14ac:dyDescent="0.35">
      <c r="A29" s="48" t="s">
        <v>174</v>
      </c>
      <c r="B29" s="120">
        <v>6.1999999999999998E-3</v>
      </c>
      <c r="C29" s="120">
        <v>3.2000000000000002E-3</v>
      </c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4.25" customHeight="1" x14ac:dyDescent="0.35">
      <c r="A30" s="48" t="s">
        <v>175</v>
      </c>
      <c r="B30" s="120">
        <v>6.6799999999999998E-2</v>
      </c>
      <c r="C30" s="120">
        <v>3.2000000000000002E-3</v>
      </c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4.25" customHeight="1" x14ac:dyDescent="0.35">
      <c r="A31" s="48" t="s">
        <v>176</v>
      </c>
      <c r="B31" s="120">
        <v>2.8799999999999999E-2</v>
      </c>
      <c r="C31" s="120">
        <v>2.7000000000000001E-3</v>
      </c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4.25" customHeight="1" x14ac:dyDescent="0.35">
      <c r="A32" s="48" t="s">
        <v>177</v>
      </c>
      <c r="B32" s="120">
        <v>1.3300000000000001E-2</v>
      </c>
      <c r="C32" s="120">
        <v>4.0999999999999995E-3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4.25" customHeight="1" x14ac:dyDescent="0.35">
      <c r="A33" s="48" t="s">
        <v>178</v>
      </c>
      <c r="B33" s="120">
        <v>0.11810000000000001</v>
      </c>
      <c r="C33" s="120">
        <v>3.8E-3</v>
      </c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4.25" customHeight="1" x14ac:dyDescent="0.35">
      <c r="A34" s="48" t="s">
        <v>179</v>
      </c>
      <c r="B34" s="120">
        <v>3.5999999999999999E-3</v>
      </c>
      <c r="C34" s="120">
        <v>5.9999999999999995E-4</v>
      </c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4.25" customHeight="1" x14ac:dyDescent="0.35">
      <c r="A35" s="48" t="s">
        <v>180</v>
      </c>
      <c r="B35" s="120">
        <v>4.6600000000000003E-2</v>
      </c>
      <c r="C35" s="120">
        <v>3.4000000000000002E-3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4.25" customHeight="1" x14ac:dyDescent="0.35">
      <c r="A36" s="48" t="s">
        <v>181</v>
      </c>
      <c r="B36" s="120">
        <v>-3.4000000000000002E-3</v>
      </c>
      <c r="C36" s="120">
        <v>3.5999999999999999E-3</v>
      </c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4.25" customHeight="1" x14ac:dyDescent="0.35">
      <c r="A37" s="48" t="s">
        <v>182</v>
      </c>
      <c r="B37" s="120">
        <v>-8.8999999999999999E-3</v>
      </c>
      <c r="C37" s="120">
        <v>3.4000000000000002E-3</v>
      </c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4.25" customHeight="1" x14ac:dyDescent="0.35">
      <c r="A38" s="48" t="s">
        <v>183</v>
      </c>
      <c r="B38" s="120">
        <v>1.43E-2</v>
      </c>
      <c r="C38" s="120">
        <v>3.5999999999999999E-3</v>
      </c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4.25" customHeight="1" x14ac:dyDescent="0.35">
      <c r="A39" s="48" t="s">
        <v>184</v>
      </c>
      <c r="B39" s="120">
        <v>-6.3899999999999998E-2</v>
      </c>
      <c r="C39" s="120">
        <v>4.4000000000000003E-3</v>
      </c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4.25" customHeight="1" x14ac:dyDescent="0.35">
      <c r="A40" s="48" t="s">
        <v>185</v>
      </c>
      <c r="B40" s="120">
        <v>9.6999999999999989E-2</v>
      </c>
      <c r="C40" s="120">
        <v>5.1999999999999998E-3</v>
      </c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4.25" customHeight="1" x14ac:dyDescent="0.35">
      <c r="A41" s="48" t="s">
        <v>186</v>
      </c>
      <c r="B41" s="120">
        <v>4.4600000000000001E-2</v>
      </c>
      <c r="C41" s="120">
        <v>3.3E-3</v>
      </c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4.25" customHeight="1" x14ac:dyDescent="0.35">
      <c r="A42" s="48" t="s">
        <v>187</v>
      </c>
      <c r="B42" s="120">
        <v>8.1799999999999998E-2</v>
      </c>
      <c r="C42" s="120">
        <v>4.0000000000000001E-3</v>
      </c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4.25" customHeight="1" x14ac:dyDescent="0.35">
      <c r="A43" s="48" t="s">
        <v>188</v>
      </c>
      <c r="B43" s="120">
        <v>-5.4699999999999999E-2</v>
      </c>
      <c r="C43" s="120">
        <v>3.4999999999999996E-3</v>
      </c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4.25" customHeight="1" x14ac:dyDescent="0.35">
      <c r="A44" s="48" t="s">
        <v>189</v>
      </c>
      <c r="B44" s="120">
        <v>-0.20120000000000002</v>
      </c>
      <c r="C44" s="120">
        <v>4.5999999999999999E-3</v>
      </c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4.25" customHeight="1" x14ac:dyDescent="0.35">
      <c r="A45" s="48" t="s">
        <v>190</v>
      </c>
      <c r="B45" s="120">
        <v>-0.12740000000000001</v>
      </c>
      <c r="C45" s="120">
        <v>3.7000000000000002E-3</v>
      </c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4.25" customHeight="1" x14ac:dyDescent="0.35">
      <c r="A46" s="48" t="s">
        <v>191</v>
      </c>
      <c r="B46" s="120">
        <v>1.3300000000000001E-2</v>
      </c>
      <c r="C46" s="120">
        <v>3.7000000000000002E-3</v>
      </c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4.25" customHeight="1" x14ac:dyDescent="0.35">
      <c r="A47" s="48" t="s">
        <v>192</v>
      </c>
      <c r="B47" s="120">
        <v>5.6100000000000004E-2</v>
      </c>
      <c r="C47" s="120">
        <v>1.4000000000000002E-3</v>
      </c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4.25" customHeight="1" x14ac:dyDescent="0.35">
      <c r="A48" s="48" t="s">
        <v>193</v>
      </c>
      <c r="B48" s="120">
        <v>2.5000000000000001E-2</v>
      </c>
      <c r="C48" s="120">
        <v>3.0000000000000001E-3</v>
      </c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4.25" customHeight="1" x14ac:dyDescent="0.35">
      <c r="A49" s="48" t="s">
        <v>194</v>
      </c>
      <c r="B49" s="120">
        <v>7.0999999999999994E-2</v>
      </c>
      <c r="C49" s="120">
        <v>3.4999999999999996E-3</v>
      </c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4.25" customHeight="1" x14ac:dyDescent="0.35">
      <c r="A50" s="48" t="s">
        <v>195</v>
      </c>
      <c r="B50" s="120">
        <v>-2.06E-2</v>
      </c>
      <c r="C50" s="120">
        <v>2.0999999999999999E-3</v>
      </c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4.25" customHeight="1" x14ac:dyDescent="0.35">
      <c r="A51" s="48" t="s">
        <v>196</v>
      </c>
      <c r="B51" s="120">
        <v>-1.66E-2</v>
      </c>
      <c r="C51" s="120">
        <v>2.5999999999999999E-3</v>
      </c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4.25" customHeight="1" x14ac:dyDescent="0.35">
      <c r="A52" s="48" t="s">
        <v>197</v>
      </c>
      <c r="B52" s="120">
        <v>-0.16269999999999998</v>
      </c>
      <c r="C52" s="120">
        <v>2.7000000000000001E-3</v>
      </c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4.25" customHeight="1" x14ac:dyDescent="0.35">
      <c r="A53" s="48" t="s">
        <v>198</v>
      </c>
      <c r="B53" s="120">
        <v>4.1200000000000001E-2</v>
      </c>
      <c r="C53" s="120">
        <v>2E-3</v>
      </c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4.25" customHeight="1" x14ac:dyDescent="0.35">
      <c r="A54" s="48" t="s">
        <v>199</v>
      </c>
      <c r="B54" s="120">
        <v>3.0000000000000001E-3</v>
      </c>
      <c r="C54" s="120">
        <v>8.9999999999999998E-4</v>
      </c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4.25" customHeight="1" x14ac:dyDescent="0.35">
      <c r="A55" s="48" t="s">
        <v>200</v>
      </c>
      <c r="B55" s="120">
        <v>-0.1275</v>
      </c>
      <c r="C55" s="120">
        <v>2.2000000000000001E-3</v>
      </c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4.25" customHeight="1" x14ac:dyDescent="0.35">
      <c r="A56" s="48" t="s">
        <v>201</v>
      </c>
      <c r="B56" s="120">
        <v>-8.7799999999999989E-2</v>
      </c>
      <c r="C56" s="120">
        <v>8.9999999999999998E-4</v>
      </c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4.25" customHeight="1" x14ac:dyDescent="0.35">
      <c r="A57" s="48" t="s">
        <v>202</v>
      </c>
      <c r="B57" s="120">
        <v>-3.04E-2</v>
      </c>
      <c r="C57" s="120">
        <v>1.2999999999999999E-3</v>
      </c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4.25" customHeight="1" x14ac:dyDescent="0.35">
      <c r="A58" s="48" t="s">
        <v>203</v>
      </c>
      <c r="B58" s="120">
        <v>-7.8299999999999995E-2</v>
      </c>
      <c r="C58" s="120">
        <v>1.4000000000000002E-3</v>
      </c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4.25" customHeight="1" x14ac:dyDescent="0.35">
      <c r="A59" s="48" t="s">
        <v>204</v>
      </c>
      <c r="B59" s="120">
        <v>6.2400000000000004E-2</v>
      </c>
      <c r="C59" s="120">
        <v>1.5E-3</v>
      </c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4.25" customHeight="1" x14ac:dyDescent="0.35">
      <c r="A60" s="48" t="s">
        <v>205</v>
      </c>
      <c r="B60" s="120">
        <v>0.10880000000000001</v>
      </c>
      <c r="C60" s="120">
        <v>4.0000000000000002E-4</v>
      </c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4.25" customHeight="1" x14ac:dyDescent="0.35">
      <c r="A61" s="48" t="s">
        <v>206</v>
      </c>
      <c r="B61" s="120">
        <v>-6.4299999999999996E-2</v>
      </c>
      <c r="C61" s="120">
        <v>1.2999999999999999E-3</v>
      </c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4.25" customHeight="1" x14ac:dyDescent="0.35">
      <c r="A62" s="48" t="s">
        <v>207</v>
      </c>
      <c r="B62" s="120">
        <v>-9.98E-2</v>
      </c>
      <c r="C62" s="120">
        <v>8.0000000000000004E-4</v>
      </c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4.25" customHeight="1" x14ac:dyDescent="0.35">
      <c r="A63" s="48" t="s">
        <v>208</v>
      </c>
      <c r="B63" s="120">
        <v>-0.13239999999999999</v>
      </c>
      <c r="C63" s="120">
        <v>8.9999999999999998E-4</v>
      </c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4.25" customHeight="1" x14ac:dyDescent="0.35">
      <c r="A64" s="48" t="s">
        <v>209</v>
      </c>
      <c r="B64" s="120">
        <v>0.13900000000000001</v>
      </c>
      <c r="C64" s="120">
        <v>8.0000000000000004E-4</v>
      </c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4.25" customHeight="1" x14ac:dyDescent="0.35">
      <c r="A65" s="48" t="s">
        <v>210</v>
      </c>
      <c r="B65" s="120">
        <v>-6.6199999999999995E-2</v>
      </c>
      <c r="C65" s="120">
        <v>5.9999999999999995E-4</v>
      </c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4.25" customHeight="1" x14ac:dyDescent="0.35">
      <c r="A66" s="48" t="s">
        <v>211</v>
      </c>
      <c r="B66" s="120">
        <v>4.0999999999999995E-3</v>
      </c>
      <c r="C66" s="120">
        <v>2.9999999999999997E-4</v>
      </c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4.25" customHeight="1" x14ac:dyDescent="0.35">
      <c r="A67" s="48" t="s">
        <v>212</v>
      </c>
      <c r="B67" s="120">
        <v>-0.2913</v>
      </c>
      <c r="C67" s="120">
        <v>2.9999999999999997E-4</v>
      </c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4.25" customHeight="1" x14ac:dyDescent="0.35">
      <c r="A68" s="48" t="s">
        <v>213</v>
      </c>
      <c r="B68" s="120">
        <v>8.0399999999999985E-2</v>
      </c>
      <c r="C68" s="120">
        <v>1E-3</v>
      </c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4.25" customHeight="1" x14ac:dyDescent="0.35">
      <c r="A69" s="48" t="s">
        <v>214</v>
      </c>
      <c r="B69" s="120">
        <v>-9.0800000000000006E-2</v>
      </c>
      <c r="C69" s="120">
        <v>1.7000000000000001E-3</v>
      </c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4.25" customHeight="1" x14ac:dyDescent="0.35">
      <c r="A70" s="48" t="s">
        <v>215</v>
      </c>
      <c r="B70" s="120">
        <v>-0.1353</v>
      </c>
      <c r="C70" s="120">
        <v>1.1999999999999999E-3</v>
      </c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4.25" customHeight="1" x14ac:dyDescent="0.35">
      <c r="A71" s="48" t="s">
        <v>216</v>
      </c>
      <c r="B71" s="120">
        <v>-1.5800000000000002E-2</v>
      </c>
      <c r="C71" s="120">
        <v>2.3E-3</v>
      </c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4.25" customHeight="1" x14ac:dyDescent="0.35">
      <c r="A72" s="48" t="s">
        <v>217</v>
      </c>
      <c r="B72" s="120">
        <v>5.4600000000000003E-2</v>
      </c>
      <c r="C72" s="120">
        <v>2.3E-3</v>
      </c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4.25" customHeight="1" x14ac:dyDescent="0.35">
      <c r="A73" s="48" t="s">
        <v>218</v>
      </c>
      <c r="B73" s="120">
        <v>-0.11210000000000001</v>
      </c>
      <c r="C73" s="120">
        <v>1.6000000000000001E-3</v>
      </c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4.25" customHeight="1" x14ac:dyDescent="0.35">
      <c r="A74" s="48" t="s">
        <v>219</v>
      </c>
      <c r="B74" s="120">
        <v>-0.17960000000000001</v>
      </c>
      <c r="C74" s="120">
        <v>1.1000000000000001E-3</v>
      </c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4.25" customHeight="1" x14ac:dyDescent="0.35">
      <c r="A75" s="48" t="s">
        <v>220</v>
      </c>
      <c r="B75" s="120">
        <v>-0.2051</v>
      </c>
      <c r="C75" s="120">
        <v>5.9999999999999995E-4</v>
      </c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4.25" customHeight="1" x14ac:dyDescent="0.35">
      <c r="A76" s="48" t="s">
        <v>221</v>
      </c>
      <c r="B76" s="120">
        <v>-6.9999999999999993E-3</v>
      </c>
      <c r="C76" s="120">
        <v>2.0000000000000001E-4</v>
      </c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4.25" customHeight="1" x14ac:dyDescent="0.35">
      <c r="A77" s="48" t="s">
        <v>222</v>
      </c>
      <c r="B77" s="120">
        <v>0.33840000000000003</v>
      </c>
      <c r="C77" s="120">
        <v>2.9999999999999997E-4</v>
      </c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4.25" customHeight="1" x14ac:dyDescent="0.35">
      <c r="A78" s="48" t="s">
        <v>223</v>
      </c>
      <c r="B78" s="120">
        <v>0.37060000000000004</v>
      </c>
      <c r="C78" s="120">
        <v>2.9999999999999997E-4</v>
      </c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4.25" customHeight="1" x14ac:dyDescent="0.35">
      <c r="A79" s="48" t="s">
        <v>224</v>
      </c>
      <c r="B79" s="120">
        <v>-2.9399999999999999E-2</v>
      </c>
      <c r="C79" s="120">
        <v>2.9999999999999997E-4</v>
      </c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4.25" customHeight="1" x14ac:dyDescent="0.35">
      <c r="A80" s="48" t="s">
        <v>225</v>
      </c>
      <c r="B80" s="120">
        <v>-0.13170000000000001</v>
      </c>
      <c r="C80" s="120">
        <v>2.0000000000000001E-4</v>
      </c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4.25" customHeight="1" x14ac:dyDescent="0.35">
      <c r="A81" s="48" t="s">
        <v>226</v>
      </c>
      <c r="B81" s="120">
        <v>-5.8799999999999998E-2</v>
      </c>
      <c r="C81" s="120">
        <v>2.0000000000000001E-4</v>
      </c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4.25" customHeight="1" x14ac:dyDescent="0.35">
      <c r="A82" s="48" t="s">
        <v>227</v>
      </c>
      <c r="B82" s="120">
        <v>4.4000000000000004E-2</v>
      </c>
      <c r="C82" s="120">
        <v>1E-4</v>
      </c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4.25" customHeight="1" x14ac:dyDescent="0.35">
      <c r="A83" s="48" t="s">
        <v>228</v>
      </c>
      <c r="B83" s="120">
        <v>1.2500000000000001E-2</v>
      </c>
      <c r="C83" s="120">
        <v>1E-4</v>
      </c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4.25" customHeight="1" x14ac:dyDescent="0.35">
      <c r="A84" s="48" t="s">
        <v>229</v>
      </c>
      <c r="B84" s="120">
        <v>-0.15240000000000001</v>
      </c>
      <c r="C84" s="120">
        <v>-2.9999999999999997E-4</v>
      </c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4.25" customHeight="1" x14ac:dyDescent="0.35">
      <c r="A85" s="48" t="s">
        <v>230</v>
      </c>
      <c r="B85" s="120">
        <v>3.2899999999999999E-2</v>
      </c>
      <c r="C85" s="120">
        <v>4.0000000000000002E-4</v>
      </c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4.25" customHeight="1" x14ac:dyDescent="0.35">
      <c r="A86" s="48" t="s">
        <v>231</v>
      </c>
      <c r="B86" s="120">
        <v>0.38850000000000001</v>
      </c>
      <c r="C86" s="120">
        <v>1E-3</v>
      </c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4.25" customHeight="1" x14ac:dyDescent="0.35">
      <c r="A87" s="48" t="s">
        <v>232</v>
      </c>
      <c r="B87" s="120">
        <v>0.21429999999999999</v>
      </c>
      <c r="C87" s="120">
        <v>4.0000000000000002E-4</v>
      </c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4.25" customHeight="1" x14ac:dyDescent="0.35">
      <c r="A88" s="48" t="s">
        <v>233</v>
      </c>
      <c r="B88" s="120">
        <v>0.13109999999999999</v>
      </c>
      <c r="C88" s="120">
        <v>2.0000000000000001E-4</v>
      </c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4.25" customHeight="1" x14ac:dyDescent="0.35">
      <c r="A89" s="48" t="s">
        <v>234</v>
      </c>
      <c r="B89" s="120">
        <v>-9.6300000000000011E-2</v>
      </c>
      <c r="C89" s="120">
        <v>2.0000000000000001E-4</v>
      </c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4.25" customHeight="1" x14ac:dyDescent="0.35">
      <c r="A90" s="48" t="s">
        <v>235</v>
      </c>
      <c r="B90" s="120">
        <v>0.12050000000000001</v>
      </c>
      <c r="C90" s="120">
        <v>2.9999999999999997E-4</v>
      </c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4.25" customHeight="1" x14ac:dyDescent="0.35">
      <c r="A91" s="48" t="s">
        <v>236</v>
      </c>
      <c r="B91" s="120">
        <v>-0.1065</v>
      </c>
      <c r="C91" s="120">
        <v>2.0000000000000001E-4</v>
      </c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4.25" customHeight="1" x14ac:dyDescent="0.35">
      <c r="A92" s="48" t="s">
        <v>237</v>
      </c>
      <c r="B92" s="120">
        <v>-8.3599999999999994E-2</v>
      </c>
      <c r="C92" s="120">
        <v>1E-4</v>
      </c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4.25" customHeight="1" x14ac:dyDescent="0.35">
      <c r="A93" s="48" t="s">
        <v>238</v>
      </c>
      <c r="B93" s="120">
        <v>9.9700000000000011E-2</v>
      </c>
      <c r="C93" s="120">
        <v>2.0000000000000001E-4</v>
      </c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4.25" customHeight="1" x14ac:dyDescent="0.35">
      <c r="A94" s="48" t="s">
        <v>239</v>
      </c>
      <c r="B94" s="120">
        <v>1.83E-2</v>
      </c>
      <c r="C94" s="120">
        <v>2.0000000000000001E-4</v>
      </c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4.25" customHeight="1" x14ac:dyDescent="0.35">
      <c r="A95" s="48" t="s">
        <v>240</v>
      </c>
      <c r="B95" s="120">
        <v>0.126</v>
      </c>
      <c r="C95" s="120">
        <v>5.0000000000000001E-4</v>
      </c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4.25" customHeight="1" x14ac:dyDescent="0.35">
      <c r="A96" s="48" t="s">
        <v>241</v>
      </c>
      <c r="B96" s="120">
        <v>-2.5000000000000001E-2</v>
      </c>
      <c r="C96" s="120">
        <v>2.0000000000000001E-4</v>
      </c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4.25" customHeight="1" x14ac:dyDescent="0.35">
      <c r="A97" s="48" t="s">
        <v>242</v>
      </c>
      <c r="B97" s="120">
        <v>8.9999999999999998E-4</v>
      </c>
      <c r="C97" s="120">
        <v>2.0000000000000001E-4</v>
      </c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4.25" customHeight="1" x14ac:dyDescent="0.35">
      <c r="A98" s="48" t="s">
        <v>243</v>
      </c>
      <c r="B98" s="120">
        <v>-1.7899999999999999E-2</v>
      </c>
      <c r="C98" s="120">
        <v>1E-4</v>
      </c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4.25" customHeight="1" x14ac:dyDescent="0.35">
      <c r="A99" s="48" t="s">
        <v>244</v>
      </c>
      <c r="B99" s="120">
        <v>-7.2499999999999995E-2</v>
      </c>
      <c r="C99" s="120">
        <v>1E-4</v>
      </c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4.25" customHeight="1" x14ac:dyDescent="0.35">
      <c r="A100" s="48" t="s">
        <v>245</v>
      </c>
      <c r="B100" s="120">
        <v>2.64E-2</v>
      </c>
      <c r="C100" s="120">
        <v>1E-4</v>
      </c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4.25" customHeight="1" x14ac:dyDescent="0.35">
      <c r="A101" s="48" t="s">
        <v>246</v>
      </c>
      <c r="B101" s="120">
        <v>-0.1096</v>
      </c>
      <c r="C101" s="120">
        <v>1E-4</v>
      </c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4.25" customHeight="1" x14ac:dyDescent="0.35">
      <c r="A102" s="48" t="s">
        <v>247</v>
      </c>
      <c r="B102" s="120">
        <v>5.5800000000000002E-2</v>
      </c>
      <c r="C102" s="120">
        <v>1E-4</v>
      </c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4.25" customHeight="1" x14ac:dyDescent="0.35">
      <c r="A103" s="48" t="s">
        <v>248</v>
      </c>
      <c r="B103" s="120">
        <v>-2.3E-3</v>
      </c>
      <c r="C103" s="120">
        <v>1E-4</v>
      </c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4.25" customHeight="1" x14ac:dyDescent="0.35">
      <c r="A104" s="48" t="s">
        <v>249</v>
      </c>
      <c r="B104" s="120">
        <v>-1.66E-2</v>
      </c>
      <c r="C104" s="120">
        <v>1E-4</v>
      </c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4.25" customHeight="1" x14ac:dyDescent="0.35">
      <c r="A105" s="48" t="s">
        <v>250</v>
      </c>
      <c r="B105" s="120">
        <v>8.3299999999999999E-2</v>
      </c>
      <c r="C105" s="120">
        <v>1E-4</v>
      </c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4.25" customHeight="1" x14ac:dyDescent="0.35">
      <c r="A106" s="48" t="s">
        <v>251</v>
      </c>
      <c r="B106" s="120">
        <v>3.5999999999999999E-3</v>
      </c>
      <c r="C106" s="120">
        <v>1E-4</v>
      </c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4.25" customHeight="1" x14ac:dyDescent="0.35">
      <c r="A107" s="48" t="s">
        <v>252</v>
      </c>
      <c r="B107" s="120">
        <v>-3.4500000000000003E-2</v>
      </c>
      <c r="C107" s="120">
        <v>1E-4</v>
      </c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4.25" customHeight="1" x14ac:dyDescent="0.35">
      <c r="A108" s="48" t="s">
        <v>253</v>
      </c>
      <c r="B108" s="120">
        <v>-1.9400000000000001E-2</v>
      </c>
      <c r="C108" s="120">
        <v>2.0000000000000001E-4</v>
      </c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4.25" customHeight="1" x14ac:dyDescent="0.35">
      <c r="A109" s="48" t="s">
        <v>254</v>
      </c>
      <c r="B109" s="120">
        <v>-3.6799999999999999E-2</v>
      </c>
      <c r="C109" s="120">
        <v>1E-4</v>
      </c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4.25" customHeight="1" x14ac:dyDescent="0.35">
      <c r="A110" s="48" t="s">
        <v>255</v>
      </c>
      <c r="B110" s="120">
        <v>9.06E-2</v>
      </c>
      <c r="C110" s="120">
        <v>1E-4</v>
      </c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4.25" customHeight="1" x14ac:dyDescent="0.35">
      <c r="A111" s="48" t="s">
        <v>256</v>
      </c>
      <c r="B111" s="120">
        <v>3.4700000000000002E-2</v>
      </c>
      <c r="C111" s="120">
        <v>1E-4</v>
      </c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4.25" customHeight="1" x14ac:dyDescent="0.35">
      <c r="A112" s="48" t="s">
        <v>257</v>
      </c>
      <c r="B112" s="120">
        <v>5.9299999999999999E-2</v>
      </c>
      <c r="C112" s="120">
        <v>1E-4</v>
      </c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4.25" customHeight="1" x14ac:dyDescent="0.35">
      <c r="A113" s="48" t="s">
        <v>258</v>
      </c>
      <c r="B113" s="120">
        <v>7.51E-2</v>
      </c>
      <c r="C113" s="120">
        <v>1E-4</v>
      </c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4.25" customHeight="1" x14ac:dyDescent="0.35">
      <c r="A114" s="48" t="s">
        <v>259</v>
      </c>
      <c r="B114" s="120">
        <v>2.6499999999999999E-2</v>
      </c>
      <c r="C114" s="120">
        <v>1E-4</v>
      </c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4.25" customHeight="1" x14ac:dyDescent="0.35">
      <c r="A115" s="48" t="s">
        <v>260</v>
      </c>
      <c r="B115" s="120">
        <v>2.63E-2</v>
      </c>
      <c r="C115" s="120">
        <v>1E-4</v>
      </c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4.25" customHeight="1" x14ac:dyDescent="0.35">
      <c r="A116" s="48" t="s">
        <v>261</v>
      </c>
      <c r="B116" s="120">
        <v>7.0300000000000001E-2</v>
      </c>
      <c r="C116" s="120">
        <v>1E-4</v>
      </c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4.25" customHeight="1" x14ac:dyDescent="0.35">
      <c r="A117" s="48" t="s">
        <v>262</v>
      </c>
      <c r="B117" s="120">
        <v>4.8799999999999996E-2</v>
      </c>
      <c r="C117" s="120">
        <v>2.0000000000000001E-4</v>
      </c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4.25" customHeight="1" x14ac:dyDescent="0.35">
      <c r="A118" s="48" t="s">
        <v>263</v>
      </c>
      <c r="B118" s="120">
        <v>4.5599999999999995E-2</v>
      </c>
      <c r="C118" s="120">
        <v>1E-4</v>
      </c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4.25" customHeight="1" x14ac:dyDescent="0.35">
      <c r="A119" s="48" t="s">
        <v>264</v>
      </c>
      <c r="B119" s="120">
        <v>6.8900000000000003E-2</v>
      </c>
      <c r="C119" s="120">
        <v>1E-4</v>
      </c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4.25" customHeight="1" x14ac:dyDescent="0.35">
      <c r="A120" s="48" t="s">
        <v>265</v>
      </c>
      <c r="B120" s="120">
        <v>2.4900000000000002E-2</v>
      </c>
      <c r="C120" s="120">
        <v>1E-4</v>
      </c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4.25" customHeight="1" x14ac:dyDescent="0.35">
      <c r="A121" s="48" t="s">
        <v>266</v>
      </c>
      <c r="B121" s="120">
        <v>9.8999999999999991E-3</v>
      </c>
      <c r="C121" s="120">
        <v>2.0000000000000001E-4</v>
      </c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4.25" customHeight="1" x14ac:dyDescent="0.35">
      <c r="A122" s="48" t="s">
        <v>267</v>
      </c>
      <c r="B122" s="120">
        <v>-8.14E-2</v>
      </c>
      <c r="C122" s="120">
        <v>2.0000000000000001E-4</v>
      </c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4.25" customHeight="1" x14ac:dyDescent="0.35">
      <c r="A123" s="48" t="s">
        <v>268</v>
      </c>
      <c r="B123" s="120">
        <v>5.1900000000000002E-2</v>
      </c>
      <c r="C123" s="120">
        <v>2.0000000000000001E-4</v>
      </c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4.25" customHeight="1" x14ac:dyDescent="0.35">
      <c r="A124" s="48" t="s">
        <v>269</v>
      </c>
      <c r="B124" s="120">
        <v>2.4E-2</v>
      </c>
      <c r="C124" s="120">
        <v>2.9999999999999997E-4</v>
      </c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4.25" customHeight="1" x14ac:dyDescent="0.35">
      <c r="A125" s="48" t="s">
        <v>270</v>
      </c>
      <c r="B125" s="120">
        <v>6.6699999999999995E-2</v>
      </c>
      <c r="C125" s="120">
        <v>1E-4</v>
      </c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4.25" customHeight="1" x14ac:dyDescent="0.35">
      <c r="A126" s="48" t="s">
        <v>271</v>
      </c>
      <c r="B126" s="120">
        <v>9.8999999999999991E-3</v>
      </c>
      <c r="C126" s="120">
        <v>2.0000000000000001E-4</v>
      </c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4.25" customHeight="1" x14ac:dyDescent="0.35">
      <c r="A127" s="48" t="s">
        <v>272</v>
      </c>
      <c r="B127" s="120">
        <v>9.7999999999999997E-3</v>
      </c>
      <c r="C127" s="120">
        <v>1E-4</v>
      </c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4.25" customHeight="1" x14ac:dyDescent="0.35">
      <c r="A128" s="48" t="s">
        <v>273</v>
      </c>
      <c r="B128" s="120">
        <v>7.1199999999999999E-2</v>
      </c>
      <c r="C128" s="120">
        <v>2.0000000000000001E-4</v>
      </c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4.25" customHeight="1" x14ac:dyDescent="0.35">
      <c r="A129" s="48" t="s">
        <v>274</v>
      </c>
      <c r="B129" s="120">
        <v>3.27E-2</v>
      </c>
      <c r="C129" s="120">
        <v>1E-4</v>
      </c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4.25" customHeight="1" x14ac:dyDescent="0.35">
      <c r="A130" s="48" t="s">
        <v>275</v>
      </c>
      <c r="B130" s="120">
        <v>2.0999999999999999E-3</v>
      </c>
      <c r="C130" s="120">
        <v>0</v>
      </c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4.25" customHeight="1" x14ac:dyDescent="0.35">
      <c r="A131" s="48" t="s">
        <v>276</v>
      </c>
      <c r="B131" s="120">
        <v>3.3500000000000002E-2</v>
      </c>
      <c r="C131" s="120">
        <v>1E-4</v>
      </c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4.25" customHeight="1" x14ac:dyDescent="0.35">
      <c r="A132" s="48" t="s">
        <v>277</v>
      </c>
      <c r="B132" s="120">
        <v>1.09E-2</v>
      </c>
      <c r="C132" s="120">
        <v>2.0000000000000001E-4</v>
      </c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4.25" customHeight="1" x14ac:dyDescent="0.35">
      <c r="A133" s="48" t="s">
        <v>278</v>
      </c>
      <c r="B133" s="120">
        <v>-2.7000000000000001E-3</v>
      </c>
      <c r="C133" s="120">
        <v>1E-4</v>
      </c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4.25" customHeight="1" x14ac:dyDescent="0.35">
      <c r="A134" s="48" t="s">
        <v>279</v>
      </c>
      <c r="B134" s="120">
        <v>-7.3599999999999999E-2</v>
      </c>
      <c r="C134" s="120">
        <v>2.9999999999999997E-4</v>
      </c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4.25" customHeight="1" x14ac:dyDescent="0.35">
      <c r="A135" s="48" t="s">
        <v>280</v>
      </c>
      <c r="B135" s="120">
        <v>-8.3000000000000001E-3</v>
      </c>
      <c r="C135" s="120">
        <v>5.9999999999999995E-4</v>
      </c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4.25" customHeight="1" x14ac:dyDescent="0.35">
      <c r="A136" s="48" t="s">
        <v>281</v>
      </c>
      <c r="B136" s="120">
        <v>-4.2099999999999999E-2</v>
      </c>
      <c r="C136" s="120">
        <v>2.9999999999999997E-4</v>
      </c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4.25" customHeight="1" x14ac:dyDescent="0.35">
      <c r="A137" s="48" t="s">
        <v>282</v>
      </c>
      <c r="B137" s="120">
        <v>8.9099999999999999E-2</v>
      </c>
      <c r="C137" s="120">
        <v>2.9999999999999997E-4</v>
      </c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4.25" customHeight="1" x14ac:dyDescent="0.35">
      <c r="A138" s="48" t="s">
        <v>283</v>
      </c>
      <c r="B138" s="120">
        <v>-4.8600000000000004E-2</v>
      </c>
      <c r="C138" s="120">
        <v>2.0000000000000001E-4</v>
      </c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4.25" customHeight="1" x14ac:dyDescent="0.35">
      <c r="A139" s="48" t="s">
        <v>284</v>
      </c>
      <c r="B139" s="120">
        <v>-0.1361</v>
      </c>
      <c r="C139" s="120">
        <v>4.0000000000000002E-4</v>
      </c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4.25" customHeight="1" x14ac:dyDescent="0.35">
      <c r="A140" s="48" t="s">
        <v>285</v>
      </c>
      <c r="B140" s="120">
        <v>-9.6099999999999991E-2</v>
      </c>
      <c r="C140" s="120">
        <v>2.0000000000000001E-4</v>
      </c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4.25" customHeight="1" x14ac:dyDescent="0.35">
      <c r="A141" s="48" t="s">
        <v>286</v>
      </c>
      <c r="B141" s="120">
        <v>-8.3100000000000007E-2</v>
      </c>
      <c r="C141" s="120">
        <v>2.0000000000000001E-4</v>
      </c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4.25" customHeight="1" x14ac:dyDescent="0.35">
      <c r="A142" s="48" t="s">
        <v>287</v>
      </c>
      <c r="B142" s="120">
        <v>-4.24E-2</v>
      </c>
      <c r="C142" s="120">
        <v>0</v>
      </c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4.25" customHeight="1" x14ac:dyDescent="0.35">
      <c r="A143" s="48" t="s">
        <v>288</v>
      </c>
      <c r="B143" s="120">
        <v>4.8999999999999998E-3</v>
      </c>
      <c r="C143" s="120">
        <v>0</v>
      </c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4.25" customHeight="1" x14ac:dyDescent="0.35">
      <c r="A144" s="48" t="s">
        <v>289</v>
      </c>
      <c r="B144" s="120">
        <v>5.8400000000000001E-2</v>
      </c>
      <c r="C144" s="120">
        <v>0</v>
      </c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4.25" customHeight="1" x14ac:dyDescent="0.35">
      <c r="A145" s="48" t="s">
        <v>290</v>
      </c>
      <c r="B145" s="120">
        <v>-0.2382</v>
      </c>
      <c r="C145" s="120">
        <v>-1E-4</v>
      </c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4.25" customHeight="1" x14ac:dyDescent="0.35">
      <c r="A146" s="48" t="s">
        <v>291</v>
      </c>
      <c r="B146" s="120">
        <v>0.14510000000000001</v>
      </c>
      <c r="C146" s="120">
        <v>1E-4</v>
      </c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4.25" customHeight="1" x14ac:dyDescent="0.35">
      <c r="A147" s="48" t="s">
        <v>292</v>
      </c>
      <c r="B147" s="120">
        <v>-3.8300000000000001E-2</v>
      </c>
      <c r="C147" s="120">
        <v>0</v>
      </c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4.25" customHeight="1" x14ac:dyDescent="0.35">
      <c r="A148" s="48" t="s">
        <v>293</v>
      </c>
      <c r="B148" s="120">
        <v>0.23870000000000002</v>
      </c>
      <c r="C148" s="120">
        <v>0</v>
      </c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4.25" customHeight="1" x14ac:dyDescent="0.35">
      <c r="A149" s="48" t="s">
        <v>294</v>
      </c>
      <c r="B149" s="120">
        <v>7.3399999999999993E-2</v>
      </c>
      <c r="C149" s="120">
        <v>-1E-4</v>
      </c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4.25" customHeight="1" x14ac:dyDescent="0.35">
      <c r="A150" s="48" t="s">
        <v>295</v>
      </c>
      <c r="B150" s="120">
        <v>-2.6699999999999998E-2</v>
      </c>
      <c r="C150" s="120">
        <v>0</v>
      </c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4.25" customHeight="1" x14ac:dyDescent="0.35">
      <c r="A151" s="48" t="s">
        <v>296</v>
      </c>
      <c r="B151" s="120">
        <v>8.1000000000000013E-3</v>
      </c>
      <c r="C151" s="120">
        <v>2.0000000000000001E-4</v>
      </c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4.25" customHeight="1" x14ac:dyDescent="0.35">
      <c r="A152" s="48" t="s">
        <v>297</v>
      </c>
      <c r="B152" s="120">
        <v>7.8E-2</v>
      </c>
      <c r="C152" s="120">
        <v>1E-4</v>
      </c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4.25" customHeight="1" x14ac:dyDescent="0.35">
      <c r="A153" s="48" t="s">
        <v>298</v>
      </c>
      <c r="B153" s="120">
        <v>-1.72E-2</v>
      </c>
      <c r="C153" s="120">
        <v>-5.9999999999999995E-4</v>
      </c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4.25" customHeight="1" x14ac:dyDescent="0.35">
      <c r="A154" s="48" t="s">
        <v>299</v>
      </c>
      <c r="B154" s="120">
        <v>4.1900000000000007E-2</v>
      </c>
      <c r="C154" s="120">
        <v>0</v>
      </c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4.25" customHeight="1" x14ac:dyDescent="0.35">
      <c r="A155" s="48" t="s">
        <v>300</v>
      </c>
      <c r="B155" s="120">
        <v>-5.96E-2</v>
      </c>
      <c r="C155" s="120">
        <v>-1E-4</v>
      </c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4.25" customHeight="1" x14ac:dyDescent="0.35">
      <c r="A156" s="48" t="s">
        <v>301</v>
      </c>
      <c r="B156" s="120">
        <v>3.5099999999999999E-2</v>
      </c>
      <c r="C156" s="120">
        <v>1E-4</v>
      </c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4.25" customHeight="1" x14ac:dyDescent="0.35">
      <c r="A157" s="48" t="s">
        <v>302</v>
      </c>
      <c r="B157" s="120">
        <v>-0.11990000000000001</v>
      </c>
      <c r="C157" s="120">
        <v>-1E-4</v>
      </c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4.25" customHeight="1" x14ac:dyDescent="0.35">
      <c r="A158" s="48" t="s">
        <v>303</v>
      </c>
      <c r="B158" s="120">
        <v>-1.8E-3</v>
      </c>
      <c r="C158" s="120">
        <v>0</v>
      </c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4.25" customHeight="1" x14ac:dyDescent="0.35">
      <c r="A159" s="48" t="s">
        <v>304</v>
      </c>
      <c r="B159" s="120">
        <v>6.8000000000000005E-2</v>
      </c>
      <c r="C159" s="120">
        <v>1E-4</v>
      </c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4.25" customHeight="1" x14ac:dyDescent="0.35">
      <c r="A160" s="48" t="s">
        <v>305</v>
      </c>
      <c r="B160" s="120">
        <v>-5.3099999999999994E-2</v>
      </c>
      <c r="C160" s="120">
        <v>1E-4</v>
      </c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4.25" customHeight="1" x14ac:dyDescent="0.35">
      <c r="A161" s="48" t="s">
        <v>306</v>
      </c>
      <c r="B161" s="120">
        <v>0.1024</v>
      </c>
      <c r="C161" s="120">
        <v>0</v>
      </c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4.25" customHeight="1" x14ac:dyDescent="0.35">
      <c r="A162" s="48" t="s">
        <v>307</v>
      </c>
      <c r="B162" s="120">
        <v>-6.6799999999999998E-2</v>
      </c>
      <c r="C162" s="120">
        <v>-1E-4</v>
      </c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4.25" customHeight="1" x14ac:dyDescent="0.35">
      <c r="A163" s="48" t="s">
        <v>308</v>
      </c>
      <c r="B163" s="120">
        <v>0.16879999999999998</v>
      </c>
      <c r="C163" s="120">
        <v>1E-4</v>
      </c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4.25" customHeight="1" x14ac:dyDescent="0.35">
      <c r="A164" s="48" t="s">
        <v>309</v>
      </c>
      <c r="B164" s="120">
        <v>-5.3E-3</v>
      </c>
      <c r="C164" s="120">
        <v>0</v>
      </c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4.25" customHeight="1" x14ac:dyDescent="0.35">
      <c r="A165" s="48" t="s">
        <v>310</v>
      </c>
      <c r="B165" s="120">
        <v>-3.6200000000000003E-2</v>
      </c>
      <c r="C165" s="120">
        <v>0</v>
      </c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4.25" customHeight="1" x14ac:dyDescent="0.35">
      <c r="A166" s="48" t="s">
        <v>311</v>
      </c>
      <c r="B166" s="120">
        <v>3.0299999999999997E-2</v>
      </c>
      <c r="C166" s="120">
        <v>0</v>
      </c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4.25" customHeight="1" x14ac:dyDescent="0.35">
      <c r="A167" s="48" t="s">
        <v>312</v>
      </c>
      <c r="B167" s="120">
        <v>-2.41E-2</v>
      </c>
      <c r="C167" s="120">
        <v>0</v>
      </c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1:26" ht="14.25" customHeight="1" x14ac:dyDescent="0.35">
      <c r="A168" s="48" t="s">
        <v>313</v>
      </c>
      <c r="B168" s="120">
        <v>1.44E-2</v>
      </c>
      <c r="C168" s="120">
        <v>0</v>
      </c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4.25" customHeight="1" x14ac:dyDescent="0.35">
      <c r="A169" s="48" t="s">
        <v>314</v>
      </c>
      <c r="B169" s="120">
        <v>2.0499999999999997E-2</v>
      </c>
      <c r="C169" s="120">
        <v>0</v>
      </c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4.25" customHeight="1" x14ac:dyDescent="0.35">
      <c r="A170" s="48" t="s">
        <v>315</v>
      </c>
      <c r="B170" s="120">
        <v>2.2000000000000001E-3</v>
      </c>
      <c r="C170" s="120">
        <v>0</v>
      </c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4.25" customHeight="1" x14ac:dyDescent="0.35">
      <c r="A171" s="48" t="s">
        <v>316</v>
      </c>
      <c r="B171" s="120">
        <v>-0.2195</v>
      </c>
      <c r="C171" s="120">
        <v>-2.0000000000000001E-4</v>
      </c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4.25" customHeight="1" x14ac:dyDescent="0.35">
      <c r="A172" s="48" t="s">
        <v>317</v>
      </c>
      <c r="B172" s="120">
        <v>6.6699999999999995E-2</v>
      </c>
      <c r="C172" s="120">
        <v>0</v>
      </c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4.25" customHeight="1" x14ac:dyDescent="0.35">
      <c r="A173" s="48" t="s">
        <v>318</v>
      </c>
      <c r="B173" s="120">
        <v>3.1600000000000003E-2</v>
      </c>
      <c r="C173" s="120">
        <v>1E-4</v>
      </c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4.25" customHeight="1" x14ac:dyDescent="0.35">
      <c r="A174" s="48" t="s">
        <v>319</v>
      </c>
      <c r="B174" s="120">
        <v>2.1899999999999999E-2</v>
      </c>
      <c r="C174" s="120">
        <v>-1E-4</v>
      </c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4.25" customHeight="1" x14ac:dyDescent="0.35">
      <c r="A175" s="48" t="s">
        <v>320</v>
      </c>
      <c r="B175" s="120">
        <v>2.3900000000000001E-2</v>
      </c>
      <c r="C175" s="120">
        <v>0</v>
      </c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4.25" customHeight="1" x14ac:dyDescent="0.35">
      <c r="A176" s="48" t="s">
        <v>321</v>
      </c>
      <c r="B176" s="120">
        <v>3.0200000000000001E-2</v>
      </c>
      <c r="C176" s="120">
        <v>0</v>
      </c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4.25" customHeight="1" x14ac:dyDescent="0.35">
      <c r="A177" s="48" t="s">
        <v>322</v>
      </c>
      <c r="B177" s="120">
        <v>-1.61E-2</v>
      </c>
      <c r="C177" s="120">
        <v>0</v>
      </c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4.25" customHeight="1" x14ac:dyDescent="0.35">
      <c r="A178" s="48" t="s">
        <v>323</v>
      </c>
      <c r="B178" s="120">
        <v>6.8999999999999999E-3</v>
      </c>
      <c r="C178" s="120">
        <v>0</v>
      </c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4.25" customHeight="1" x14ac:dyDescent="0.35">
      <c r="A179" s="48" t="s">
        <v>324</v>
      </c>
      <c r="B179" s="120">
        <v>-4.1700000000000001E-2</v>
      </c>
      <c r="C179" s="120">
        <v>-1E-4</v>
      </c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4.25" customHeight="1" x14ac:dyDescent="0.35">
      <c r="A180" s="48" t="s">
        <v>325</v>
      </c>
      <c r="B180" s="120">
        <v>-1.43E-2</v>
      </c>
      <c r="C180" s="120">
        <v>-1E-4</v>
      </c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4.25" customHeight="1" x14ac:dyDescent="0.35">
      <c r="A181" s="48" t="s">
        <v>326</v>
      </c>
      <c r="B181" s="120">
        <v>8.3999999999999995E-3</v>
      </c>
      <c r="C181" s="120">
        <v>1E-4</v>
      </c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4.25" customHeight="1" x14ac:dyDescent="0.35">
      <c r="A182" s="48" t="s">
        <v>327</v>
      </c>
      <c r="B182" s="120">
        <v>-5.4600000000000003E-2</v>
      </c>
      <c r="C182" s="120">
        <v>-1E-4</v>
      </c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4.25" customHeight="1" x14ac:dyDescent="0.35">
      <c r="A183" s="48" t="s">
        <v>328</v>
      </c>
      <c r="B183" s="120">
        <v>1.3899999999999999E-2</v>
      </c>
      <c r="C183" s="120">
        <v>0</v>
      </c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4.25" customHeight="1" x14ac:dyDescent="0.35">
      <c r="A184" s="48" t="s">
        <v>329</v>
      </c>
      <c r="B184" s="120">
        <v>5.8299999999999998E-2</v>
      </c>
      <c r="C184" s="120">
        <v>0</v>
      </c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4.25" customHeight="1" x14ac:dyDescent="0.35">
      <c r="A185" s="48" t="s">
        <v>330</v>
      </c>
      <c r="B185" s="120">
        <v>5.8700000000000002E-2</v>
      </c>
      <c r="C185" s="120">
        <v>2.9999999999999997E-4</v>
      </c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4.25" customHeight="1" x14ac:dyDescent="0.35">
      <c r="A186" s="48" t="s">
        <v>331</v>
      </c>
      <c r="B186" s="120">
        <v>-1.7000000000000001E-3</v>
      </c>
      <c r="C186" s="120">
        <v>1E-4</v>
      </c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4.25" customHeight="1" x14ac:dyDescent="0.35">
      <c r="A187" s="48" t="s">
        <v>332</v>
      </c>
      <c r="B187" s="120">
        <v>-8.6999999999999994E-3</v>
      </c>
      <c r="C187" s="120">
        <v>1E-4</v>
      </c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4.25" customHeight="1" x14ac:dyDescent="0.35">
      <c r="A188" s="48" t="s">
        <v>333</v>
      </c>
      <c r="B188" s="120">
        <v>-5.2499999999999998E-2</v>
      </c>
      <c r="C188" s="120">
        <v>0</v>
      </c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4.25" customHeight="1" x14ac:dyDescent="0.35">
      <c r="A189" s="48" t="s">
        <v>334</v>
      </c>
      <c r="B189" s="120">
        <v>-1.9199999999999998E-2</v>
      </c>
      <c r="C189" s="120">
        <v>0</v>
      </c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4.25" customHeight="1" x14ac:dyDescent="0.35">
      <c r="A190" s="48" t="s">
        <v>335</v>
      </c>
      <c r="B190" s="120">
        <v>-4.87E-2</v>
      </c>
      <c r="C190" s="120">
        <v>1E-4</v>
      </c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4.25" customHeight="1" x14ac:dyDescent="0.35">
      <c r="A191" s="48" t="s">
        <v>336</v>
      </c>
      <c r="B191" s="120">
        <v>7.9000000000000008E-3</v>
      </c>
      <c r="C191" s="120">
        <v>2.0000000000000001E-4</v>
      </c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4.25" customHeight="1" x14ac:dyDescent="0.35">
      <c r="A192" s="48" t="s">
        <v>337</v>
      </c>
      <c r="B192" s="120">
        <v>-2.46E-2</v>
      </c>
      <c r="C192" s="120">
        <v>1E-4</v>
      </c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4.25" customHeight="1" x14ac:dyDescent="0.35">
      <c r="A193" s="48" t="s">
        <v>338</v>
      </c>
      <c r="B193" s="120">
        <v>-6.5799999999999997E-2</v>
      </c>
      <c r="C193" s="120">
        <v>1E-4</v>
      </c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4.25" customHeight="1" x14ac:dyDescent="0.35">
      <c r="A194" s="48" t="s">
        <v>339</v>
      </c>
      <c r="B194" s="120">
        <v>-4.3700000000000003E-2</v>
      </c>
      <c r="C194" s="120">
        <v>1E-4</v>
      </c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4.25" customHeight="1" x14ac:dyDescent="0.35">
      <c r="A195" s="48" t="s">
        <v>340</v>
      </c>
      <c r="B195" s="120">
        <v>5.9400000000000001E-2</v>
      </c>
      <c r="C195" s="120">
        <v>2.9999999999999997E-4</v>
      </c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4.25" customHeight="1" x14ac:dyDescent="0.35">
      <c r="A196" s="48" t="s">
        <v>341</v>
      </c>
      <c r="B196" s="120">
        <v>2.69E-2</v>
      </c>
      <c r="C196" s="120">
        <v>2.0000000000000001E-4</v>
      </c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4.25" customHeight="1" x14ac:dyDescent="0.35">
      <c r="A197" s="48" t="s">
        <v>342</v>
      </c>
      <c r="B197" s="120">
        <v>3.5099999999999999E-2</v>
      </c>
      <c r="C197" s="120">
        <v>2.9999999999999997E-4</v>
      </c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4.25" customHeight="1" x14ac:dyDescent="0.35">
      <c r="A198" s="48" t="s">
        <v>343</v>
      </c>
      <c r="B198" s="120">
        <v>1.8000000000000002E-2</v>
      </c>
      <c r="C198" s="120">
        <v>2.9999999999999997E-4</v>
      </c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4.25" customHeight="1" x14ac:dyDescent="0.35">
      <c r="A199" s="48" t="s">
        <v>344</v>
      </c>
      <c r="B199" s="120">
        <v>2.6099999999999998E-2</v>
      </c>
      <c r="C199" s="120">
        <v>2.9999999999999997E-4</v>
      </c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4.25" customHeight="1" x14ac:dyDescent="0.35">
      <c r="A200" s="48" t="s">
        <v>345</v>
      </c>
      <c r="B200" s="120">
        <v>6.8199999999999997E-2</v>
      </c>
      <c r="C200" s="120">
        <v>2.9999999999999997E-4</v>
      </c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4.25" customHeight="1" x14ac:dyDescent="0.35">
      <c r="A201" s="48" t="s">
        <v>346</v>
      </c>
      <c r="B201" s="120">
        <v>1.5E-3</v>
      </c>
      <c r="C201" s="120">
        <v>2.9999999999999997E-4</v>
      </c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4.25" customHeight="1" x14ac:dyDescent="0.35">
      <c r="A202" s="48" t="s">
        <v>347</v>
      </c>
      <c r="B202" s="120">
        <v>5.1200000000000002E-2</v>
      </c>
      <c r="C202" s="120">
        <v>2.9999999999999997E-4</v>
      </c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4.25" customHeight="1" x14ac:dyDescent="0.35">
      <c r="A203" s="48" t="s">
        <v>348</v>
      </c>
      <c r="B203" s="120">
        <v>7.1300000000000002E-2</v>
      </c>
      <c r="C203" s="120">
        <v>2.9999999999999997E-4</v>
      </c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4.25" customHeight="1" x14ac:dyDescent="0.35">
      <c r="A204" s="48" t="s">
        <v>349</v>
      </c>
      <c r="B204" s="120">
        <v>6.1500000000000006E-2</v>
      </c>
      <c r="C204" s="120">
        <v>2.9999999999999997E-4</v>
      </c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4.25" customHeight="1" x14ac:dyDescent="0.35">
      <c r="A205" s="48" t="s">
        <v>350</v>
      </c>
      <c r="B205" s="120">
        <v>6.0100000000000001E-2</v>
      </c>
      <c r="C205" s="120">
        <v>2.9999999999999997E-4</v>
      </c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4.25" customHeight="1" x14ac:dyDescent="0.35">
      <c r="A206" s="48" t="s">
        <v>351</v>
      </c>
      <c r="B206" s="120">
        <v>8.1000000000000013E-3</v>
      </c>
      <c r="C206" s="120">
        <v>2.9999999999999997E-4</v>
      </c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4.25" customHeight="1" x14ac:dyDescent="0.35">
      <c r="A207" s="48" t="s">
        <v>352</v>
      </c>
      <c r="B207" s="120">
        <v>5.74E-2</v>
      </c>
      <c r="C207" s="120">
        <v>2.9999999999999997E-4</v>
      </c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4.25" customHeight="1" x14ac:dyDescent="0.35">
      <c r="A208" s="48" t="s">
        <v>353</v>
      </c>
      <c r="B208" s="120">
        <v>1.8200000000000001E-2</v>
      </c>
      <c r="C208" s="120">
        <v>2.9999999999999997E-4</v>
      </c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4.25" customHeight="1" x14ac:dyDescent="0.35">
      <c r="A209" s="48" t="s">
        <v>354</v>
      </c>
      <c r="B209" s="120">
        <v>-4.7699999999999992E-2</v>
      </c>
      <c r="C209" s="120">
        <v>2.9999999999999997E-4</v>
      </c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4.25" customHeight="1" x14ac:dyDescent="0.35">
      <c r="A210" s="48" t="s">
        <v>355</v>
      </c>
      <c r="B210" s="120">
        <v>1.3000000000000001E-2</v>
      </c>
      <c r="C210" s="120">
        <v>2.9999999999999997E-4</v>
      </c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4.25" customHeight="1" x14ac:dyDescent="0.35">
      <c r="A211" s="48" t="s">
        <v>356</v>
      </c>
      <c r="B211" s="120">
        <v>2.4E-2</v>
      </c>
      <c r="C211" s="120">
        <v>2.9999999999999997E-4</v>
      </c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4.25" customHeight="1" x14ac:dyDescent="0.35">
      <c r="A212" s="48" t="s">
        <v>357</v>
      </c>
      <c r="B212" s="120">
        <v>-1.15E-2</v>
      </c>
      <c r="C212" s="120">
        <v>2.9999999999999997E-4</v>
      </c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4.25" customHeight="1" x14ac:dyDescent="0.35">
      <c r="A213" s="48" t="s">
        <v>358</v>
      </c>
      <c r="B213" s="120">
        <v>-5.91E-2</v>
      </c>
      <c r="C213" s="120">
        <v>2.9999999999999997E-4</v>
      </c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4.25" customHeight="1" x14ac:dyDescent="0.35">
      <c r="A214" s="48" t="s">
        <v>359</v>
      </c>
      <c r="B214" s="120">
        <v>6.3600000000000004E-2</v>
      </c>
      <c r="C214" s="120">
        <v>2.9999999999999997E-4</v>
      </c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4.25" customHeight="1" x14ac:dyDescent="0.35">
      <c r="A215" s="48" t="s">
        <v>360</v>
      </c>
      <c r="B215" s="120">
        <v>1.7399999999999999E-2</v>
      </c>
      <c r="C215" s="120">
        <v>2.9999999999999997E-4</v>
      </c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4.25" customHeight="1" x14ac:dyDescent="0.35">
      <c r="A216" s="48" t="s">
        <v>361</v>
      </c>
      <c r="B216" s="120">
        <v>3.7000000000000002E-3</v>
      </c>
      <c r="C216" s="120">
        <v>2.9999999999999997E-4</v>
      </c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4.25" customHeight="1" x14ac:dyDescent="0.35">
      <c r="A217" s="48" t="s">
        <v>362</v>
      </c>
      <c r="B217" s="120">
        <v>2.46E-2</v>
      </c>
      <c r="C217" s="120">
        <v>2.0000000000000001E-4</v>
      </c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4.25" customHeight="1" x14ac:dyDescent="0.35">
      <c r="A218" s="48" t="s">
        <v>363</v>
      </c>
      <c r="B218" s="120">
        <v>-1.6899999999999998E-2</v>
      </c>
      <c r="C218" s="120">
        <v>2.9999999999999997E-4</v>
      </c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4.25" customHeight="1" x14ac:dyDescent="0.35">
      <c r="A219" s="48" t="s">
        <v>364</v>
      </c>
      <c r="B219" s="120">
        <v>5.0700000000000002E-2</v>
      </c>
      <c r="C219" s="120">
        <v>2.9999999999999997E-4</v>
      </c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4.25" customHeight="1" x14ac:dyDescent="0.35">
      <c r="A220" s="48" t="s">
        <v>365</v>
      </c>
      <c r="B220" s="120">
        <v>5.4900000000000004E-2</v>
      </c>
      <c r="C220" s="120">
        <v>2.9999999999999997E-4</v>
      </c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4.25" customHeight="1" x14ac:dyDescent="0.35">
      <c r="A221" s="48" t="s">
        <v>366</v>
      </c>
      <c r="B221" s="120">
        <v>-1.49E-2</v>
      </c>
      <c r="C221" s="120">
        <v>2.9999999999999997E-4</v>
      </c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4.25" customHeight="1" x14ac:dyDescent="0.35">
      <c r="A222" s="48" t="s">
        <v>367</v>
      </c>
      <c r="B222" s="120">
        <v>1.5700000000000002E-2</v>
      </c>
      <c r="C222" s="120">
        <v>2.9999999999999997E-4</v>
      </c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4.25" customHeight="1" x14ac:dyDescent="0.35">
      <c r="A223" s="48" t="s">
        <v>368</v>
      </c>
      <c r="B223" s="120">
        <v>1E-4</v>
      </c>
      <c r="C223" s="120">
        <v>2.0000000000000001E-4</v>
      </c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4.25" customHeight="1" x14ac:dyDescent="0.35">
      <c r="A224" s="48" t="s">
        <v>369</v>
      </c>
      <c r="B224" s="120">
        <v>1.6000000000000001E-3</v>
      </c>
      <c r="C224" s="120">
        <v>2.9999999999999997E-4</v>
      </c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4.25" customHeight="1" x14ac:dyDescent="0.35">
      <c r="A225" s="48" t="s">
        <v>370</v>
      </c>
      <c r="B225" s="120">
        <v>1.7100000000000001E-2</v>
      </c>
      <c r="C225" s="120">
        <v>2.9999999999999997E-4</v>
      </c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4.25" customHeight="1" x14ac:dyDescent="0.35">
      <c r="A226" s="48" t="s">
        <v>371</v>
      </c>
      <c r="B226" s="120">
        <v>4.0300000000000002E-2</v>
      </c>
      <c r="C226" s="120">
        <v>2.0000000000000001E-4</v>
      </c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4.25" customHeight="1" x14ac:dyDescent="0.35">
      <c r="A227" s="48" t="s">
        <v>372</v>
      </c>
      <c r="B227" s="120">
        <v>2.0099999999999996E-2</v>
      </c>
      <c r="C227" s="120">
        <v>2.9999999999999997E-4</v>
      </c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4.25" customHeight="1" x14ac:dyDescent="0.35">
      <c r="A228" s="48" t="s">
        <v>373</v>
      </c>
      <c r="B228" s="120">
        <v>6.2300000000000001E-2</v>
      </c>
      <c r="C228" s="120">
        <v>2.0000000000000001E-4</v>
      </c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4.25" customHeight="1" x14ac:dyDescent="0.35">
      <c r="A229" s="48" t="s">
        <v>374</v>
      </c>
      <c r="B229" s="120">
        <v>-3.8900000000000004E-2</v>
      </c>
      <c r="C229" s="120">
        <v>2.0000000000000001E-4</v>
      </c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4.25" customHeight="1" x14ac:dyDescent="0.35">
      <c r="A230" s="48" t="s">
        <v>375</v>
      </c>
      <c r="B230" s="120">
        <v>7.8E-2</v>
      </c>
      <c r="C230" s="120">
        <v>2.9999999999999997E-4</v>
      </c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4.25" customHeight="1" x14ac:dyDescent="0.35">
      <c r="A231" s="48" t="s">
        <v>376</v>
      </c>
      <c r="B231" s="120">
        <v>1.7299999999999999E-2</v>
      </c>
      <c r="C231" s="120">
        <v>2.9999999999999997E-4</v>
      </c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4.25" customHeight="1" x14ac:dyDescent="0.35">
      <c r="A232" s="48" t="s">
        <v>377</v>
      </c>
      <c r="B232" s="120">
        <v>3.9000000000000003E-3</v>
      </c>
      <c r="C232" s="120">
        <v>2.0000000000000001E-4</v>
      </c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4.25" customHeight="1" x14ac:dyDescent="0.35">
      <c r="A233" s="48" t="s">
        <v>378</v>
      </c>
      <c r="B233" s="120">
        <v>-2.1700000000000001E-2</v>
      </c>
      <c r="C233" s="120">
        <v>2.9999999999999997E-4</v>
      </c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4.25" customHeight="1" x14ac:dyDescent="0.35">
      <c r="A234" s="48" t="s">
        <v>379</v>
      </c>
      <c r="B234" s="120">
        <v>6.2E-2</v>
      </c>
      <c r="C234" s="120">
        <v>2.9999999999999997E-4</v>
      </c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4.25" customHeight="1" x14ac:dyDescent="0.35">
      <c r="A235" s="48" t="s">
        <v>380</v>
      </c>
      <c r="B235" s="120">
        <v>4.7699999999999992E-2</v>
      </c>
      <c r="C235" s="120">
        <v>2.9999999999999997E-4</v>
      </c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4.25" customHeight="1" x14ac:dyDescent="0.35">
      <c r="A236" s="48" t="s">
        <v>381</v>
      </c>
      <c r="B236" s="120">
        <v>3.8900000000000004E-2</v>
      </c>
      <c r="C236" s="120">
        <v>2.9999999999999997E-4</v>
      </c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4.25" customHeight="1" x14ac:dyDescent="0.35">
      <c r="A237" s="48" t="s">
        <v>382</v>
      </c>
      <c r="B237" s="120">
        <v>5.3899999999999997E-2</v>
      </c>
      <c r="C237" s="120">
        <v>2.0000000000000001E-4</v>
      </c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4.25" customHeight="1" x14ac:dyDescent="0.35">
      <c r="A238" s="48" t="s">
        <v>383</v>
      </c>
      <c r="B238" s="120">
        <v>1.2E-2</v>
      </c>
      <c r="C238" s="120">
        <v>2.9999999999999997E-4</v>
      </c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4.25" customHeight="1" x14ac:dyDescent="0.35">
      <c r="A239" s="48" t="s">
        <v>384</v>
      </c>
      <c r="B239" s="120">
        <v>6.2400000000000004E-2</v>
      </c>
      <c r="C239" s="120">
        <v>2.9999999999999997E-4</v>
      </c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spans="1:26" ht="14.25" customHeight="1" x14ac:dyDescent="0.35">
      <c r="A240" s="48" t="s">
        <v>385</v>
      </c>
      <c r="B240" s="120">
        <v>-5.8299999999999998E-2</v>
      </c>
      <c r="C240" s="120">
        <v>2.9999999999999997E-4</v>
      </c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spans="1:26" ht="14.25" customHeight="1" x14ac:dyDescent="0.35">
      <c r="A241" s="48" t="s">
        <v>386</v>
      </c>
      <c r="B241" s="120">
        <v>5.8700000000000002E-2</v>
      </c>
      <c r="C241" s="120">
        <v>2.9999999999999997E-4</v>
      </c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spans="1:26" ht="14.25" customHeight="1" x14ac:dyDescent="0.35">
      <c r="A242" s="48" t="s">
        <v>387</v>
      </c>
      <c r="B242" s="120">
        <v>4.2300000000000004E-2</v>
      </c>
      <c r="C242" s="120">
        <v>2.9999999999999997E-4</v>
      </c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spans="1:26" ht="14.25" customHeight="1" x14ac:dyDescent="0.35">
      <c r="A243" s="48" t="s">
        <v>388</v>
      </c>
      <c r="B243" s="120">
        <v>3.9300000000000002E-2</v>
      </c>
      <c r="C243" s="120">
        <v>2.9999999999999997E-4</v>
      </c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spans="1:26" ht="14.25" customHeight="1" x14ac:dyDescent="0.35">
      <c r="A244" s="48" t="s">
        <v>389</v>
      </c>
      <c r="B244" s="120">
        <v>-3.8900000000000004E-2</v>
      </c>
      <c r="C244" s="120">
        <v>2.9999999999999997E-4</v>
      </c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spans="1:26" ht="14.25" customHeight="1" x14ac:dyDescent="0.35">
      <c r="A245" s="48" t="s">
        <v>390</v>
      </c>
      <c r="B245" s="120">
        <v>-2.69E-2</v>
      </c>
      <c r="C245" s="120">
        <v>2.9999999999999997E-4</v>
      </c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spans="1:26" ht="14.25" customHeight="1" x14ac:dyDescent="0.35">
      <c r="A246" s="48" t="s">
        <v>391</v>
      </c>
      <c r="B246" s="120">
        <v>-6.4399999999999999E-2</v>
      </c>
      <c r="C246" s="120">
        <v>2.9999999999999997E-4</v>
      </c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spans="1:26" ht="14.25" customHeight="1" x14ac:dyDescent="0.35">
      <c r="A247" s="48" t="s">
        <v>392</v>
      </c>
      <c r="B247" s="120">
        <v>-0.1017</v>
      </c>
      <c r="C247" s="120">
        <v>2.9999999999999997E-4</v>
      </c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spans="1:26" ht="14.25" customHeight="1" x14ac:dyDescent="0.35">
      <c r="A248" s="48" t="s">
        <v>393</v>
      </c>
      <c r="B248" s="120">
        <v>-1.44E-2</v>
      </c>
      <c r="C248" s="120">
        <v>2.9999999999999997E-4</v>
      </c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spans="1:26" ht="14.25" customHeight="1" x14ac:dyDescent="0.35">
      <c r="A249" s="48" t="s">
        <v>394</v>
      </c>
      <c r="B249" s="120">
        <v>-1E-4</v>
      </c>
      <c r="C249" s="120">
        <v>2.9999999999999997E-4</v>
      </c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spans="1:26" ht="14.25" customHeight="1" x14ac:dyDescent="0.35">
      <c r="A250" s="48" t="s">
        <v>395</v>
      </c>
      <c r="B250" s="120">
        <v>4.9599999999999998E-2</v>
      </c>
      <c r="C250" s="120">
        <v>2.9999999999999997E-4</v>
      </c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spans="1:26" ht="14.25" customHeight="1" x14ac:dyDescent="0.35">
      <c r="A251" s="48" t="s">
        <v>396</v>
      </c>
      <c r="B251" s="120">
        <v>1.2500000000000001E-2</v>
      </c>
      <c r="C251" s="120">
        <v>2.9999999999999997E-4</v>
      </c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spans="1:26" ht="14.25" customHeight="1" x14ac:dyDescent="0.35">
      <c r="A252" s="48" t="s">
        <v>397</v>
      </c>
      <c r="B252" s="120">
        <v>-1.0800000000000001E-2</v>
      </c>
      <c r="C252" s="120">
        <v>2.9999999999999997E-4</v>
      </c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spans="1:26" ht="14.25" customHeight="1" x14ac:dyDescent="0.35">
      <c r="A253" s="48" t="s">
        <v>398</v>
      </c>
      <c r="B253" s="120">
        <v>-1.67E-2</v>
      </c>
      <c r="C253" s="120">
        <v>2.9999999999999997E-4</v>
      </c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spans="1:26" ht="14.25" customHeight="1" x14ac:dyDescent="0.35">
      <c r="A254" s="48" t="s">
        <v>399</v>
      </c>
      <c r="B254" s="120">
        <v>-4.8000000000000001E-2</v>
      </c>
      <c r="C254" s="120">
        <v>2.9999999999999997E-4</v>
      </c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spans="1:26" ht="14.25" customHeight="1" x14ac:dyDescent="0.35">
      <c r="A255" s="48" t="s">
        <v>400</v>
      </c>
      <c r="B255" s="120">
        <v>-9.7000000000000003E-3</v>
      </c>
      <c r="C255" s="120">
        <v>2.9999999999999997E-4</v>
      </c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spans="1:26" ht="14.25" customHeight="1" x14ac:dyDescent="0.35">
      <c r="A256" s="48" t="s">
        <v>401</v>
      </c>
      <c r="B256" s="120">
        <v>5.2900000000000003E-2</v>
      </c>
      <c r="C256" s="120">
        <v>2.9999999999999997E-4</v>
      </c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spans="1:26" ht="14.25" customHeight="1" x14ac:dyDescent="0.35">
      <c r="A257" s="48" t="s">
        <v>402</v>
      </c>
      <c r="B257" s="120">
        <v>4.1399999999999999E-2</v>
      </c>
      <c r="C257" s="120">
        <v>2.9999999999999997E-4</v>
      </c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spans="1:26" ht="14.25" customHeight="1" x14ac:dyDescent="0.35">
      <c r="A258" s="48" t="s">
        <v>403</v>
      </c>
      <c r="B258" s="120">
        <v>-1.7399999999999999E-2</v>
      </c>
      <c r="C258" s="120">
        <v>2.9999999999999997E-4</v>
      </c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spans="1:26" ht="14.25" customHeight="1" x14ac:dyDescent="0.35">
      <c r="A259" s="48" t="s">
        <v>404</v>
      </c>
      <c r="B259" s="120">
        <v>-5.4000000000000003E-3</v>
      </c>
      <c r="C259" s="120">
        <v>5.9999999999999995E-4</v>
      </c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spans="1:26" ht="14.25" customHeight="1" x14ac:dyDescent="0.35">
      <c r="A260" s="48" t="s">
        <v>405</v>
      </c>
      <c r="B260" s="120">
        <v>2.4700000000000003E-2</v>
      </c>
      <c r="C260" s="120">
        <v>5.9999999999999995E-4</v>
      </c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spans="1:26" ht="14.25" customHeight="1" x14ac:dyDescent="0.35">
      <c r="A261" s="48" t="s">
        <v>406</v>
      </c>
      <c r="B261" s="120">
        <v>-1.9699999999999999E-2</v>
      </c>
      <c r="C261" s="120">
        <v>5.9999999999999995E-4</v>
      </c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spans="1:26" ht="14.25" customHeight="1" x14ac:dyDescent="0.35">
      <c r="A262" s="48" t="s">
        <v>407</v>
      </c>
      <c r="B262" s="120">
        <v>0.03</v>
      </c>
      <c r="C262" s="120">
        <v>8.0000000000000004E-4</v>
      </c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spans="1:26" ht="14.25" customHeight="1" x14ac:dyDescent="0.35">
      <c r="A263" s="48" t="s">
        <v>408</v>
      </c>
      <c r="B263" s="120">
        <v>-3.9300000000000002E-2</v>
      </c>
      <c r="C263" s="120">
        <v>7.000000000000001E-4</v>
      </c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spans="1:26" ht="14.25" customHeight="1" x14ac:dyDescent="0.35">
      <c r="A264" s="48" t="s">
        <v>409</v>
      </c>
      <c r="B264" s="120">
        <v>-4.3799999999999999E-2</v>
      </c>
      <c r="C264" s="120">
        <v>7.000000000000001E-4</v>
      </c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spans="1:26" ht="14.25" customHeight="1" x14ac:dyDescent="0.35">
      <c r="A265" s="48" t="s">
        <v>410</v>
      </c>
      <c r="B265" s="120">
        <v>8.0700000000000008E-2</v>
      </c>
      <c r="C265" s="120">
        <v>8.9999999999999998E-4</v>
      </c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spans="1:26" ht="14.25" customHeight="1" x14ac:dyDescent="0.35">
      <c r="A266" s="48" t="s">
        <v>411</v>
      </c>
      <c r="B266" s="120">
        <v>3.6499999999999998E-2</v>
      </c>
      <c r="C266" s="120">
        <v>8.0000000000000004E-4</v>
      </c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spans="1:26" ht="14.25" customHeight="1" x14ac:dyDescent="0.35">
      <c r="A267" s="48" t="s">
        <v>412</v>
      </c>
      <c r="B267" s="120">
        <v>7.2999999999999995E-2</v>
      </c>
      <c r="C267" s="120">
        <v>8.0000000000000004E-4</v>
      </c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spans="1:26" ht="14.25" customHeight="1" x14ac:dyDescent="0.35">
      <c r="A268" s="48" t="s">
        <v>413</v>
      </c>
      <c r="B268" s="120">
        <v>-1E-3</v>
      </c>
      <c r="C268" s="120">
        <v>8.9999999999999998E-4</v>
      </c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spans="1:26" ht="14.25" customHeight="1" x14ac:dyDescent="0.35">
      <c r="A269" s="48" t="s">
        <v>414</v>
      </c>
      <c r="B269" s="120">
        <v>-5.0900000000000001E-2</v>
      </c>
      <c r="C269" s="120">
        <v>8.0000000000000004E-4</v>
      </c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spans="1:26" ht="14.25" customHeight="1" x14ac:dyDescent="0.35">
      <c r="A270" s="48" t="s">
        <v>415</v>
      </c>
      <c r="B270" s="120">
        <v>2.5000000000000001E-3</v>
      </c>
      <c r="C270" s="120">
        <v>8.9999999999999998E-4</v>
      </c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spans="1:26" ht="14.25" customHeight="1" x14ac:dyDescent="0.35">
      <c r="A271" s="48" t="s">
        <v>416</v>
      </c>
      <c r="B271" s="120">
        <v>-2.9700000000000001E-2</v>
      </c>
      <c r="C271" s="120">
        <v>4.0000000000000002E-4</v>
      </c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spans="1:26" ht="14.25" customHeight="1" x14ac:dyDescent="0.35">
      <c r="A272" s="48" t="s">
        <v>417</v>
      </c>
      <c r="B272" s="120">
        <v>5.96E-2</v>
      </c>
      <c r="C272" s="120">
        <v>4.0000000000000002E-4</v>
      </c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spans="1:26" ht="14.25" customHeight="1" x14ac:dyDescent="0.35">
      <c r="A273" s="48" t="s">
        <v>418</v>
      </c>
      <c r="B273" s="120">
        <v>-9.3000000000000013E-2</v>
      </c>
      <c r="C273" s="120">
        <v>4.0000000000000002E-4</v>
      </c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spans="1:26" ht="14.25" customHeight="1" x14ac:dyDescent="0.35">
      <c r="A274" s="48" t="s">
        <v>419</v>
      </c>
      <c r="B274" s="120">
        <v>3.2599999999999997E-2</v>
      </c>
      <c r="C274" s="120">
        <v>4.0000000000000002E-4</v>
      </c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spans="1:26" ht="14.25" customHeight="1" x14ac:dyDescent="0.35">
      <c r="A275" s="48" t="s">
        <v>420</v>
      </c>
      <c r="B275" s="120">
        <v>2.3E-3</v>
      </c>
      <c r="C275" s="120">
        <v>1E-3</v>
      </c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spans="1:26" ht="14.25" customHeight="1" x14ac:dyDescent="0.35">
      <c r="A276" s="48" t="s">
        <v>421</v>
      </c>
      <c r="B276" s="120">
        <v>-2.9300000000000003E-2</v>
      </c>
      <c r="C276" s="120">
        <v>8.9999999999999998E-4</v>
      </c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spans="1:26" ht="14.25" customHeight="1" x14ac:dyDescent="0.35">
      <c r="A277" s="48" t="s">
        <v>422</v>
      </c>
      <c r="B277" s="120">
        <v>4.0399999999999998E-2</v>
      </c>
      <c r="C277" s="120">
        <v>1E-3</v>
      </c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spans="1:26" ht="14.25" customHeight="1" x14ac:dyDescent="0.35">
      <c r="A278" s="48" t="s">
        <v>423</v>
      </c>
      <c r="B278" s="120">
        <v>-1.8700000000000001E-2</v>
      </c>
      <c r="C278" s="120">
        <v>8.9999999999999998E-4</v>
      </c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spans="1:26" ht="14.25" customHeight="1" x14ac:dyDescent="0.35">
      <c r="A279" s="48" t="s">
        <v>424</v>
      </c>
      <c r="B279" s="120">
        <v>-2.9399999999999999E-2</v>
      </c>
      <c r="C279" s="120">
        <v>1E-3</v>
      </c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spans="1:26" ht="14.25" customHeight="1" x14ac:dyDescent="0.35">
      <c r="A280" s="48" t="s">
        <v>425</v>
      </c>
      <c r="B280" s="120">
        <v>1E-3</v>
      </c>
      <c r="C280" s="120">
        <v>1E-3</v>
      </c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spans="1:26" ht="14.25" customHeight="1" x14ac:dyDescent="0.35">
      <c r="A281" s="48" t="s">
        <v>426</v>
      </c>
      <c r="B281" s="120">
        <v>5.5399999999999998E-2</v>
      </c>
      <c r="C281" s="120">
        <v>8.9999999999999998E-4</v>
      </c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spans="1:26" ht="14.25" customHeight="1" x14ac:dyDescent="0.35">
      <c r="A282" s="48" t="s">
        <v>427</v>
      </c>
      <c r="B282" s="120">
        <v>2.6000000000000002E-2</v>
      </c>
      <c r="C282" s="120">
        <v>8.9999999999999998E-4</v>
      </c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spans="1:26" ht="14.25" customHeight="1" x14ac:dyDescent="0.35">
      <c r="A283" s="48" t="s">
        <v>428</v>
      </c>
      <c r="B283" s="120">
        <v>3.0899999999999997E-2</v>
      </c>
      <c r="C283" s="120">
        <v>8.9999999999999998E-4</v>
      </c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spans="1:26" ht="14.25" customHeight="1" x14ac:dyDescent="0.35">
      <c r="A284" s="48" t="s">
        <v>429</v>
      </c>
      <c r="B284" s="120">
        <v>3.1400000000000004E-2</v>
      </c>
      <c r="C284" s="120">
        <v>8.9999999999999998E-4</v>
      </c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spans="1:26" ht="14.25" customHeight="1" x14ac:dyDescent="0.35">
      <c r="A285" s="48" t="s">
        <v>430</v>
      </c>
      <c r="B285" s="120">
        <v>1.8200000000000001E-2</v>
      </c>
      <c r="C285" s="120">
        <v>8.0000000000000004E-4</v>
      </c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spans="1:26" ht="14.25" customHeight="1" x14ac:dyDescent="0.35">
      <c r="A286" s="48" t="s">
        <v>431</v>
      </c>
      <c r="B286" s="120">
        <v>5.1299999999999998E-2</v>
      </c>
      <c r="C286" s="120">
        <v>8.9999999999999998E-4</v>
      </c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spans="1:26" ht="14.25" customHeight="1" x14ac:dyDescent="0.35">
      <c r="A287" s="48" t="s">
        <v>432</v>
      </c>
      <c r="B287" s="120">
        <v>1.7000000000000001E-2</v>
      </c>
      <c r="C287" s="120">
        <v>8.9999999999999998E-4</v>
      </c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spans="1:26" ht="14.25" customHeight="1" x14ac:dyDescent="0.35">
      <c r="A288" s="48" t="s">
        <v>433</v>
      </c>
      <c r="B288" s="120">
        <v>1.4800000000000001E-2</v>
      </c>
      <c r="C288" s="120">
        <v>8.9999999999999998E-4</v>
      </c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spans="1:26" ht="14.25" customHeight="1" x14ac:dyDescent="0.35">
      <c r="A289" s="48" t="s">
        <v>434</v>
      </c>
      <c r="B289" s="120">
        <v>1.26E-2</v>
      </c>
      <c r="C289" s="120">
        <v>1E-3</v>
      </c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spans="1:26" ht="14.25" customHeight="1" x14ac:dyDescent="0.35">
      <c r="A290" s="48" t="s">
        <v>435</v>
      </c>
      <c r="B290" s="120">
        <v>3.9399999999999998E-2</v>
      </c>
      <c r="C290" s="120">
        <v>8.9999999999999998E-4</v>
      </c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spans="1:26" ht="14.25" customHeight="1" x14ac:dyDescent="0.35">
      <c r="A291" s="48" t="s">
        <v>436</v>
      </c>
      <c r="B291" s="120">
        <v>4.3099999999999999E-2</v>
      </c>
      <c r="C291" s="120">
        <v>1E-3</v>
      </c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spans="1:26" ht="14.25" customHeight="1" x14ac:dyDescent="0.35">
      <c r="A292" s="48" t="s">
        <v>437</v>
      </c>
      <c r="B292" s="120">
        <v>-5.9400000000000001E-2</v>
      </c>
      <c r="C292" s="120">
        <v>1E-3</v>
      </c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spans="1:26" ht="14.25" customHeight="1" x14ac:dyDescent="0.35">
      <c r="A293" s="48" t="s">
        <v>438</v>
      </c>
      <c r="B293" s="120">
        <v>1.3600000000000001E-2</v>
      </c>
      <c r="C293" s="120">
        <v>1E-3</v>
      </c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spans="1:26" ht="14.25" customHeight="1" x14ac:dyDescent="0.35">
      <c r="A294" s="48" t="s">
        <v>439</v>
      </c>
      <c r="B294" s="120">
        <v>4.8499999999999995E-2</v>
      </c>
      <c r="C294" s="120">
        <v>1E-3</v>
      </c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spans="1:26" ht="14.25" customHeight="1" x14ac:dyDescent="0.35">
      <c r="A295" s="48" t="s">
        <v>440</v>
      </c>
      <c r="B295" s="120">
        <v>4.8099999999999997E-2</v>
      </c>
      <c r="C295" s="120">
        <v>1E-3</v>
      </c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spans="1:26" ht="14.25" customHeight="1" x14ac:dyDescent="0.35">
      <c r="A296" s="48" t="s">
        <v>441</v>
      </c>
      <c r="B296" s="120">
        <v>-1.8E-3</v>
      </c>
      <c r="C296" s="120">
        <v>1.1999999999999999E-3</v>
      </c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spans="1:26" ht="14.25" customHeight="1" x14ac:dyDescent="0.35">
      <c r="A297" s="48" t="s">
        <v>442</v>
      </c>
      <c r="B297" s="120">
        <v>2.76E-2</v>
      </c>
      <c r="C297" s="120">
        <v>1.1000000000000001E-3</v>
      </c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spans="1:26" ht="14.25" customHeight="1" x14ac:dyDescent="0.35">
      <c r="A298" s="48" t="s">
        <v>443</v>
      </c>
      <c r="B298" s="120">
        <v>5.5399999999999998E-2</v>
      </c>
      <c r="C298" s="120">
        <v>1.1000000000000001E-3</v>
      </c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1:26" ht="14.25" customHeight="1" x14ac:dyDescent="0.35">
      <c r="A299" s="48" t="s">
        <v>444</v>
      </c>
      <c r="B299" s="120">
        <v>5.7000000000000002E-2</v>
      </c>
      <c r="C299" s="120">
        <v>1.2999999999999999E-3</v>
      </c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1:26" ht="14.25" customHeight="1" x14ac:dyDescent="0.35">
      <c r="A300" s="48" t="s">
        <v>445</v>
      </c>
      <c r="B300" s="120">
        <v>1.41E-2</v>
      </c>
      <c r="C300" s="120">
        <v>1E-3</v>
      </c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1:26" ht="14.25" customHeight="1" x14ac:dyDescent="0.35">
      <c r="A301" s="48" t="s">
        <v>446</v>
      </c>
      <c r="B301" s="120">
        <v>-2.1499999999999998E-2</v>
      </c>
      <c r="C301" s="120">
        <v>1.1000000000000001E-3</v>
      </c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1:26" ht="14.25" customHeight="1" x14ac:dyDescent="0.35">
      <c r="A302" s="48" t="s">
        <v>447</v>
      </c>
      <c r="B302" s="120">
        <v>4.8600000000000004E-2</v>
      </c>
      <c r="C302" s="120">
        <v>1.2999999999999999E-3</v>
      </c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1:26" ht="14.25" customHeight="1" x14ac:dyDescent="0.35">
      <c r="A303" s="48" t="s">
        <v>448</v>
      </c>
      <c r="B303" s="120">
        <v>-2.3399999999999997E-2</v>
      </c>
      <c r="C303" s="120">
        <v>1.1999999999999999E-3</v>
      </c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spans="1:26" ht="14.25" customHeight="1" x14ac:dyDescent="0.35">
      <c r="A304" s="48" t="s">
        <v>449</v>
      </c>
      <c r="B304" s="120">
        <v>-2.6200000000000001E-2</v>
      </c>
      <c r="C304" s="120">
        <v>1.1999999999999999E-3</v>
      </c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1:26" ht="14.25" customHeight="1" x14ac:dyDescent="0.35">
      <c r="A305" s="48" t="s">
        <v>450</v>
      </c>
      <c r="B305" s="120">
        <v>6.9400000000000003E-2</v>
      </c>
      <c r="C305" s="120">
        <v>1.2999999999999999E-3</v>
      </c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1:26" ht="14.25" customHeight="1" x14ac:dyDescent="0.35">
      <c r="A306" s="48" t="s">
        <v>451</v>
      </c>
      <c r="B306" s="120">
        <v>4.2699999999999995E-2</v>
      </c>
      <c r="C306" s="120">
        <v>1.2999999999999999E-3</v>
      </c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1:26" ht="14.25" customHeight="1" x14ac:dyDescent="0.35">
      <c r="A307" s="48" t="s">
        <v>452</v>
      </c>
      <c r="B307" s="120">
        <v>6.9999999999999993E-3</v>
      </c>
      <c r="C307" s="120">
        <v>1.1999999999999999E-3</v>
      </c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1:26" ht="14.25" customHeight="1" x14ac:dyDescent="0.35">
      <c r="A308" s="48" t="s">
        <v>453</v>
      </c>
      <c r="B308" s="120">
        <v>-2.53E-2</v>
      </c>
      <c r="C308" s="120">
        <v>1.6000000000000001E-3</v>
      </c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1:26" ht="14.25" customHeight="1" x14ac:dyDescent="0.35">
      <c r="A309" s="48" t="s">
        <v>454</v>
      </c>
      <c r="B309" s="120">
        <v>5.6999999999999993E-3</v>
      </c>
      <c r="C309" s="120">
        <v>1.1000000000000001E-3</v>
      </c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1:26" ht="14.25" customHeight="1" x14ac:dyDescent="0.35">
      <c r="A310" s="48" t="s">
        <v>455</v>
      </c>
      <c r="B310" s="120">
        <v>3.3300000000000003E-2</v>
      </c>
      <c r="C310" s="120">
        <v>1.1999999999999999E-3</v>
      </c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1:26" ht="14.25" customHeight="1" x14ac:dyDescent="0.35">
      <c r="A311" s="48" t="s">
        <v>456</v>
      </c>
      <c r="B311" s="120">
        <v>1.4499999999999999E-2</v>
      </c>
      <c r="C311" s="120">
        <v>1.5E-3</v>
      </c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1:26" ht="14.25" customHeight="1" x14ac:dyDescent="0.35">
      <c r="A312" s="48" t="s">
        <v>457</v>
      </c>
      <c r="B312" s="120">
        <v>-2.6200000000000001E-2</v>
      </c>
      <c r="C312" s="120">
        <v>1.1999999999999999E-3</v>
      </c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1:26" ht="14.25" customHeight="1" x14ac:dyDescent="0.35">
      <c r="A313" s="48" t="s">
        <v>458</v>
      </c>
      <c r="B313" s="120">
        <v>4.4400000000000002E-2</v>
      </c>
      <c r="C313" s="120">
        <v>1.1000000000000001E-3</v>
      </c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spans="1:26" ht="14.25" customHeight="1" x14ac:dyDescent="0.35">
      <c r="A314" s="48" t="s">
        <v>459</v>
      </c>
      <c r="B314" s="120">
        <v>-4.9699999999999994E-2</v>
      </c>
      <c r="C314" s="120">
        <v>1.1999999999999999E-3</v>
      </c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1:26" ht="14.25" customHeight="1" x14ac:dyDescent="0.35">
      <c r="A315" s="48" t="s">
        <v>460</v>
      </c>
      <c r="B315" s="120">
        <v>3.2000000000000001E-2</v>
      </c>
      <c r="C315" s="120">
        <v>1.2999999999999999E-3</v>
      </c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1:26" ht="14.25" customHeight="1" x14ac:dyDescent="0.35">
      <c r="A316" s="48" t="s">
        <v>461</v>
      </c>
      <c r="B316" s="120">
        <v>3.8300000000000001E-2</v>
      </c>
      <c r="C316" s="120">
        <v>1.5E-3</v>
      </c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1:26" ht="14.25" customHeight="1" x14ac:dyDescent="0.35">
      <c r="A317" s="48" t="s">
        <v>462</v>
      </c>
      <c r="B317" s="120">
        <v>9.1000000000000004E-3</v>
      </c>
      <c r="C317" s="120">
        <v>1.5E-3</v>
      </c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1:26" ht="14.25" customHeight="1" x14ac:dyDescent="0.35">
      <c r="A318" s="48" t="s">
        <v>463</v>
      </c>
      <c r="B318" s="120">
        <v>-7.6E-3</v>
      </c>
      <c r="C318" s="120">
        <v>1.5E-3</v>
      </c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spans="1:26" ht="14.25" customHeight="1" x14ac:dyDescent="0.35">
      <c r="A319" s="48" t="s">
        <v>464</v>
      </c>
      <c r="B319" s="120">
        <v>-2.0299999999999999E-2</v>
      </c>
      <c r="C319" s="120">
        <v>1.6000000000000001E-3</v>
      </c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1:26" ht="14.25" customHeight="1" x14ac:dyDescent="0.35">
      <c r="A320" s="48" t="s">
        <v>465</v>
      </c>
      <c r="B320" s="120">
        <v>-6.6E-3</v>
      </c>
      <c r="C320" s="120">
        <v>1.4000000000000002E-3</v>
      </c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1:26" ht="14.25" customHeight="1" x14ac:dyDescent="0.35">
      <c r="A321" s="48" t="s">
        <v>466</v>
      </c>
      <c r="B321" s="120">
        <v>5.9400000000000001E-2</v>
      </c>
      <c r="C321" s="120">
        <v>1E-3</v>
      </c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1:26" ht="14.25" customHeight="1" x14ac:dyDescent="0.35">
      <c r="A322" s="48" t="s">
        <v>467</v>
      </c>
      <c r="B322" s="120">
        <v>2.9300000000000003E-2</v>
      </c>
      <c r="C322" s="120">
        <v>1.6000000000000001E-3</v>
      </c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1:26" ht="14.25" customHeight="1" x14ac:dyDescent="0.35">
      <c r="A323" s="48" t="s">
        <v>468</v>
      </c>
      <c r="B323" s="120">
        <v>-3.4000000000000002E-3</v>
      </c>
      <c r="C323" s="120">
        <v>1.6000000000000001E-3</v>
      </c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spans="1:26" ht="14.25" customHeight="1" x14ac:dyDescent="0.35">
      <c r="A324" s="48" t="s">
        <v>469</v>
      </c>
      <c r="B324" s="120">
        <v>-2.7000000000000001E-3</v>
      </c>
      <c r="C324" s="120">
        <v>1.4000000000000002E-3</v>
      </c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spans="1:26" ht="14.25" customHeight="1" x14ac:dyDescent="0.35">
      <c r="A325" s="48" t="s">
        <v>470</v>
      </c>
      <c r="B325" s="120">
        <v>-1.43E-2</v>
      </c>
      <c r="C325" s="120">
        <v>1.8E-3</v>
      </c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spans="1:26" ht="14.25" customHeight="1" x14ac:dyDescent="0.35">
      <c r="A326" s="48" t="s">
        <v>471</v>
      </c>
      <c r="B326" s="120">
        <v>-2.8300000000000002E-2</v>
      </c>
      <c r="C326" s="120">
        <v>1.6000000000000001E-3</v>
      </c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spans="1:26" ht="14.25" customHeight="1" x14ac:dyDescent="0.35">
      <c r="A327" s="48" t="s">
        <v>472</v>
      </c>
      <c r="B327" s="120">
        <v>5.1999999999999998E-3</v>
      </c>
      <c r="C327" s="120">
        <v>1.7000000000000001E-3</v>
      </c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spans="1:26" ht="14.25" customHeight="1" x14ac:dyDescent="0.35">
      <c r="A328" s="48" t="s">
        <v>473</v>
      </c>
      <c r="B328" s="120">
        <v>-1.89E-2</v>
      </c>
      <c r="C328" s="120">
        <v>1.8E-3</v>
      </c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spans="1:26" ht="14.25" customHeight="1" x14ac:dyDescent="0.35">
      <c r="A329" s="48" t="s">
        <v>474</v>
      </c>
      <c r="B329" s="120">
        <v>2.4E-2</v>
      </c>
      <c r="C329" s="120">
        <v>1.5E-3</v>
      </c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spans="1:26" ht="14.25" customHeight="1" x14ac:dyDescent="0.35">
      <c r="A330" s="48" t="s">
        <v>475</v>
      </c>
      <c r="B330" s="120">
        <v>-4.5199999999999997E-2</v>
      </c>
      <c r="C330" s="120">
        <v>1.7000000000000001E-3</v>
      </c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spans="1:26" ht="14.25" customHeight="1" x14ac:dyDescent="0.35">
      <c r="A331" s="48" t="s">
        <v>476</v>
      </c>
      <c r="B331" s="120">
        <v>2E-3</v>
      </c>
      <c r="C331" s="120">
        <v>1.6000000000000001E-3</v>
      </c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spans="1:26" ht="14.25" customHeight="1" x14ac:dyDescent="0.35">
      <c r="A332" s="48" t="s">
        <v>477</v>
      </c>
      <c r="B332" s="120">
        <v>4.5999999999999999E-2</v>
      </c>
      <c r="C332" s="120">
        <v>1.2999999999999999E-3</v>
      </c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spans="1:26" ht="14.25" customHeight="1" x14ac:dyDescent="0.35">
      <c r="A333" s="48" t="s">
        <v>478</v>
      </c>
      <c r="B333" s="120">
        <v>2.8300000000000002E-2</v>
      </c>
      <c r="C333" s="120">
        <v>8.0000000000000004E-4</v>
      </c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spans="1:26" ht="14.25" customHeight="1" x14ac:dyDescent="0.35">
      <c r="A334" s="48" t="s">
        <v>479</v>
      </c>
      <c r="B334" s="120">
        <v>2.9999999999999997E-4</v>
      </c>
      <c r="C334" s="120">
        <v>1.2999999999999999E-3</v>
      </c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spans="1:26" ht="14.25" customHeight="1" x14ac:dyDescent="0.35">
      <c r="A335" s="48" t="s">
        <v>480</v>
      </c>
      <c r="B335" s="120">
        <v>5.1299999999999998E-2</v>
      </c>
      <c r="C335" s="120">
        <v>1.1000000000000001E-3</v>
      </c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spans="1:26" ht="14.25" customHeight="1" x14ac:dyDescent="0.35">
      <c r="A336" s="48" t="s">
        <v>481</v>
      </c>
      <c r="B336" s="120">
        <v>1.67E-2</v>
      </c>
      <c r="C336" s="120">
        <v>7.000000000000001E-4</v>
      </c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spans="1:26" ht="14.25" customHeight="1" x14ac:dyDescent="0.35">
      <c r="A337" s="48" t="s">
        <v>482</v>
      </c>
      <c r="B337" s="120">
        <v>3.6499999999999998E-2</v>
      </c>
      <c r="C337" s="120">
        <v>8.0000000000000004E-4</v>
      </c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spans="1:26" ht="14.25" customHeight="1" x14ac:dyDescent="0.35">
      <c r="A338" s="48" t="s">
        <v>483</v>
      </c>
      <c r="B338" s="120">
        <v>4.2699999999999995E-2</v>
      </c>
      <c r="C338" s="120">
        <v>8.9999999999999998E-4</v>
      </c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spans="1:26" ht="14.25" customHeight="1" x14ac:dyDescent="0.35">
      <c r="A339" s="48" t="s">
        <v>484</v>
      </c>
      <c r="B339" s="120">
        <v>3.0899999999999997E-2</v>
      </c>
      <c r="C339" s="120">
        <v>5.0000000000000001E-4</v>
      </c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spans="1:26" ht="14.25" customHeight="1" x14ac:dyDescent="0.35">
      <c r="A340" s="48" t="s">
        <v>485</v>
      </c>
      <c r="B340" s="120">
        <v>1.0700000000000001E-2</v>
      </c>
      <c r="C340" s="120">
        <v>5.9999999999999995E-4</v>
      </c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spans="1:26" ht="14.25" customHeight="1" x14ac:dyDescent="0.35">
      <c r="A341" s="48" t="s">
        <v>486</v>
      </c>
      <c r="B341" s="120">
        <v>4.99E-2</v>
      </c>
      <c r="C341" s="120">
        <v>5.0000000000000001E-4</v>
      </c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spans="1:26" ht="14.25" customHeight="1" x14ac:dyDescent="0.35">
      <c r="A342" s="48" t="s">
        <v>487</v>
      </c>
      <c r="B342" s="120">
        <v>-2.3399999999999997E-2</v>
      </c>
      <c r="C342" s="120">
        <v>5.0000000000000001E-4</v>
      </c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spans="1:26" ht="14.25" customHeight="1" x14ac:dyDescent="0.35">
      <c r="A343" s="48" t="s">
        <v>488</v>
      </c>
      <c r="B343" s="120">
        <v>6.3899999999999998E-2</v>
      </c>
      <c r="C343" s="120">
        <v>8.9999999999999998E-4</v>
      </c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spans="1:26" ht="14.25" customHeight="1" x14ac:dyDescent="0.35">
      <c r="A344" s="48" t="s">
        <v>489</v>
      </c>
      <c r="B344" s="120">
        <v>-1.67E-2</v>
      </c>
      <c r="C344" s="120">
        <v>7.000000000000001E-4</v>
      </c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spans="1:26" ht="14.25" customHeight="1" x14ac:dyDescent="0.35">
      <c r="A345" s="48" t="s">
        <v>490</v>
      </c>
      <c r="B345" s="120">
        <v>9.3800000000000008E-2</v>
      </c>
      <c r="C345" s="120">
        <v>5.9999999999999995E-4</v>
      </c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spans="1:26" ht="14.25" customHeight="1" x14ac:dyDescent="0.35">
      <c r="A346" s="48" t="s">
        <v>491</v>
      </c>
      <c r="B346" s="120">
        <v>5.4800000000000001E-2</v>
      </c>
      <c r="C346" s="120">
        <v>8.0000000000000004E-4</v>
      </c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spans="1:26" ht="14.25" customHeight="1" x14ac:dyDescent="0.35">
      <c r="A347" s="48" t="s">
        <v>492</v>
      </c>
      <c r="B347" s="120">
        <v>6.0000000000000001E-3</v>
      </c>
      <c r="C347" s="120">
        <v>8.0000000000000004E-4</v>
      </c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spans="1:26" ht="14.25" customHeight="1" x14ac:dyDescent="0.35">
      <c r="A348" s="48" t="s">
        <v>493</v>
      </c>
      <c r="B348" s="120">
        <v>3.0200000000000001E-2</v>
      </c>
      <c r="C348" s="120">
        <v>8.9999999999999998E-4</v>
      </c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spans="1:26" ht="14.25" customHeight="1" x14ac:dyDescent="0.35">
      <c r="A349" s="48" t="s">
        <v>494</v>
      </c>
      <c r="B349" s="120">
        <v>-1.6000000000000001E-3</v>
      </c>
      <c r="C349" s="120">
        <v>1E-3</v>
      </c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spans="1:26" ht="14.25" customHeight="1" x14ac:dyDescent="0.35">
      <c r="A350" s="48" t="s">
        <v>495</v>
      </c>
      <c r="B350" s="120">
        <v>3.1099999999999999E-2</v>
      </c>
      <c r="C350" s="120">
        <v>1E-3</v>
      </c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spans="1:26" ht="14.25" customHeight="1" x14ac:dyDescent="0.35">
      <c r="A351" s="48" t="s">
        <v>496</v>
      </c>
      <c r="B351" s="120">
        <v>9.300000000000001E-3</v>
      </c>
      <c r="C351" s="120">
        <v>1.4000000000000002E-3</v>
      </c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spans="1:26" ht="14.25" customHeight="1" x14ac:dyDescent="0.35">
      <c r="A352" s="48" t="s">
        <v>497</v>
      </c>
      <c r="B352" s="120">
        <v>6.5500000000000003E-2</v>
      </c>
      <c r="C352" s="120">
        <v>1E-3</v>
      </c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spans="1:26" ht="14.25" customHeight="1" x14ac:dyDescent="0.35">
      <c r="A353" s="48" t="s">
        <v>498</v>
      </c>
      <c r="B353" s="120">
        <v>1.9E-2</v>
      </c>
      <c r="C353" s="120">
        <v>1E-3</v>
      </c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spans="1:26" ht="14.25" customHeight="1" x14ac:dyDescent="0.35">
      <c r="A354" s="48" t="s">
        <v>499</v>
      </c>
      <c r="B354" s="120">
        <v>2.0999999999999999E-3</v>
      </c>
      <c r="C354" s="120">
        <v>1.6000000000000001E-3</v>
      </c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spans="1:26" ht="14.25" customHeight="1" x14ac:dyDescent="0.35">
      <c r="A355" s="48" t="s">
        <v>500</v>
      </c>
      <c r="B355" s="120">
        <v>-3.5999999999999999E-3</v>
      </c>
      <c r="C355" s="120">
        <v>1.6000000000000001E-3</v>
      </c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spans="1:26" ht="14.25" customHeight="1" x14ac:dyDescent="0.35">
      <c r="A356" s="48" t="s">
        <v>501</v>
      </c>
      <c r="B356" s="120">
        <v>-2.6800000000000001E-2</v>
      </c>
      <c r="C356" s="120">
        <v>1.8E-3</v>
      </c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spans="1:26" ht="14.25" customHeight="1" x14ac:dyDescent="0.35">
      <c r="A357" s="48" t="s">
        <v>502</v>
      </c>
      <c r="B357" s="120">
        <v>7.0300000000000001E-2</v>
      </c>
      <c r="C357" s="120">
        <v>1.7000000000000001E-3</v>
      </c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spans="1:26" ht="14.25" customHeight="1" x14ac:dyDescent="0.35">
      <c r="A358" s="48" t="s">
        <v>503</v>
      </c>
      <c r="B358" s="120">
        <v>1.49E-2</v>
      </c>
      <c r="C358" s="120">
        <v>1.8E-3</v>
      </c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spans="1:26" ht="14.25" customHeight="1" x14ac:dyDescent="0.35">
      <c r="A359" s="48" t="s">
        <v>504</v>
      </c>
      <c r="B359" s="120">
        <v>-3.0299999999999997E-2</v>
      </c>
      <c r="C359" s="120">
        <v>2.2000000000000001E-3</v>
      </c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spans="1:26" ht="14.25" customHeight="1" x14ac:dyDescent="0.35">
      <c r="A360" s="48" t="s">
        <v>505</v>
      </c>
      <c r="B360" s="120">
        <v>3.7699999999999997E-2</v>
      </c>
      <c r="C360" s="120">
        <v>1.9E-3</v>
      </c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spans="1:26" ht="14.25" customHeight="1" x14ac:dyDescent="0.35">
      <c r="A361" s="48" t="s">
        <v>506</v>
      </c>
      <c r="B361" s="120">
        <v>6.6400000000000001E-2</v>
      </c>
      <c r="C361" s="120">
        <v>1.5E-3</v>
      </c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spans="1:26" ht="14.25" customHeight="1" x14ac:dyDescent="0.35">
      <c r="A362" s="48" t="s">
        <v>507</v>
      </c>
      <c r="B362" s="120">
        <v>2.8000000000000004E-3</v>
      </c>
      <c r="C362" s="120">
        <v>1.9E-3</v>
      </c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spans="1:26" ht="14.25" customHeight="1" x14ac:dyDescent="0.35">
      <c r="A363" s="48" t="s">
        <v>508</v>
      </c>
      <c r="B363" s="120">
        <v>-5.2000000000000005E-2</v>
      </c>
      <c r="C363" s="120">
        <v>2.3E-3</v>
      </c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spans="1:26" ht="14.25" customHeight="1" x14ac:dyDescent="0.35">
      <c r="A364" s="48" t="s">
        <v>509</v>
      </c>
      <c r="B364" s="120">
        <v>3.4799999999999998E-2</v>
      </c>
      <c r="C364" s="120">
        <v>2E-3</v>
      </c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spans="1:26" ht="14.25" customHeight="1" x14ac:dyDescent="0.35">
      <c r="A365" s="48" t="s">
        <v>510</v>
      </c>
      <c r="B365" s="120">
        <v>4.8399999999999999E-2</v>
      </c>
      <c r="C365" s="120">
        <v>2.2000000000000001E-3</v>
      </c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spans="1:26" ht="14.25" customHeight="1" x14ac:dyDescent="0.35">
      <c r="A366" s="48" t="s">
        <v>511</v>
      </c>
      <c r="B366" s="120">
        <v>-3.1800000000000002E-2</v>
      </c>
      <c r="C366" s="120">
        <v>1.7000000000000001E-3</v>
      </c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spans="1:26" ht="14.25" customHeight="1" x14ac:dyDescent="0.35">
      <c r="A367" s="48" t="s">
        <v>512</v>
      </c>
      <c r="B367" s="120">
        <v>-5.1399999999999994E-2</v>
      </c>
      <c r="C367" s="120">
        <v>1.8E-3</v>
      </c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spans="1:26" ht="14.25" customHeight="1" x14ac:dyDescent="0.35">
      <c r="A368" s="48" t="s">
        <v>513</v>
      </c>
      <c r="B368" s="120">
        <v>5.1999999999999998E-3</v>
      </c>
      <c r="C368" s="120">
        <v>2.5000000000000001E-3</v>
      </c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spans="1:26" ht="14.25" customHeight="1" x14ac:dyDescent="0.35">
      <c r="A369" s="48" t="s">
        <v>514</v>
      </c>
      <c r="B369" s="120">
        <v>3.5999999999999999E-3</v>
      </c>
      <c r="C369" s="120">
        <v>2E-3</v>
      </c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spans="1:26" ht="14.25" customHeight="1" x14ac:dyDescent="0.35">
      <c r="A370" s="48" t="s">
        <v>515</v>
      </c>
      <c r="B370" s="120">
        <v>3.1600000000000003E-2</v>
      </c>
      <c r="C370" s="120">
        <v>2.3999999999999998E-3</v>
      </c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spans="1:26" ht="14.25" customHeight="1" x14ac:dyDescent="0.35">
      <c r="A371" s="48" t="s">
        <v>516</v>
      </c>
      <c r="B371" s="120">
        <v>-3.5799999999999998E-2</v>
      </c>
      <c r="C371" s="120">
        <v>2.7000000000000001E-3</v>
      </c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spans="1:26" ht="14.25" customHeight="1" x14ac:dyDescent="0.35">
      <c r="A372" s="48" t="s">
        <v>517</v>
      </c>
      <c r="B372" s="120">
        <v>-2.06E-2</v>
      </c>
      <c r="C372" s="120">
        <v>2.3999999999999998E-3</v>
      </c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spans="1:26" ht="14.25" customHeight="1" x14ac:dyDescent="0.35">
      <c r="A373" s="48" t="s">
        <v>518</v>
      </c>
      <c r="B373" s="120">
        <v>2.1299999999999999E-2</v>
      </c>
      <c r="C373" s="120">
        <v>2.3E-3</v>
      </c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spans="1:26" ht="14.25" customHeight="1" x14ac:dyDescent="0.35">
      <c r="A374" s="48" t="s">
        <v>519</v>
      </c>
      <c r="B374" s="120">
        <v>4.2599999999999999E-2</v>
      </c>
      <c r="C374" s="120">
        <v>2.5000000000000001E-3</v>
      </c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spans="1:26" ht="14.25" customHeight="1" x14ac:dyDescent="0.35">
      <c r="A375" s="48" t="s">
        <v>520</v>
      </c>
      <c r="B375" s="120">
        <v>3.4500000000000003E-2</v>
      </c>
      <c r="C375" s="120">
        <v>2.5999999999999999E-3</v>
      </c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spans="1:26" ht="14.25" customHeight="1" x14ac:dyDescent="0.35">
      <c r="A376" s="48" t="s">
        <v>521</v>
      </c>
      <c r="B376" s="120">
        <v>-7.4000000000000003E-3</v>
      </c>
      <c r="C376" s="120">
        <v>2.3999999999999998E-3</v>
      </c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spans="1:26" ht="14.25" customHeight="1" x14ac:dyDescent="0.35">
      <c r="A377" s="48" t="s">
        <v>522</v>
      </c>
      <c r="B377" s="120">
        <v>6.6E-3</v>
      </c>
      <c r="C377" s="120">
        <v>3.0000000000000001E-3</v>
      </c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spans="1:26" ht="14.25" customHeight="1" x14ac:dyDescent="0.35">
      <c r="A378" s="48" t="s">
        <v>523</v>
      </c>
      <c r="B378" s="120">
        <v>-5.1100000000000007E-2</v>
      </c>
      <c r="C378" s="120">
        <v>2.5000000000000001E-3</v>
      </c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spans="1:26" ht="14.25" customHeight="1" x14ac:dyDescent="0.35">
      <c r="A379" s="48" t="s">
        <v>524</v>
      </c>
      <c r="B379" s="120">
        <v>-5.9800000000000006E-2</v>
      </c>
      <c r="C379" s="120">
        <v>2.5999999999999999E-3</v>
      </c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spans="1:26" ht="14.25" customHeight="1" x14ac:dyDescent="0.35">
      <c r="A380" s="48" t="s">
        <v>525</v>
      </c>
      <c r="B380" s="120">
        <v>-4.3200000000000002E-2</v>
      </c>
      <c r="C380" s="120">
        <v>2.8999999999999998E-3</v>
      </c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spans="1:26" ht="14.25" customHeight="1" x14ac:dyDescent="0.35">
      <c r="A381" s="48" t="s">
        <v>526</v>
      </c>
      <c r="B381" s="120">
        <v>2.3E-2</v>
      </c>
      <c r="C381" s="120">
        <v>2.8000000000000004E-3</v>
      </c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spans="1:26" ht="14.25" customHeight="1" x14ac:dyDescent="0.35">
      <c r="A382" s="48" t="s">
        <v>527</v>
      </c>
      <c r="B382" s="120">
        <v>-3.9100000000000003E-2</v>
      </c>
      <c r="C382" s="120">
        <v>2.3999999999999998E-3</v>
      </c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spans="1:26" ht="14.25" customHeight="1" x14ac:dyDescent="0.35">
      <c r="A383" s="48" t="s">
        <v>528</v>
      </c>
      <c r="B383" s="120">
        <v>4.6600000000000003E-2</v>
      </c>
      <c r="C383" s="120">
        <v>2.8000000000000004E-3</v>
      </c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spans="1:26" ht="14.25" customHeight="1" x14ac:dyDescent="0.35">
      <c r="A384" s="48" t="s">
        <v>529</v>
      </c>
      <c r="B384" s="120">
        <v>-1.52E-2</v>
      </c>
      <c r="C384" s="120">
        <v>1.1999999999999999E-3</v>
      </c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spans="1:26" ht="14.25" customHeight="1" x14ac:dyDescent="0.35">
      <c r="A385" s="48" t="s">
        <v>530</v>
      </c>
      <c r="B385" s="120">
        <v>3.27E-2</v>
      </c>
      <c r="C385" s="120">
        <v>8.9999999999999998E-4</v>
      </c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spans="1:26" ht="14.25" customHeight="1" x14ac:dyDescent="0.35">
      <c r="A386" s="48" t="s">
        <v>531</v>
      </c>
      <c r="B386" s="120">
        <v>3.0899999999999997E-2</v>
      </c>
      <c r="C386" s="120">
        <v>8.0000000000000004E-4</v>
      </c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spans="1:26" ht="14.25" customHeight="1" x14ac:dyDescent="0.35">
      <c r="A387" s="48" t="s">
        <v>532</v>
      </c>
      <c r="B387" s="120">
        <v>2.3099999999999999E-2</v>
      </c>
      <c r="C387" s="120">
        <v>1.1000000000000001E-3</v>
      </c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spans="1:26" ht="14.25" customHeight="1" x14ac:dyDescent="0.35">
      <c r="A388" s="48" t="s">
        <v>533</v>
      </c>
      <c r="B388" s="120">
        <v>2.9300000000000003E-2</v>
      </c>
      <c r="C388" s="120">
        <v>2.9999999999999997E-4</v>
      </c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spans="1:26" ht="14.25" customHeight="1" x14ac:dyDescent="0.35">
      <c r="A389" s="48" t="s">
        <v>534</v>
      </c>
      <c r="B389" s="120">
        <v>4.3899999999999995E-2</v>
      </c>
      <c r="C389" s="120">
        <v>7.000000000000001E-4</v>
      </c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spans="1:26" ht="14.25" customHeight="1" x14ac:dyDescent="0.35">
      <c r="A390" s="48" t="s">
        <v>535</v>
      </c>
      <c r="B390" s="120">
        <v>1.9099999999999999E-2</v>
      </c>
      <c r="C390" s="120">
        <v>4.0000000000000002E-4</v>
      </c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spans="1:26" ht="14.25" customHeight="1" x14ac:dyDescent="0.35">
      <c r="A391" s="48" t="s">
        <v>536</v>
      </c>
      <c r="B391" s="120">
        <v>4.6600000000000003E-2</v>
      </c>
      <c r="C391" s="120">
        <v>1.9E-3</v>
      </c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spans="1:26" ht="14.25" customHeight="1" x14ac:dyDescent="0.35">
      <c r="A392" s="48" t="s">
        <v>537</v>
      </c>
      <c r="B392" s="120">
        <v>2.53E-2</v>
      </c>
      <c r="C392" s="120">
        <v>1.8E-3</v>
      </c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spans="1:26" ht="14.25" customHeight="1" x14ac:dyDescent="0.35">
      <c r="A393" s="48" t="s">
        <v>538</v>
      </c>
      <c r="B393" s="120">
        <v>3.0099999999999998E-2</v>
      </c>
      <c r="C393" s="120">
        <v>1.1000000000000001E-3</v>
      </c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spans="1:26" ht="14.25" customHeight="1" x14ac:dyDescent="0.35">
      <c r="A394" s="48" t="s">
        <v>539</v>
      </c>
      <c r="B394" s="120">
        <v>5.1500000000000004E-2</v>
      </c>
      <c r="C394" s="120">
        <v>2.2000000000000001E-3</v>
      </c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spans="1:26" ht="14.25" customHeight="1" x14ac:dyDescent="0.35">
      <c r="A395" s="48" t="s">
        <v>540</v>
      </c>
      <c r="B395" s="120">
        <v>7.0999999999999995E-3</v>
      </c>
      <c r="C395" s="120">
        <v>2.0999999999999999E-3</v>
      </c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spans="1:26" ht="14.25" customHeight="1" x14ac:dyDescent="0.35">
      <c r="A396" s="48" t="s">
        <v>541</v>
      </c>
      <c r="B396" s="120">
        <v>9.4999999999999998E-3</v>
      </c>
      <c r="C396" s="120">
        <v>1.9E-3</v>
      </c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spans="1:26" ht="14.25" customHeight="1" x14ac:dyDescent="0.35">
      <c r="A397" s="48" t="s">
        <v>542</v>
      </c>
      <c r="B397" s="120">
        <v>2.8000000000000004E-3</v>
      </c>
      <c r="C397" s="120">
        <v>2.2000000000000001E-3</v>
      </c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spans="1:26" ht="14.25" customHeight="1" x14ac:dyDescent="0.35">
      <c r="A398" s="48" t="s">
        <v>543</v>
      </c>
      <c r="B398" s="120">
        <v>3.6600000000000001E-2</v>
      </c>
      <c r="C398" s="120">
        <v>2E-3</v>
      </c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spans="1:26" ht="14.25" customHeight="1" x14ac:dyDescent="0.35">
      <c r="A399" s="48" t="s">
        <v>544</v>
      </c>
      <c r="B399" s="120">
        <v>1.7299999999999999E-2</v>
      </c>
      <c r="C399" s="120">
        <v>2.2000000000000001E-3</v>
      </c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spans="1:26" ht="14.25" customHeight="1" x14ac:dyDescent="0.35">
      <c r="A400" s="48" t="s">
        <v>545</v>
      </c>
      <c r="B400" s="120">
        <v>-2.5000000000000001E-3</v>
      </c>
      <c r="C400" s="120">
        <v>2.5000000000000001E-3</v>
      </c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spans="1:26" ht="14.25" customHeight="1" x14ac:dyDescent="0.35">
      <c r="A401" s="48" t="s">
        <v>546</v>
      </c>
      <c r="B401" s="120">
        <v>3.1699999999999999E-2</v>
      </c>
      <c r="C401" s="120">
        <v>2.5000000000000001E-3</v>
      </c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spans="1:26" ht="14.25" customHeight="1" x14ac:dyDescent="0.35">
      <c r="A402" s="48" t="s">
        <v>547</v>
      </c>
      <c r="B402" s="120">
        <v>-1.3899999999999999E-2</v>
      </c>
      <c r="C402" s="120">
        <v>1.9E-3</v>
      </c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spans="1:26" ht="14.25" customHeight="1" x14ac:dyDescent="0.35">
      <c r="A403" s="48" t="s">
        <v>548</v>
      </c>
      <c r="B403" s="120">
        <v>-4.8000000000000001E-2</v>
      </c>
      <c r="C403" s="120">
        <v>3.0999999999999999E-3</v>
      </c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spans="1:26" ht="14.25" customHeight="1" x14ac:dyDescent="0.35">
      <c r="A404" s="48" t="s">
        <v>549</v>
      </c>
      <c r="B404" s="120">
        <v>1.2800000000000001E-2</v>
      </c>
      <c r="C404" s="120">
        <v>3.0000000000000001E-3</v>
      </c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spans="1:26" ht="14.25" customHeight="1" x14ac:dyDescent="0.35">
      <c r="A405" s="48" t="s">
        <v>550</v>
      </c>
      <c r="B405" s="120">
        <v>1.6E-2</v>
      </c>
      <c r="C405" s="120">
        <v>2.5999999999999999E-3</v>
      </c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spans="1:26" ht="14.25" customHeight="1" x14ac:dyDescent="0.35">
      <c r="A406" s="48" t="s">
        <v>551</v>
      </c>
      <c r="B406" s="120">
        <v>2.4500000000000001E-2</v>
      </c>
      <c r="C406" s="120">
        <v>3.4000000000000002E-3</v>
      </c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spans="1:26" ht="14.25" customHeight="1" x14ac:dyDescent="0.35">
      <c r="A407" s="48" t="s">
        <v>552</v>
      </c>
      <c r="B407" s="120">
        <v>-6.9800000000000001E-2</v>
      </c>
      <c r="C407" s="120">
        <v>3.3E-3</v>
      </c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spans="1:26" ht="14.25" customHeight="1" x14ac:dyDescent="0.35">
      <c r="A408" s="48" t="s">
        <v>553</v>
      </c>
      <c r="B408" s="120">
        <v>1.1699999999999999E-2</v>
      </c>
      <c r="C408" s="120">
        <v>2.8999999999999998E-3</v>
      </c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spans="1:26" ht="14.25" customHeight="1" x14ac:dyDescent="0.35">
      <c r="A409" s="48" t="s">
        <v>554</v>
      </c>
      <c r="B409" s="120">
        <v>-1.6299999999999999E-2</v>
      </c>
      <c r="C409" s="120">
        <v>3.4999999999999996E-3</v>
      </c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spans="1:26" ht="14.25" customHeight="1" x14ac:dyDescent="0.35">
      <c r="A410" s="48" t="s">
        <v>555</v>
      </c>
      <c r="B410" s="120">
        <v>-1.7100000000000001E-2</v>
      </c>
      <c r="C410" s="120">
        <v>1.9E-3</v>
      </c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spans="1:26" ht="14.25" customHeight="1" x14ac:dyDescent="0.35">
      <c r="A411" s="48" t="s">
        <v>556</v>
      </c>
      <c r="B411" s="120">
        <v>3.1200000000000002E-2</v>
      </c>
      <c r="C411" s="120">
        <v>2.7000000000000001E-3</v>
      </c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spans="1:26" ht="14.25" customHeight="1" x14ac:dyDescent="0.35">
      <c r="A412" s="48" t="s">
        <v>557</v>
      </c>
      <c r="B412" s="120">
        <v>2.0799999999999999E-2</v>
      </c>
      <c r="C412" s="120">
        <v>2.3999999999999998E-3</v>
      </c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spans="1:26" ht="14.25" customHeight="1" x14ac:dyDescent="0.35">
      <c r="A413" s="48" t="s">
        <v>558</v>
      </c>
      <c r="B413" s="120">
        <v>-2.3700000000000002E-2</v>
      </c>
      <c r="C413" s="120">
        <v>1.2999999999999999E-3</v>
      </c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spans="1:26" ht="14.25" customHeight="1" x14ac:dyDescent="0.35">
      <c r="A414" s="48" t="s">
        <v>559</v>
      </c>
      <c r="B414" s="120">
        <v>3.0099999999999998E-2</v>
      </c>
      <c r="C414" s="120">
        <v>1.7000000000000001E-3</v>
      </c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spans="1:26" ht="14.25" customHeight="1" x14ac:dyDescent="0.35">
      <c r="A415" s="48" t="s">
        <v>560</v>
      </c>
      <c r="B415" s="120">
        <v>-5.9900000000000002E-2</v>
      </c>
      <c r="C415" s="120">
        <v>1.6000000000000001E-3</v>
      </c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spans="1:26" ht="14.25" customHeight="1" x14ac:dyDescent="0.35">
      <c r="A416" s="48" t="s">
        <v>561</v>
      </c>
      <c r="B416" s="120">
        <v>-7.0999999999999995E-3</v>
      </c>
      <c r="C416" s="120">
        <v>2.2000000000000001E-3</v>
      </c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spans="1:26" ht="14.25" customHeight="1" x14ac:dyDescent="0.35">
      <c r="A417" s="48" t="s">
        <v>562</v>
      </c>
      <c r="B417" s="120">
        <v>4.6900000000000004E-2</v>
      </c>
      <c r="C417" s="120">
        <v>1.2999999999999999E-3</v>
      </c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spans="1:26" ht="14.25" customHeight="1" x14ac:dyDescent="0.35">
      <c r="A418" s="48" t="s">
        <v>563</v>
      </c>
      <c r="B418" s="120">
        <v>4.7100000000000003E-2</v>
      </c>
      <c r="C418" s="120">
        <v>1.6000000000000001E-3</v>
      </c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spans="1:26" ht="14.25" customHeight="1" x14ac:dyDescent="0.35">
      <c r="A419" s="48" t="s">
        <v>564</v>
      </c>
      <c r="B419" s="120">
        <v>6.2E-2</v>
      </c>
      <c r="C419" s="120">
        <v>1.9E-3</v>
      </c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spans="1:26" ht="14.25" customHeight="1" x14ac:dyDescent="0.35">
      <c r="A420" s="48" t="s">
        <v>565</v>
      </c>
      <c r="B420" s="120">
        <v>3.5699999999999996E-2</v>
      </c>
      <c r="C420" s="120">
        <v>1.4000000000000002E-3</v>
      </c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spans="1:26" ht="14.25" customHeight="1" x14ac:dyDescent="0.35">
      <c r="A421" s="48" t="s">
        <v>566</v>
      </c>
      <c r="B421" s="120">
        <v>2.8900000000000002E-2</v>
      </c>
      <c r="C421" s="120">
        <v>2E-3</v>
      </c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spans="1:26" ht="14.25" customHeight="1" x14ac:dyDescent="0.35">
      <c r="A422" s="48" t="s">
        <v>567</v>
      </c>
      <c r="B422" s="120">
        <v>2.8999999999999998E-3</v>
      </c>
      <c r="C422" s="120">
        <v>1.7000000000000001E-3</v>
      </c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spans="1:26" ht="14.25" customHeight="1" x14ac:dyDescent="0.35">
      <c r="A423" s="48" t="s">
        <v>568</v>
      </c>
      <c r="B423" s="120">
        <v>2.4E-2</v>
      </c>
      <c r="C423" s="120">
        <v>1.8E-3</v>
      </c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spans="1:26" ht="14.25" customHeight="1" x14ac:dyDescent="0.35">
      <c r="A424" s="48" t="s">
        <v>569</v>
      </c>
      <c r="B424" s="120">
        <v>-3.0800000000000001E-2</v>
      </c>
      <c r="C424" s="120">
        <v>2E-3</v>
      </c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spans="1:26" ht="14.25" customHeight="1" x14ac:dyDescent="0.35">
      <c r="A425" s="48" t="s">
        <v>570</v>
      </c>
      <c r="B425" s="120">
        <v>2.8300000000000002E-2</v>
      </c>
      <c r="C425" s="120">
        <v>1.8E-3</v>
      </c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spans="1:26" ht="14.25" customHeight="1" x14ac:dyDescent="0.35">
      <c r="A426" s="48" t="s">
        <v>571</v>
      </c>
      <c r="B426" s="120">
        <v>2.5699999999999997E-2</v>
      </c>
      <c r="C426" s="120">
        <v>1.4000000000000002E-3</v>
      </c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spans="1:26" ht="14.25" customHeight="1" x14ac:dyDescent="0.35">
      <c r="A427" s="48" t="s">
        <v>572</v>
      </c>
      <c r="B427" s="120">
        <v>-2.1499999999999998E-2</v>
      </c>
      <c r="C427" s="120">
        <v>1.7000000000000001E-3</v>
      </c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spans="1:26" ht="14.25" customHeight="1" x14ac:dyDescent="0.35">
      <c r="A428" s="48" t="s">
        <v>573</v>
      </c>
      <c r="B428" s="120">
        <v>2.5699999999999997E-2</v>
      </c>
      <c r="C428" s="120">
        <v>1.9E-3</v>
      </c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spans="1:26" ht="14.25" customHeight="1" x14ac:dyDescent="0.35">
      <c r="A429" s="48" t="s">
        <v>574</v>
      </c>
      <c r="B429" s="120">
        <v>4.4500000000000005E-2</v>
      </c>
      <c r="C429" s="120">
        <v>1.5E-3</v>
      </c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spans="1:26" ht="14.25" customHeight="1" x14ac:dyDescent="0.35">
      <c r="A430" s="48" t="s">
        <v>575</v>
      </c>
      <c r="B430" s="120">
        <v>-1.8E-3</v>
      </c>
      <c r="C430" s="120">
        <v>1.9E-3</v>
      </c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spans="1:26" ht="14.25" customHeight="1" x14ac:dyDescent="0.35">
      <c r="A431" s="48" t="s">
        <v>576</v>
      </c>
      <c r="B431" s="120">
        <v>-3.8699999999999998E-2</v>
      </c>
      <c r="C431" s="120">
        <v>2.3999999999999998E-3</v>
      </c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spans="1:26" ht="14.25" customHeight="1" x14ac:dyDescent="0.35">
      <c r="A432" s="48" t="s">
        <v>577</v>
      </c>
      <c r="B432" s="120">
        <v>1.8100000000000002E-2</v>
      </c>
      <c r="C432" s="120">
        <v>2E-3</v>
      </c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spans="1:26" ht="14.25" customHeight="1" x14ac:dyDescent="0.35">
      <c r="A433" s="48" t="s">
        <v>578</v>
      </c>
      <c r="B433" s="120">
        <v>-6.8000000000000005E-3</v>
      </c>
      <c r="C433" s="120">
        <v>2E-3</v>
      </c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spans="1:26" ht="14.25" customHeight="1" x14ac:dyDescent="0.35">
      <c r="A434" s="48" t="s">
        <v>579</v>
      </c>
      <c r="B434" s="120">
        <v>-6.59E-2</v>
      </c>
      <c r="C434" s="120">
        <v>2.2000000000000001E-3</v>
      </c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spans="1:26" ht="14.25" customHeight="1" x14ac:dyDescent="0.35">
      <c r="A435" s="48" t="s">
        <v>580</v>
      </c>
      <c r="B435" s="120">
        <v>-8.6500000000000007E-2</v>
      </c>
      <c r="C435" s="120">
        <v>2.3999999999999998E-3</v>
      </c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spans="1:26" ht="14.25" customHeight="1" x14ac:dyDescent="0.35">
      <c r="A436" s="48" t="s">
        <v>581</v>
      </c>
      <c r="B436" s="120">
        <v>-8.4700000000000011E-2</v>
      </c>
      <c r="C436" s="120">
        <v>2E-3</v>
      </c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spans="1:26" ht="14.25" customHeight="1" x14ac:dyDescent="0.35">
      <c r="A437" s="48" t="s">
        <v>582</v>
      </c>
      <c r="B437" s="120">
        <v>6.2800000000000009E-2</v>
      </c>
      <c r="C437" s="120">
        <v>2.7000000000000001E-3</v>
      </c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spans="1:26" ht="14.25" customHeight="1" x14ac:dyDescent="0.35">
      <c r="A438" s="48" t="s">
        <v>583</v>
      </c>
      <c r="B438" s="120">
        <v>2.1299999999999999E-2</v>
      </c>
      <c r="C438" s="120">
        <v>2.3E-3</v>
      </c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spans="1:26" ht="14.25" customHeight="1" x14ac:dyDescent="0.35">
      <c r="A439" s="48" t="s">
        <v>584</v>
      </c>
      <c r="B439" s="120">
        <v>-5.2199999999999996E-2</v>
      </c>
      <c r="C439" s="120">
        <v>2.0999999999999999E-3</v>
      </c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spans="1:26" ht="14.25" customHeight="1" x14ac:dyDescent="0.35">
      <c r="A440" s="48" t="s">
        <v>585</v>
      </c>
      <c r="B440" s="120">
        <v>-5.0000000000000001E-4</v>
      </c>
      <c r="C440" s="120">
        <v>2.5000000000000001E-3</v>
      </c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spans="1:26" ht="14.25" customHeight="1" x14ac:dyDescent="0.35">
      <c r="A441" s="48" t="s">
        <v>586</v>
      </c>
      <c r="B441" s="120">
        <v>0.10869999999999999</v>
      </c>
      <c r="C441" s="120">
        <v>2E-3</v>
      </c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spans="1:26" ht="14.25" customHeight="1" x14ac:dyDescent="0.35">
      <c r="A442" s="48" t="s">
        <v>587</v>
      </c>
      <c r="B442" s="120">
        <v>1.01E-2</v>
      </c>
      <c r="C442" s="120">
        <v>2.3E-3</v>
      </c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spans="1:26" ht="14.25" customHeight="1" x14ac:dyDescent="0.35">
      <c r="A443" s="48" t="s">
        <v>588</v>
      </c>
      <c r="B443" s="120">
        <v>4.9299999999999997E-2</v>
      </c>
      <c r="C443" s="120">
        <v>2.5000000000000001E-3</v>
      </c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spans="1:26" ht="14.25" customHeight="1" x14ac:dyDescent="0.35">
      <c r="A444" s="48" t="s">
        <v>589</v>
      </c>
      <c r="B444" s="120">
        <v>-2.3799999999999998E-2</v>
      </c>
      <c r="C444" s="120">
        <v>2.3E-3</v>
      </c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spans="1:26" ht="14.25" customHeight="1" x14ac:dyDescent="0.35">
      <c r="A445" s="48" t="s">
        <v>590</v>
      </c>
      <c r="B445" s="120">
        <v>3.0800000000000001E-2</v>
      </c>
      <c r="C445" s="120">
        <v>2.3E-3</v>
      </c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spans="1:26" ht="14.25" customHeight="1" x14ac:dyDescent="0.35">
      <c r="A446" s="48" t="s">
        <v>591</v>
      </c>
      <c r="B446" s="120">
        <v>4.5100000000000001E-2</v>
      </c>
      <c r="C446" s="120">
        <v>2.5000000000000001E-3</v>
      </c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spans="1:26" ht="14.25" customHeight="1" x14ac:dyDescent="0.35">
      <c r="A447" s="48" t="s">
        <v>592</v>
      </c>
      <c r="B447" s="120">
        <v>1.7600000000000001E-2</v>
      </c>
      <c r="C447" s="120">
        <v>2.3999999999999998E-3</v>
      </c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spans="1:26" ht="14.25" customHeight="1" x14ac:dyDescent="0.35">
      <c r="A448" s="48" t="s">
        <v>593</v>
      </c>
      <c r="B448" s="120">
        <v>-0.02</v>
      </c>
      <c r="C448" s="120">
        <v>2.3E-3</v>
      </c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spans="1:26" ht="14.25" customHeight="1" x14ac:dyDescent="0.35">
      <c r="A449" s="48" t="s">
        <v>594</v>
      </c>
      <c r="B449" s="120">
        <v>-3.9000000000000003E-3</v>
      </c>
      <c r="C449" s="120">
        <v>2.7000000000000001E-3</v>
      </c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spans="1:26" ht="14.25" customHeight="1" x14ac:dyDescent="0.35">
      <c r="A450" s="48" t="s">
        <v>595</v>
      </c>
      <c r="B450" s="120">
        <v>5.0700000000000002E-2</v>
      </c>
      <c r="C450" s="120">
        <v>2.5000000000000001E-3</v>
      </c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spans="1:26" ht="14.25" customHeight="1" x14ac:dyDescent="0.35">
      <c r="A451" s="48" t="s">
        <v>596</v>
      </c>
      <c r="B451" s="120">
        <v>-1.5700000000000002E-2</v>
      </c>
      <c r="C451" s="120">
        <v>2.7000000000000001E-3</v>
      </c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spans="1:26" ht="14.25" customHeight="1" x14ac:dyDescent="0.35">
      <c r="A452" s="48" t="s">
        <v>597</v>
      </c>
      <c r="B452" s="120">
        <v>2.53E-2</v>
      </c>
      <c r="C452" s="120">
        <v>2.8999999999999998E-3</v>
      </c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spans="1:26" ht="14.25" customHeight="1" x14ac:dyDescent="0.35">
      <c r="A453" s="48" t="s">
        <v>598</v>
      </c>
      <c r="B453" s="120">
        <v>-8.5000000000000006E-3</v>
      </c>
      <c r="C453" s="120">
        <v>2.7000000000000001E-3</v>
      </c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spans="1:26" ht="14.25" customHeight="1" x14ac:dyDescent="0.35">
      <c r="A454" s="48" t="s">
        <v>599</v>
      </c>
      <c r="B454" s="120">
        <v>1.83E-2</v>
      </c>
      <c r="C454" s="120">
        <v>2.8999999999999998E-3</v>
      </c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spans="1:26" ht="14.25" customHeight="1" x14ac:dyDescent="0.35">
      <c r="A455" s="48" t="s">
        <v>600</v>
      </c>
      <c r="B455" s="120">
        <v>2.2400000000000003E-2</v>
      </c>
      <c r="C455" s="120">
        <v>3.0000000000000001E-3</v>
      </c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spans="1:26" ht="14.25" customHeight="1" x14ac:dyDescent="0.35">
      <c r="A456" s="48" t="s">
        <v>601</v>
      </c>
      <c r="B456" s="120">
        <v>1.54E-2</v>
      </c>
      <c r="C456" s="120">
        <v>2.5999999999999999E-3</v>
      </c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spans="1:26" ht="14.25" customHeight="1" x14ac:dyDescent="0.35">
      <c r="A457" s="48" t="s">
        <v>602</v>
      </c>
      <c r="B457" s="120">
        <v>1.41E-2</v>
      </c>
      <c r="C457" s="120">
        <v>3.0999999999999999E-3</v>
      </c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spans="1:26" ht="14.25" customHeight="1" x14ac:dyDescent="0.35">
      <c r="A458" s="48" t="s">
        <v>603</v>
      </c>
      <c r="B458" s="120">
        <v>1E-3</v>
      </c>
      <c r="C458" s="120">
        <v>2.8999999999999998E-3</v>
      </c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spans="1:26" ht="14.25" customHeight="1" x14ac:dyDescent="0.35">
      <c r="A459" s="48" t="s">
        <v>604</v>
      </c>
      <c r="B459" s="120">
        <v>1.4199999999999999E-2</v>
      </c>
      <c r="C459" s="120">
        <v>2.5999999999999999E-3</v>
      </c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spans="1:26" ht="14.25" customHeight="1" x14ac:dyDescent="0.35">
      <c r="A460" s="48" t="s">
        <v>605</v>
      </c>
      <c r="B460" s="120">
        <v>1.2699999999999999E-2</v>
      </c>
      <c r="C460" s="120">
        <v>3.0000000000000001E-3</v>
      </c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spans="1:26" ht="14.25" customHeight="1" x14ac:dyDescent="0.35">
      <c r="A461" s="48" t="s">
        <v>606</v>
      </c>
      <c r="B461" s="120">
        <v>1.7399999999999999E-2</v>
      </c>
      <c r="C461" s="120">
        <v>3.0000000000000001E-3</v>
      </c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spans="1:26" ht="14.25" customHeight="1" x14ac:dyDescent="0.35">
      <c r="A462" s="48" t="s">
        <v>607</v>
      </c>
      <c r="B462" s="120">
        <v>-1.44E-2</v>
      </c>
      <c r="C462" s="120">
        <v>2.8000000000000004E-3</v>
      </c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spans="1:26" ht="14.25" customHeight="1" x14ac:dyDescent="0.35">
      <c r="A463" s="48" t="s">
        <v>608</v>
      </c>
      <c r="B463" s="120">
        <v>2.69E-2</v>
      </c>
      <c r="C463" s="120">
        <v>2.8000000000000004E-3</v>
      </c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spans="1:26" ht="14.25" customHeight="1" x14ac:dyDescent="0.35">
      <c r="A464" s="48" t="s">
        <v>609</v>
      </c>
      <c r="B464" s="120">
        <v>5.8999999999999999E-3</v>
      </c>
      <c r="C464" s="120">
        <v>2.8999999999999998E-3</v>
      </c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1:26" ht="14.25" customHeight="1" x14ac:dyDescent="0.35">
      <c r="A465" s="48" t="s">
        <v>610</v>
      </c>
      <c r="B465" s="120">
        <v>0</v>
      </c>
      <c r="C465" s="120">
        <v>2.8999999999999998E-3</v>
      </c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1:26" ht="14.25" customHeight="1" x14ac:dyDescent="0.35">
      <c r="A466" s="48" t="s">
        <v>611</v>
      </c>
      <c r="B466" s="120">
        <v>2.9999999999999997E-4</v>
      </c>
      <c r="C466" s="120">
        <v>3.0999999999999999E-3</v>
      </c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1:26" ht="14.25" customHeight="1" x14ac:dyDescent="0.35">
      <c r="A467" s="48" t="s">
        <v>612</v>
      </c>
      <c r="B467" s="120">
        <v>3.5400000000000001E-2</v>
      </c>
      <c r="C467" s="120">
        <v>2.8000000000000004E-3</v>
      </c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1:26" ht="14.25" customHeight="1" x14ac:dyDescent="0.35">
      <c r="A468" s="48" t="s">
        <v>613</v>
      </c>
      <c r="B468" s="120">
        <v>4.4000000000000003E-3</v>
      </c>
      <c r="C468" s="120">
        <v>3.0000000000000001E-3</v>
      </c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1:26" ht="14.25" customHeight="1" x14ac:dyDescent="0.35">
      <c r="A469" s="48" t="s">
        <v>614</v>
      </c>
      <c r="B469" s="120">
        <v>-1.34E-2</v>
      </c>
      <c r="C469" s="120">
        <v>3.5999999999999999E-3</v>
      </c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1:26" ht="14.25" customHeight="1" x14ac:dyDescent="0.35">
      <c r="A470" s="48" t="s">
        <v>615</v>
      </c>
      <c r="B470" s="120">
        <v>3.1099999999999999E-2</v>
      </c>
      <c r="C470" s="120">
        <v>3.0999999999999999E-3</v>
      </c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1:26" ht="14.25" customHeight="1" x14ac:dyDescent="0.35">
      <c r="A471" s="48" t="s">
        <v>616</v>
      </c>
      <c r="B471" s="120">
        <v>-7.7000000000000002E-3</v>
      </c>
      <c r="C471" s="120">
        <v>3.0999999999999999E-3</v>
      </c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1:26" ht="14.25" customHeight="1" x14ac:dyDescent="0.35">
      <c r="A472" s="48" t="s">
        <v>617</v>
      </c>
      <c r="B472" s="120">
        <v>-5.5099999999999996E-2</v>
      </c>
      <c r="C472" s="120">
        <v>3.4999999999999996E-3</v>
      </c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1:26" ht="14.25" customHeight="1" x14ac:dyDescent="0.35">
      <c r="A473" s="48" t="s">
        <v>618</v>
      </c>
      <c r="B473" s="120">
        <v>1.43E-2</v>
      </c>
      <c r="C473" s="120">
        <v>3.0999999999999999E-3</v>
      </c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1:26" ht="14.25" customHeight="1" x14ac:dyDescent="0.35">
      <c r="A474" s="48" t="s">
        <v>619</v>
      </c>
      <c r="B474" s="120">
        <v>2.7300000000000001E-2</v>
      </c>
      <c r="C474" s="120">
        <v>3.3E-3</v>
      </c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1:26" ht="14.25" customHeight="1" x14ac:dyDescent="0.35">
      <c r="A475" s="48" t="s">
        <v>620</v>
      </c>
      <c r="B475" s="120">
        <v>2.86E-2</v>
      </c>
      <c r="C475" s="120">
        <v>3.0999999999999999E-3</v>
      </c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1:26" ht="14.25" customHeight="1" x14ac:dyDescent="0.35">
      <c r="A476" s="48" t="s">
        <v>621</v>
      </c>
      <c r="B476" s="120">
        <v>2.6000000000000002E-2</v>
      </c>
      <c r="C476" s="120">
        <v>3.0999999999999999E-3</v>
      </c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1:26" ht="14.25" customHeight="1" x14ac:dyDescent="0.35">
      <c r="A477" s="48" t="s">
        <v>622</v>
      </c>
      <c r="B477" s="120">
        <v>-2.9999999999999997E-4</v>
      </c>
      <c r="C477" s="120">
        <v>3.4999999999999996E-3</v>
      </c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1:26" ht="14.25" customHeight="1" x14ac:dyDescent="0.35">
      <c r="A478" s="48" t="s">
        <v>623</v>
      </c>
      <c r="B478" s="120">
        <v>1.01E-2</v>
      </c>
      <c r="C478" s="120">
        <v>3.3E-3</v>
      </c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1:26" ht="14.25" customHeight="1" x14ac:dyDescent="0.35">
      <c r="A479" s="48" t="s">
        <v>624</v>
      </c>
      <c r="B479" s="120">
        <v>7.1999999999999998E-3</v>
      </c>
      <c r="C479" s="120">
        <v>3.8E-3</v>
      </c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1:26" ht="14.25" customHeight="1" x14ac:dyDescent="0.35">
      <c r="A480" s="48" t="s">
        <v>625</v>
      </c>
      <c r="B480" s="120">
        <v>-1.21E-2</v>
      </c>
      <c r="C480" s="120">
        <v>3.4999999999999996E-3</v>
      </c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1:26" ht="14.25" customHeight="1" x14ac:dyDescent="0.35">
      <c r="A481" s="48" t="s">
        <v>626</v>
      </c>
      <c r="B481" s="120">
        <v>-2.5099999999999997E-2</v>
      </c>
      <c r="C481" s="120">
        <v>3.8E-3</v>
      </c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1:26" ht="14.25" customHeight="1" x14ac:dyDescent="0.35">
      <c r="A482" s="48" t="s">
        <v>627</v>
      </c>
      <c r="B482" s="120">
        <v>2.1400000000000002E-2</v>
      </c>
      <c r="C482" s="120">
        <v>3.4000000000000002E-3</v>
      </c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1:26" ht="14.25" customHeight="1" x14ac:dyDescent="0.35">
      <c r="A483" s="48" t="s">
        <v>628</v>
      </c>
      <c r="B483" s="120">
        <v>-5.6600000000000004E-2</v>
      </c>
      <c r="C483" s="120">
        <v>4.0999999999999995E-3</v>
      </c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1:26" ht="14.25" customHeight="1" x14ac:dyDescent="0.35">
      <c r="A484" s="48" t="s">
        <v>629</v>
      </c>
      <c r="B484" s="120">
        <v>-1.44E-2</v>
      </c>
      <c r="C484" s="120">
        <v>3.8E-3</v>
      </c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1:26" ht="14.25" customHeight="1" x14ac:dyDescent="0.35">
      <c r="A485" s="48" t="s">
        <v>630</v>
      </c>
      <c r="B485" s="120">
        <v>-1.6299999999999999E-2</v>
      </c>
      <c r="C485" s="120">
        <v>3.4999999999999996E-3</v>
      </c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1:26" ht="14.25" customHeight="1" x14ac:dyDescent="0.35">
      <c r="A486" s="48" t="s">
        <v>631</v>
      </c>
      <c r="B486" s="120">
        <v>-7.9100000000000004E-2</v>
      </c>
      <c r="C486" s="120">
        <v>4.0999999999999995E-3</v>
      </c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1:26" ht="14.25" customHeight="1" x14ac:dyDescent="0.35">
      <c r="A487" s="48" t="s">
        <v>632</v>
      </c>
      <c r="B487" s="120">
        <v>-1.06E-2</v>
      </c>
      <c r="C487" s="120">
        <v>4.0000000000000001E-3</v>
      </c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1:26" ht="14.25" customHeight="1" x14ac:dyDescent="0.35">
      <c r="A488" s="48" t="s">
        <v>633</v>
      </c>
      <c r="B488" s="120">
        <v>3.8599999999999995E-2</v>
      </c>
      <c r="C488" s="120">
        <v>4.5000000000000005E-3</v>
      </c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1:26" ht="14.25" customHeight="1" x14ac:dyDescent="0.35">
      <c r="A489" s="48" t="s">
        <v>634</v>
      </c>
      <c r="B489" s="120">
        <v>1.3999999999999999E-2</v>
      </c>
      <c r="C489" s="120">
        <v>4.0000000000000001E-3</v>
      </c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1:26" ht="14.25" customHeight="1" x14ac:dyDescent="0.35">
      <c r="A490" s="48" t="s">
        <v>635</v>
      </c>
      <c r="B490" s="120">
        <v>1.2999999999999999E-3</v>
      </c>
      <c r="C490" s="120">
        <v>4.0000000000000001E-3</v>
      </c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1:26" ht="14.25" customHeight="1" x14ac:dyDescent="0.35">
      <c r="A491" s="48" t="s">
        <v>636</v>
      </c>
      <c r="B491" s="120">
        <v>8.1500000000000003E-2</v>
      </c>
      <c r="C491" s="120">
        <v>4.3E-3</v>
      </c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1:26" ht="14.25" customHeight="1" x14ac:dyDescent="0.35">
      <c r="A492" s="48" t="s">
        <v>637</v>
      </c>
      <c r="B492" s="120">
        <v>7.8000000000000005E-3</v>
      </c>
      <c r="C492" s="120">
        <v>3.5999999999999999E-3</v>
      </c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1:26" ht="14.25" customHeight="1" x14ac:dyDescent="0.35">
      <c r="A493" s="48" t="s">
        <v>638</v>
      </c>
      <c r="B493" s="120">
        <v>3.9900000000000005E-2</v>
      </c>
      <c r="C493" s="120">
        <v>3.9000000000000003E-3</v>
      </c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1:26" ht="14.25" customHeight="1" x14ac:dyDescent="0.35">
      <c r="A494" s="48" t="s">
        <v>639</v>
      </c>
      <c r="B494" s="120">
        <v>3.8900000000000004E-2</v>
      </c>
      <c r="C494" s="120">
        <v>3.2000000000000002E-3</v>
      </c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spans="1:26" ht="14.25" customHeight="1" x14ac:dyDescent="0.35">
      <c r="A495" s="48" t="s">
        <v>640</v>
      </c>
      <c r="B495" s="120">
        <v>-4.3299999999999998E-2</v>
      </c>
      <c r="C495" s="120">
        <v>3.3E-3</v>
      </c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spans="1:26" ht="14.25" customHeight="1" x14ac:dyDescent="0.35">
      <c r="A496" s="48" t="s">
        <v>641</v>
      </c>
      <c r="B496" s="120">
        <v>2.41E-2</v>
      </c>
      <c r="C496" s="120">
        <v>2.7000000000000001E-3</v>
      </c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spans="1:26" ht="14.25" customHeight="1" x14ac:dyDescent="0.35">
      <c r="A497" s="48" t="s">
        <v>642</v>
      </c>
      <c r="B497" s="120">
        <v>4.58E-2</v>
      </c>
      <c r="C497" s="120">
        <v>3.0999999999999999E-3</v>
      </c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spans="1:26" ht="14.25" customHeight="1" x14ac:dyDescent="0.35">
      <c r="A498" s="48" t="s">
        <v>643</v>
      </c>
      <c r="B498" s="120">
        <v>-8.8999999999999999E-3</v>
      </c>
      <c r="C498" s="120">
        <v>3.0999999999999999E-3</v>
      </c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spans="1:26" ht="14.25" customHeight="1" x14ac:dyDescent="0.35">
      <c r="A499" s="48" t="s">
        <v>644</v>
      </c>
      <c r="B499" s="120">
        <v>3.1099999999999999E-2</v>
      </c>
      <c r="C499" s="120">
        <v>3.2000000000000002E-3</v>
      </c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spans="1:26" ht="14.25" customHeight="1" x14ac:dyDescent="0.35">
      <c r="A500" s="48" t="s">
        <v>645</v>
      </c>
      <c r="B500" s="120">
        <v>-3.0899999999999997E-2</v>
      </c>
      <c r="C500" s="120">
        <v>3.9000000000000003E-3</v>
      </c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spans="1:26" ht="14.25" customHeight="1" x14ac:dyDescent="0.35">
      <c r="A501" s="48" t="s">
        <v>646</v>
      </c>
      <c r="B501" s="120">
        <v>3.7000000000000002E-3</v>
      </c>
      <c r="C501" s="120">
        <v>3.5999999999999999E-3</v>
      </c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spans="1:26" ht="14.25" customHeight="1" x14ac:dyDescent="0.35">
      <c r="A502" s="48" t="s">
        <v>647</v>
      </c>
      <c r="B502" s="120">
        <v>3.0499999999999999E-2</v>
      </c>
      <c r="C502" s="120">
        <v>3.3E-3</v>
      </c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spans="1:26" ht="14.25" customHeight="1" x14ac:dyDescent="0.35">
      <c r="A503" s="48" t="s">
        <v>648</v>
      </c>
      <c r="B503" s="120">
        <v>-4.0599999999999997E-2</v>
      </c>
      <c r="C503" s="120">
        <v>4.0000000000000001E-3</v>
      </c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spans="1:26" ht="14.25" customHeight="1" x14ac:dyDescent="0.35">
      <c r="A504" s="48" t="s">
        <v>649</v>
      </c>
      <c r="B504" s="120">
        <v>-3.7499999999999999E-2</v>
      </c>
      <c r="C504" s="120">
        <v>3.9000000000000003E-3</v>
      </c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spans="1:26" ht="14.25" customHeight="1" x14ac:dyDescent="0.35">
      <c r="A505" s="48" t="s">
        <v>650</v>
      </c>
      <c r="B505" s="120">
        <v>2E-3</v>
      </c>
      <c r="C505" s="120">
        <v>3.8E-3</v>
      </c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spans="1:26" ht="14.25" customHeight="1" x14ac:dyDescent="0.35">
      <c r="A506" s="48" t="s">
        <v>651</v>
      </c>
      <c r="B506" s="120">
        <v>9.0500000000000011E-2</v>
      </c>
      <c r="C506" s="120">
        <v>4.3E-3</v>
      </c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spans="1:26" ht="14.25" customHeight="1" x14ac:dyDescent="0.35">
      <c r="A507" s="48" t="s">
        <v>652</v>
      </c>
      <c r="B507" s="120">
        <v>2.2799999999999997E-2</v>
      </c>
      <c r="C507" s="120">
        <v>4.5000000000000005E-3</v>
      </c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spans="1:26" ht="14.25" customHeight="1" x14ac:dyDescent="0.35">
      <c r="A508" s="48" t="s">
        <v>653</v>
      </c>
      <c r="B508" s="120">
        <v>6.8999999999999999E-3</v>
      </c>
      <c r="C508" s="120">
        <v>4.3E-3</v>
      </c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spans="1:26" ht="14.25" customHeight="1" x14ac:dyDescent="0.35">
      <c r="A509" s="48" t="s">
        <v>654</v>
      </c>
      <c r="B509" s="120">
        <v>-2.7200000000000002E-2</v>
      </c>
      <c r="C509" s="120">
        <v>4.7999999999999996E-3</v>
      </c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spans="1:26" ht="14.25" customHeight="1" x14ac:dyDescent="0.35">
      <c r="A510" s="48" t="s">
        <v>655</v>
      </c>
      <c r="B510" s="120">
        <v>1.34E-2</v>
      </c>
      <c r="C510" s="120">
        <v>4.1999999999999997E-3</v>
      </c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spans="1:26" ht="14.25" customHeight="1" x14ac:dyDescent="0.35">
      <c r="A511" s="48" t="s">
        <v>656</v>
      </c>
      <c r="B511" s="120">
        <v>4.0300000000000002E-2</v>
      </c>
      <c r="C511" s="120">
        <v>4.3E-3</v>
      </c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spans="1:26" ht="14.25" customHeight="1" x14ac:dyDescent="0.35">
      <c r="A512" s="48" t="s">
        <v>657</v>
      </c>
      <c r="B512" s="120">
        <v>4.1999999999999997E-3</v>
      </c>
      <c r="C512" s="120">
        <v>4.4000000000000003E-3</v>
      </c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spans="1:26" ht="14.25" customHeight="1" x14ac:dyDescent="0.35">
      <c r="A513" s="48" t="s">
        <v>658</v>
      </c>
      <c r="B513" s="120">
        <v>5.4299999999999994E-2</v>
      </c>
      <c r="C513" s="120">
        <v>4.1999999999999997E-3</v>
      </c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spans="1:26" ht="14.25" customHeight="1" x14ac:dyDescent="0.35">
      <c r="A514" s="48" t="s">
        <v>659</v>
      </c>
      <c r="B514" s="120">
        <v>-3.9399999999999998E-2</v>
      </c>
      <c r="C514" s="120">
        <v>4.3E-3</v>
      </c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spans="1:26" ht="14.25" customHeight="1" x14ac:dyDescent="0.35">
      <c r="A515" s="48" t="s">
        <v>660</v>
      </c>
      <c r="B515" s="120">
        <v>-1.2500000000000001E-2</v>
      </c>
      <c r="C515" s="120">
        <v>5.3E-3</v>
      </c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spans="1:26" ht="14.25" customHeight="1" x14ac:dyDescent="0.35">
      <c r="A516" s="48" t="s">
        <v>661</v>
      </c>
      <c r="B516" s="120">
        <v>-5.8400000000000001E-2</v>
      </c>
      <c r="C516" s="120">
        <v>4.5999999999999999E-3</v>
      </c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spans="1:26" ht="14.25" customHeight="1" x14ac:dyDescent="0.35">
      <c r="A517" s="48" t="s">
        <v>662</v>
      </c>
      <c r="B517" s="120">
        <v>2.64E-2</v>
      </c>
      <c r="C517" s="120">
        <v>4.5999999999999999E-3</v>
      </c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spans="1:26" ht="14.25" customHeight="1" x14ac:dyDescent="0.35">
      <c r="A518" s="48" t="s">
        <v>663</v>
      </c>
      <c r="B518" s="120">
        <v>1.46E-2</v>
      </c>
      <c r="C518" s="120">
        <v>5.3E-3</v>
      </c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spans="1:26" ht="14.25" customHeight="1" x14ac:dyDescent="0.35">
      <c r="A519" s="48" t="s">
        <v>664</v>
      </c>
      <c r="B519" s="120">
        <v>-1E-3</v>
      </c>
      <c r="C519" s="120">
        <v>4.7999999999999996E-3</v>
      </c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spans="1:26" ht="14.25" customHeight="1" x14ac:dyDescent="0.35">
      <c r="A520" s="48" t="s">
        <v>665</v>
      </c>
      <c r="B520" s="120">
        <v>-7.1800000000000003E-2</v>
      </c>
      <c r="C520" s="120">
        <v>5.1000000000000004E-3</v>
      </c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spans="1:26" ht="14.25" customHeight="1" x14ac:dyDescent="0.35">
      <c r="A521" s="48" t="s">
        <v>666</v>
      </c>
      <c r="B521" s="120">
        <v>-7.0000000000000007E-2</v>
      </c>
      <c r="C521" s="120">
        <v>5.3E-3</v>
      </c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spans="1:26" ht="14.25" customHeight="1" x14ac:dyDescent="0.35">
      <c r="A522" s="48" t="s">
        <v>667</v>
      </c>
      <c r="B522" s="120">
        <v>4.6799999999999994E-2</v>
      </c>
      <c r="C522" s="120">
        <v>5.0000000000000001E-3</v>
      </c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spans="1:26" ht="14.25" customHeight="1" x14ac:dyDescent="0.35">
      <c r="A523" s="48" t="s">
        <v>668</v>
      </c>
      <c r="B523" s="120">
        <v>-2.98E-2</v>
      </c>
      <c r="C523" s="120">
        <v>6.1999999999999998E-3</v>
      </c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spans="1:26" ht="14.25" customHeight="1" x14ac:dyDescent="0.35">
      <c r="A524" s="48" t="s">
        <v>669</v>
      </c>
      <c r="B524" s="120">
        <v>5.0599999999999999E-2</v>
      </c>
      <c r="C524" s="120">
        <v>6.0000000000000001E-3</v>
      </c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spans="1:26" ht="14.25" customHeight="1" x14ac:dyDescent="0.35">
      <c r="A525" s="48" t="s">
        <v>670</v>
      </c>
      <c r="B525" s="120">
        <v>-3.7900000000000003E-2</v>
      </c>
      <c r="C525" s="120">
        <v>5.1999999999999998E-3</v>
      </c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spans="1:26" ht="14.25" customHeight="1" x14ac:dyDescent="0.35">
      <c r="A526" s="48" t="s">
        <v>671</v>
      </c>
      <c r="B526" s="120">
        <v>-2.63E-2</v>
      </c>
      <c r="C526" s="120">
        <v>6.4000000000000003E-3</v>
      </c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spans="1:26" ht="14.25" customHeight="1" x14ac:dyDescent="0.35">
      <c r="A527" s="48" t="s">
        <v>672</v>
      </c>
      <c r="B527" s="120">
        <v>-8.1000000000000003E-2</v>
      </c>
      <c r="C527" s="120">
        <v>6.0000000000000001E-3</v>
      </c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spans="1:26" ht="14.25" customHeight="1" x14ac:dyDescent="0.35">
      <c r="A528" s="48" t="s">
        <v>673</v>
      </c>
      <c r="B528" s="120">
        <v>5.1299999999999998E-2</v>
      </c>
      <c r="C528" s="120">
        <v>6.1999999999999998E-3</v>
      </c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spans="1:26" ht="14.25" customHeight="1" x14ac:dyDescent="0.35">
      <c r="A529" s="48" t="s">
        <v>674</v>
      </c>
      <c r="B529" s="120">
        <v>-1.06E-2</v>
      </c>
      <c r="C529" s="120">
        <v>5.6999999999999993E-3</v>
      </c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spans="1:26" ht="14.25" customHeight="1" x14ac:dyDescent="0.35">
      <c r="A530" s="48" t="s">
        <v>675</v>
      </c>
      <c r="B530" s="120">
        <v>-0.11</v>
      </c>
      <c r="C530" s="120">
        <v>5.0000000000000001E-3</v>
      </c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spans="1:26" ht="14.25" customHeight="1" x14ac:dyDescent="0.35">
      <c r="A531" s="48" t="s">
        <v>676</v>
      </c>
      <c r="B531" s="120">
        <v>-6.9199999999999998E-2</v>
      </c>
      <c r="C531" s="120">
        <v>5.3E-3</v>
      </c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spans="1:26" ht="14.25" customHeight="1" x14ac:dyDescent="0.35">
      <c r="A532" s="48" t="s">
        <v>677</v>
      </c>
      <c r="B532" s="120">
        <v>-5.79E-2</v>
      </c>
      <c r="C532" s="120">
        <v>5.7999999999999996E-3</v>
      </c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spans="1:26" ht="14.25" customHeight="1" x14ac:dyDescent="0.35">
      <c r="A533" s="48" t="s">
        <v>678</v>
      </c>
      <c r="B533" s="120">
        <v>6.93E-2</v>
      </c>
      <c r="C533" s="120">
        <v>5.1999999999999998E-3</v>
      </c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spans="1:26" ht="14.25" customHeight="1" x14ac:dyDescent="0.35">
      <c r="A534" s="48" t="s">
        <v>679</v>
      </c>
      <c r="B534" s="120">
        <v>4.4900000000000002E-2</v>
      </c>
      <c r="C534" s="120">
        <v>5.3E-3</v>
      </c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spans="1:26" ht="14.25" customHeight="1" x14ac:dyDescent="0.35">
      <c r="A535" s="48" t="s">
        <v>680</v>
      </c>
      <c r="B535" s="120">
        <v>4.1799999999999997E-2</v>
      </c>
      <c r="C535" s="120">
        <v>5.4000000000000003E-3</v>
      </c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spans="1:26" ht="14.25" customHeight="1" x14ac:dyDescent="0.35">
      <c r="A536" s="48" t="s">
        <v>681</v>
      </c>
      <c r="B536" s="120">
        <v>-2.2799999999999997E-2</v>
      </c>
      <c r="C536" s="120">
        <v>4.5999999999999999E-3</v>
      </c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spans="1:26" ht="14.25" customHeight="1" x14ac:dyDescent="0.35">
      <c r="A537" s="48" t="s">
        <v>682</v>
      </c>
      <c r="B537" s="120">
        <v>4.5999999999999999E-2</v>
      </c>
      <c r="C537" s="120">
        <v>4.5999999999999999E-3</v>
      </c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spans="1:26" ht="14.25" customHeight="1" x14ac:dyDescent="0.35">
      <c r="A538" s="48" t="s">
        <v>683</v>
      </c>
      <c r="B538" s="120">
        <v>5.7200000000000001E-2</v>
      </c>
      <c r="C538" s="120">
        <v>4.1999999999999997E-3</v>
      </c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spans="1:26" ht="14.25" customHeight="1" x14ac:dyDescent="0.35">
      <c r="A539" s="48" t="s">
        <v>684</v>
      </c>
      <c r="B539" s="120">
        <v>4.8399999999999999E-2</v>
      </c>
      <c r="C539" s="120">
        <v>3.8E-3</v>
      </c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spans="1:26" ht="14.25" customHeight="1" x14ac:dyDescent="0.35">
      <c r="A540" s="48" t="s">
        <v>685</v>
      </c>
      <c r="B540" s="120">
        <v>1.41E-2</v>
      </c>
      <c r="C540" s="120">
        <v>3.3E-3</v>
      </c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spans="1:26" ht="14.25" customHeight="1" x14ac:dyDescent="0.35">
      <c r="A541" s="48" t="s">
        <v>686</v>
      </c>
      <c r="B541" s="120">
        <v>4.1299999999999996E-2</v>
      </c>
      <c r="C541" s="120">
        <v>3.0000000000000001E-3</v>
      </c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spans="1:26" ht="14.25" customHeight="1" x14ac:dyDescent="0.35">
      <c r="A542" s="48" t="s">
        <v>687</v>
      </c>
      <c r="B542" s="120">
        <v>3.15E-2</v>
      </c>
      <c r="C542" s="120">
        <v>2.8000000000000004E-3</v>
      </c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spans="1:26" ht="14.25" customHeight="1" x14ac:dyDescent="0.35">
      <c r="A543" s="48" t="s">
        <v>688</v>
      </c>
      <c r="B543" s="120">
        <v>-3.9800000000000002E-2</v>
      </c>
      <c r="C543" s="120">
        <v>2.8999999999999998E-3</v>
      </c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spans="1:26" ht="14.25" customHeight="1" x14ac:dyDescent="0.35">
      <c r="A544" s="48" t="s">
        <v>689</v>
      </c>
      <c r="B544" s="120">
        <v>-1E-3</v>
      </c>
      <c r="C544" s="120">
        <v>3.7000000000000002E-3</v>
      </c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spans="1:26" ht="14.25" customHeight="1" x14ac:dyDescent="0.35">
      <c r="A545" s="48" t="s">
        <v>690</v>
      </c>
      <c r="B545" s="120">
        <v>-4.4999999999999998E-2</v>
      </c>
      <c r="C545" s="120">
        <v>4.0000000000000001E-3</v>
      </c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spans="1:26" ht="14.25" customHeight="1" x14ac:dyDescent="0.35">
      <c r="A546" s="48" t="s">
        <v>691</v>
      </c>
      <c r="B546" s="120">
        <v>3.7900000000000003E-2</v>
      </c>
      <c r="C546" s="120">
        <v>4.6999999999999993E-3</v>
      </c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spans="1:26" ht="14.25" customHeight="1" x14ac:dyDescent="0.35">
      <c r="A547" s="48" t="s">
        <v>692</v>
      </c>
      <c r="B547" s="120">
        <v>-8.5000000000000006E-3</v>
      </c>
      <c r="C547" s="120">
        <v>3.7000000000000002E-3</v>
      </c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spans="1:26" ht="14.25" customHeight="1" x14ac:dyDescent="0.35">
      <c r="A548" s="48" t="s">
        <v>693</v>
      </c>
      <c r="B548" s="120">
        <v>-4.4199999999999996E-2</v>
      </c>
      <c r="C548" s="120">
        <v>3.7000000000000002E-3</v>
      </c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spans="1:26" ht="14.25" customHeight="1" x14ac:dyDescent="0.35">
      <c r="A549" s="48" t="s">
        <v>694</v>
      </c>
      <c r="B549" s="120">
        <v>-4.5999999999999999E-3</v>
      </c>
      <c r="C549" s="120">
        <v>3.7000000000000002E-3</v>
      </c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spans="1:26" ht="14.25" customHeight="1" x14ac:dyDescent="0.35">
      <c r="A550" s="48" t="s">
        <v>695</v>
      </c>
      <c r="B550" s="120">
        <v>8.7100000000000011E-2</v>
      </c>
      <c r="C550" s="120">
        <v>3.7000000000000002E-3</v>
      </c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spans="1:26" ht="14.25" customHeight="1" x14ac:dyDescent="0.35">
      <c r="A551" s="48" t="s">
        <v>696</v>
      </c>
      <c r="B551" s="120">
        <v>2.4900000000000002E-2</v>
      </c>
      <c r="C551" s="120">
        <v>2.8999999999999998E-3</v>
      </c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spans="1:26" ht="14.25" customHeight="1" x14ac:dyDescent="0.35">
      <c r="A552" s="48" t="s">
        <v>697</v>
      </c>
      <c r="B552" s="120">
        <v>2.87E-2</v>
      </c>
      <c r="C552" s="120">
        <v>2.5000000000000001E-3</v>
      </c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spans="1:26" ht="14.25" customHeight="1" x14ac:dyDescent="0.35">
      <c r="A553" s="48" t="s">
        <v>698</v>
      </c>
      <c r="B553" s="120">
        <v>6.3E-3</v>
      </c>
      <c r="C553" s="120">
        <v>2.7000000000000001E-3</v>
      </c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spans="1:26" ht="14.25" customHeight="1" x14ac:dyDescent="0.35">
      <c r="A554" s="48" t="s">
        <v>699</v>
      </c>
      <c r="B554" s="120">
        <v>2.8999999999999998E-3</v>
      </c>
      <c r="C554" s="120">
        <v>2.8999999999999998E-3</v>
      </c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spans="1:26" ht="14.25" customHeight="1" x14ac:dyDescent="0.35">
      <c r="A555" s="48" t="s">
        <v>700</v>
      </c>
      <c r="B555" s="120">
        <v>1.2500000000000001E-2</v>
      </c>
      <c r="C555" s="120">
        <v>3.0000000000000001E-3</v>
      </c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spans="1:26" ht="14.25" customHeight="1" x14ac:dyDescent="0.35">
      <c r="A556" s="48" t="s">
        <v>701</v>
      </c>
      <c r="B556" s="120">
        <v>-2.4300000000000002E-2</v>
      </c>
      <c r="C556" s="120">
        <v>2.8999999999999998E-3</v>
      </c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spans="1:26" ht="14.25" customHeight="1" x14ac:dyDescent="0.35">
      <c r="A557" s="48" t="s">
        <v>702</v>
      </c>
      <c r="B557" s="120">
        <v>-8.0000000000000002E-3</v>
      </c>
      <c r="C557" s="120">
        <v>3.0999999999999999E-3</v>
      </c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spans="1:26" ht="14.25" customHeight="1" x14ac:dyDescent="0.35">
      <c r="A558" s="48" t="s">
        <v>703</v>
      </c>
      <c r="B558" s="120">
        <v>3.2599999999999997E-2</v>
      </c>
      <c r="C558" s="120">
        <v>2.8999999999999998E-3</v>
      </c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spans="1:26" ht="14.25" customHeight="1" x14ac:dyDescent="0.35">
      <c r="A559" s="48" t="s">
        <v>704</v>
      </c>
      <c r="B559" s="120">
        <v>-1.1399999999999999E-2</v>
      </c>
      <c r="C559" s="120">
        <v>3.4000000000000002E-3</v>
      </c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spans="1:26" ht="14.25" customHeight="1" x14ac:dyDescent="0.35">
      <c r="A560" s="48" t="s">
        <v>705</v>
      </c>
      <c r="B560" s="120">
        <v>5.1999999999999998E-3</v>
      </c>
      <c r="C560" s="120">
        <v>4.0000000000000001E-3</v>
      </c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spans="1:26" ht="14.25" customHeight="1" x14ac:dyDescent="0.35">
      <c r="A561" s="48" t="s">
        <v>706</v>
      </c>
      <c r="B561" s="120">
        <v>4.5999999999999999E-2</v>
      </c>
      <c r="C561" s="120">
        <v>3.7000000000000002E-3</v>
      </c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spans="1:26" ht="14.25" customHeight="1" x14ac:dyDescent="0.35">
      <c r="A562" s="48" t="s">
        <v>707</v>
      </c>
      <c r="B562" s="120">
        <v>6.1999999999999998E-3</v>
      </c>
      <c r="C562" s="120">
        <v>3.7000000000000002E-3</v>
      </c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spans="1:26" ht="14.25" customHeight="1" x14ac:dyDescent="0.35">
      <c r="A563" s="48" t="s">
        <v>708</v>
      </c>
      <c r="B563" s="120">
        <v>-3.2899999999999999E-2</v>
      </c>
      <c r="C563" s="120">
        <v>4.4000000000000003E-3</v>
      </c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spans="1:26" ht="14.25" customHeight="1" x14ac:dyDescent="0.35">
      <c r="A564" s="48" t="s">
        <v>709</v>
      </c>
      <c r="B564" s="120">
        <v>-4.8499999999999995E-2</v>
      </c>
      <c r="C564" s="120">
        <v>4.0999999999999995E-3</v>
      </c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spans="1:26" ht="14.25" customHeight="1" x14ac:dyDescent="0.35">
      <c r="A565" s="48" t="s">
        <v>710</v>
      </c>
      <c r="B565" s="120">
        <v>-1.3000000000000001E-2</v>
      </c>
      <c r="C565" s="120">
        <v>4.5999999999999999E-3</v>
      </c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spans="1:26" ht="14.25" customHeight="1" x14ac:dyDescent="0.35">
      <c r="A566" s="48" t="s">
        <v>711</v>
      </c>
      <c r="B566" s="120">
        <v>-5.6799999999999996E-2</v>
      </c>
      <c r="C566" s="120">
        <v>5.1999999999999998E-3</v>
      </c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spans="1:26" ht="14.25" customHeight="1" x14ac:dyDescent="0.35">
      <c r="A567" s="48" t="s">
        <v>712</v>
      </c>
      <c r="B567" s="120">
        <v>-2.9399999999999999E-2</v>
      </c>
      <c r="C567" s="120">
        <v>5.1000000000000004E-3</v>
      </c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spans="1:26" ht="14.25" customHeight="1" x14ac:dyDescent="0.35">
      <c r="A568" s="48" t="s">
        <v>713</v>
      </c>
      <c r="B568" s="120">
        <v>-1.5700000000000002E-2</v>
      </c>
      <c r="C568" s="120">
        <v>5.1000000000000004E-3</v>
      </c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spans="1:26" ht="14.25" customHeight="1" x14ac:dyDescent="0.35">
      <c r="A569" s="48" t="s">
        <v>714</v>
      </c>
      <c r="B569" s="120">
        <v>5.0499999999999996E-2</v>
      </c>
      <c r="C569" s="120">
        <v>6.4000000000000003E-3</v>
      </c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spans="1:26" ht="14.25" customHeight="1" x14ac:dyDescent="0.35">
      <c r="A570" s="48" t="s">
        <v>715</v>
      </c>
      <c r="B570" s="120">
        <v>-3.8199999999999998E-2</v>
      </c>
      <c r="C570" s="120">
        <v>6.9999999999999993E-3</v>
      </c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spans="1:26" ht="14.25" customHeight="1" x14ac:dyDescent="0.35">
      <c r="A571" s="48" t="s">
        <v>716</v>
      </c>
      <c r="B571" s="120">
        <v>4.7500000000000001E-2</v>
      </c>
      <c r="C571" s="120">
        <v>6.8000000000000005E-3</v>
      </c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spans="1:26" ht="14.25" customHeight="1" x14ac:dyDescent="0.35">
      <c r="A572" s="48" t="s">
        <v>717</v>
      </c>
      <c r="B572" s="120">
        <v>-8.3000000000000001E-3</v>
      </c>
      <c r="C572" s="120">
        <v>6.5000000000000006E-3</v>
      </c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spans="1:26" ht="14.25" customHeight="1" x14ac:dyDescent="0.35">
      <c r="A573" s="48" t="s">
        <v>718</v>
      </c>
      <c r="B573" s="120">
        <v>-0.1275</v>
      </c>
      <c r="C573" s="120">
        <v>5.6000000000000008E-3</v>
      </c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spans="1:26" ht="14.25" customHeight="1" x14ac:dyDescent="0.35">
      <c r="A574" s="48" t="s">
        <v>719</v>
      </c>
      <c r="B574" s="120">
        <v>6.0999999999999995E-3</v>
      </c>
      <c r="C574" s="120">
        <v>6.4000000000000003E-3</v>
      </c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spans="1:26" ht="14.25" customHeight="1" x14ac:dyDescent="0.35">
      <c r="A575" s="48" t="s">
        <v>720</v>
      </c>
      <c r="B575" s="120">
        <v>-1.7000000000000001E-3</v>
      </c>
      <c r="C575" s="120">
        <v>6.3E-3</v>
      </c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spans="1:26" ht="14.25" customHeight="1" x14ac:dyDescent="0.35">
      <c r="A576" s="48" t="s">
        <v>721</v>
      </c>
      <c r="B576" s="120">
        <v>-4.6999999999999993E-3</v>
      </c>
      <c r="C576" s="120">
        <v>5.7999999999999996E-3</v>
      </c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spans="1:26" ht="14.25" customHeight="1" x14ac:dyDescent="0.35">
      <c r="A577" s="48" t="s">
        <v>722</v>
      </c>
      <c r="B577" s="120">
        <v>-2.81E-2</v>
      </c>
      <c r="C577" s="120">
        <v>5.6000000000000008E-3</v>
      </c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spans="1:26" ht="14.25" customHeight="1" x14ac:dyDescent="0.35">
      <c r="A578" s="48" t="s">
        <v>723</v>
      </c>
      <c r="B578" s="120">
        <v>-5.2900000000000003E-2</v>
      </c>
      <c r="C578" s="120">
        <v>7.4999999999999997E-3</v>
      </c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spans="1:26" ht="14.25" customHeight="1" x14ac:dyDescent="0.35">
      <c r="A579" s="48" t="s">
        <v>724</v>
      </c>
      <c r="B579" s="120">
        <v>-4.6799999999999994E-2</v>
      </c>
      <c r="C579" s="120">
        <v>7.4999999999999997E-3</v>
      </c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spans="1:26" ht="14.25" customHeight="1" x14ac:dyDescent="0.35">
      <c r="A580" s="48" t="s">
        <v>725</v>
      </c>
      <c r="B580" s="120">
        <v>-2.8300000000000002E-2</v>
      </c>
      <c r="C580" s="120">
        <v>6.0000000000000001E-3</v>
      </c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spans="1:26" ht="14.25" customHeight="1" x14ac:dyDescent="0.35">
      <c r="A581" s="48" t="s">
        <v>726</v>
      </c>
      <c r="B581" s="120">
        <v>-8.0500000000000002E-2</v>
      </c>
      <c r="C581" s="120">
        <v>6.9999999999999993E-3</v>
      </c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spans="1:26" ht="14.25" customHeight="1" x14ac:dyDescent="0.35">
      <c r="A582" s="48" t="s">
        <v>727</v>
      </c>
      <c r="B582" s="120">
        <v>-9.35E-2</v>
      </c>
      <c r="C582" s="120">
        <v>6.0000000000000001E-3</v>
      </c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spans="1:26" ht="14.25" customHeight="1" x14ac:dyDescent="0.35">
      <c r="A583" s="48" t="s">
        <v>728</v>
      </c>
      <c r="B583" s="120">
        <v>-0.1177</v>
      </c>
      <c r="C583" s="120">
        <v>8.1000000000000013E-3</v>
      </c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spans="1:26" ht="14.25" customHeight="1" x14ac:dyDescent="0.35">
      <c r="A584" s="48" t="s">
        <v>729</v>
      </c>
      <c r="B584" s="120">
        <v>0.161</v>
      </c>
      <c r="C584" s="120">
        <v>5.1000000000000004E-3</v>
      </c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spans="1:26" ht="14.25" customHeight="1" x14ac:dyDescent="0.35">
      <c r="A585" s="48" t="s">
        <v>730</v>
      </c>
      <c r="B585" s="120">
        <v>-4.5100000000000001E-2</v>
      </c>
      <c r="C585" s="120">
        <v>5.4000000000000003E-3</v>
      </c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spans="1:26" ht="14.25" customHeight="1" x14ac:dyDescent="0.35">
      <c r="A586" s="48" t="s">
        <v>731</v>
      </c>
      <c r="B586" s="120">
        <v>-3.4500000000000003E-2</v>
      </c>
      <c r="C586" s="120">
        <v>6.9999999999999993E-3</v>
      </c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spans="1:26" ht="14.25" customHeight="1" x14ac:dyDescent="0.35">
      <c r="A587" s="48" t="s">
        <v>732</v>
      </c>
      <c r="B587" s="120">
        <v>0.1366</v>
      </c>
      <c r="C587" s="120">
        <v>5.7999999999999996E-3</v>
      </c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spans="1:26" ht="14.25" customHeight="1" x14ac:dyDescent="0.35">
      <c r="A588" s="48" t="s">
        <v>733</v>
      </c>
      <c r="B588" s="120">
        <v>5.5599999999999997E-2</v>
      </c>
      <c r="C588" s="120">
        <v>4.3E-3</v>
      </c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spans="1:26" ht="14.25" customHeight="1" x14ac:dyDescent="0.35">
      <c r="A589" s="48" t="s">
        <v>734</v>
      </c>
      <c r="B589" s="120">
        <v>2.6600000000000002E-2</v>
      </c>
      <c r="C589" s="120">
        <v>4.0999999999999995E-3</v>
      </c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spans="1:26" ht="14.25" customHeight="1" x14ac:dyDescent="0.35">
      <c r="A590" s="48" t="s">
        <v>735</v>
      </c>
      <c r="B590" s="120">
        <v>4.2300000000000004E-2</v>
      </c>
      <c r="C590" s="120">
        <v>4.4000000000000003E-3</v>
      </c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spans="1:26" ht="14.25" customHeight="1" x14ac:dyDescent="0.35">
      <c r="A591" s="48" t="s">
        <v>736</v>
      </c>
      <c r="B591" s="120">
        <v>5.1900000000000002E-2</v>
      </c>
      <c r="C591" s="120">
        <v>4.4000000000000003E-3</v>
      </c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spans="1:26" ht="14.25" customHeight="1" x14ac:dyDescent="0.35">
      <c r="A592" s="48" t="s">
        <v>737</v>
      </c>
      <c r="B592" s="120">
        <v>4.8300000000000003E-2</v>
      </c>
      <c r="C592" s="120">
        <v>4.0999999999999995E-3</v>
      </c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spans="1:26" ht="14.25" customHeight="1" x14ac:dyDescent="0.35">
      <c r="A593" s="48" t="s">
        <v>738</v>
      </c>
      <c r="B593" s="120">
        <v>-6.59E-2</v>
      </c>
      <c r="C593" s="120">
        <v>4.7999999999999996E-3</v>
      </c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spans="1:26" ht="14.25" customHeight="1" x14ac:dyDescent="0.35">
      <c r="A594" s="48" t="s">
        <v>739</v>
      </c>
      <c r="B594" s="120">
        <v>-2.8500000000000001E-2</v>
      </c>
      <c r="C594" s="120">
        <v>4.7999999999999996E-3</v>
      </c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spans="1:26" ht="14.25" customHeight="1" x14ac:dyDescent="0.35">
      <c r="A595" s="48" t="s">
        <v>740</v>
      </c>
      <c r="B595" s="120">
        <v>-4.2599999999999999E-2</v>
      </c>
      <c r="C595" s="120">
        <v>5.3E-3</v>
      </c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spans="1:26" ht="14.25" customHeight="1" x14ac:dyDescent="0.35">
      <c r="A596" s="48" t="s">
        <v>741</v>
      </c>
      <c r="B596" s="120">
        <v>5.3099999999999994E-2</v>
      </c>
      <c r="C596" s="120">
        <v>5.6000000000000008E-3</v>
      </c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spans="1:26" ht="14.25" customHeight="1" x14ac:dyDescent="0.35">
      <c r="A597" s="48" t="s">
        <v>742</v>
      </c>
      <c r="B597" s="120">
        <v>2.64E-2</v>
      </c>
      <c r="C597" s="120">
        <v>4.0999999999999995E-3</v>
      </c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spans="1:26" ht="14.25" customHeight="1" x14ac:dyDescent="0.35">
      <c r="A598" s="48" t="s">
        <v>743</v>
      </c>
      <c r="B598" s="120">
        <v>-1.6E-2</v>
      </c>
      <c r="C598" s="120">
        <v>4.7999999999999996E-3</v>
      </c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spans="1:26" ht="14.25" customHeight="1" x14ac:dyDescent="0.35">
      <c r="A599" s="48" t="s">
        <v>744</v>
      </c>
      <c r="B599" s="120">
        <v>0.1216</v>
      </c>
      <c r="C599" s="120">
        <v>4.6999999999999993E-3</v>
      </c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spans="1:26" ht="14.25" customHeight="1" x14ac:dyDescent="0.35">
      <c r="A600" s="48" t="s">
        <v>745</v>
      </c>
      <c r="B600" s="120">
        <v>3.2000000000000002E-3</v>
      </c>
      <c r="C600" s="120">
        <v>3.4000000000000002E-3</v>
      </c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spans="1:26" ht="14.25" customHeight="1" x14ac:dyDescent="0.35">
      <c r="A601" s="48" t="s">
        <v>746</v>
      </c>
      <c r="B601" s="120">
        <v>2.3199999999999998E-2</v>
      </c>
      <c r="C601" s="120">
        <v>4.0000000000000001E-3</v>
      </c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spans="1:26" ht="14.25" customHeight="1" x14ac:dyDescent="0.35">
      <c r="A602" s="48" t="s">
        <v>747</v>
      </c>
      <c r="B602" s="120">
        <v>-1.49E-2</v>
      </c>
      <c r="C602" s="120">
        <v>4.1999999999999997E-3</v>
      </c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spans="1:26" ht="14.25" customHeight="1" x14ac:dyDescent="0.35">
      <c r="A603" s="48" t="s">
        <v>748</v>
      </c>
      <c r="B603" s="120">
        <v>-1.34E-2</v>
      </c>
      <c r="C603" s="120">
        <v>3.7000000000000002E-3</v>
      </c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spans="1:26" ht="14.25" customHeight="1" x14ac:dyDescent="0.35">
      <c r="A604" s="48" t="s">
        <v>749</v>
      </c>
      <c r="B604" s="120">
        <v>4.0500000000000001E-2</v>
      </c>
      <c r="C604" s="120">
        <v>4.3E-3</v>
      </c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spans="1:26" ht="14.25" customHeight="1" x14ac:dyDescent="0.35">
      <c r="A605" s="48" t="s">
        <v>750</v>
      </c>
      <c r="B605" s="120">
        <v>-1.0700000000000001E-2</v>
      </c>
      <c r="C605" s="120">
        <v>4.6999999999999993E-3</v>
      </c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spans="1:26" ht="14.25" customHeight="1" x14ac:dyDescent="0.35">
      <c r="A606" s="48" t="s">
        <v>751</v>
      </c>
      <c r="B606" s="120">
        <v>-5.6000000000000008E-3</v>
      </c>
      <c r="C606" s="120">
        <v>4.1999999999999997E-3</v>
      </c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spans="1:26" ht="14.25" customHeight="1" x14ac:dyDescent="0.35">
      <c r="A607" s="48" t="s">
        <v>752</v>
      </c>
      <c r="B607" s="120">
        <v>2.07E-2</v>
      </c>
      <c r="C607" s="120">
        <v>4.4000000000000003E-3</v>
      </c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spans="1:26" ht="14.25" customHeight="1" x14ac:dyDescent="0.35">
      <c r="A608" s="48" t="s">
        <v>753</v>
      </c>
      <c r="B608" s="120">
        <v>-2.4199999999999999E-2</v>
      </c>
      <c r="C608" s="120">
        <v>4.0999999999999995E-3</v>
      </c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spans="1:26" ht="14.25" customHeight="1" x14ac:dyDescent="0.35">
      <c r="A609" s="48" t="s">
        <v>754</v>
      </c>
      <c r="B609" s="120">
        <v>3.5999999999999999E-3</v>
      </c>
      <c r="C609" s="120">
        <v>4.0000000000000001E-3</v>
      </c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spans="1:26" ht="14.25" customHeight="1" x14ac:dyDescent="0.35">
      <c r="A610" s="48" t="s">
        <v>755</v>
      </c>
      <c r="B610" s="120">
        <v>5.6500000000000002E-2</v>
      </c>
      <c r="C610" s="120">
        <v>4.0000000000000001E-3</v>
      </c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spans="1:26" ht="14.25" customHeight="1" x14ac:dyDescent="0.35">
      <c r="A611" s="48" t="s">
        <v>756</v>
      </c>
      <c r="B611" s="120">
        <v>-4.0500000000000001E-2</v>
      </c>
      <c r="C611" s="120">
        <v>3.5999999999999999E-3</v>
      </c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spans="1:26" ht="14.25" customHeight="1" x14ac:dyDescent="0.35">
      <c r="A612" s="48" t="s">
        <v>757</v>
      </c>
      <c r="B612" s="120">
        <v>-1.9400000000000001E-2</v>
      </c>
      <c r="C612" s="120">
        <v>3.4999999999999996E-3</v>
      </c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spans="1:26" ht="14.25" customHeight="1" x14ac:dyDescent="0.35">
      <c r="A613" s="48" t="s">
        <v>758</v>
      </c>
      <c r="B613" s="120">
        <v>-1.37E-2</v>
      </c>
      <c r="C613" s="120">
        <v>3.8E-3</v>
      </c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spans="1:26" ht="14.25" customHeight="1" x14ac:dyDescent="0.35">
      <c r="A614" s="48" t="s">
        <v>759</v>
      </c>
      <c r="B614" s="120">
        <v>1.5E-3</v>
      </c>
      <c r="C614" s="120">
        <v>3.8E-3</v>
      </c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spans="1:26" ht="14.25" customHeight="1" x14ac:dyDescent="0.35">
      <c r="A615" s="48" t="s">
        <v>760</v>
      </c>
      <c r="B615" s="120">
        <v>-1.4499999999999999E-2</v>
      </c>
      <c r="C615" s="120">
        <v>3.7000000000000002E-3</v>
      </c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spans="1:26" ht="14.25" customHeight="1" x14ac:dyDescent="0.35">
      <c r="A616" s="48" t="s">
        <v>761</v>
      </c>
      <c r="B616" s="120">
        <v>4.7100000000000003E-2</v>
      </c>
      <c r="C616" s="120">
        <v>4.0000000000000001E-3</v>
      </c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spans="1:26" ht="14.25" customHeight="1" x14ac:dyDescent="0.35">
      <c r="A617" s="48" t="s">
        <v>762</v>
      </c>
      <c r="B617" s="120">
        <v>-1.6899999999999998E-2</v>
      </c>
      <c r="C617" s="120">
        <v>4.1999999999999997E-3</v>
      </c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spans="1:26" ht="14.25" customHeight="1" x14ac:dyDescent="0.35">
      <c r="A618" s="48" t="s">
        <v>763</v>
      </c>
      <c r="B618" s="120">
        <v>-1.7500000000000002E-2</v>
      </c>
      <c r="C618" s="120">
        <v>4.4000000000000003E-3</v>
      </c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spans="1:26" ht="14.25" customHeight="1" x14ac:dyDescent="0.35">
      <c r="A619" s="48" t="s">
        <v>764</v>
      </c>
      <c r="B619" s="120">
        <v>-2.7000000000000001E-3</v>
      </c>
      <c r="C619" s="120">
        <v>4.3E-3</v>
      </c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spans="1:26" ht="14.25" customHeight="1" x14ac:dyDescent="0.35">
      <c r="A620" s="48" t="s">
        <v>765</v>
      </c>
      <c r="B620" s="120">
        <v>-4.3799999999999999E-2</v>
      </c>
      <c r="C620" s="120">
        <v>4.8999999999999998E-3</v>
      </c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spans="1:26" ht="14.25" customHeight="1" x14ac:dyDescent="0.35">
      <c r="A621" s="48" t="s">
        <v>766</v>
      </c>
      <c r="B621" s="120">
        <v>0.04</v>
      </c>
      <c r="C621" s="120">
        <v>5.0000000000000001E-3</v>
      </c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spans="1:26" ht="14.25" customHeight="1" x14ac:dyDescent="0.35">
      <c r="A622" s="48" t="s">
        <v>767</v>
      </c>
      <c r="B622" s="120">
        <v>2.7000000000000001E-3</v>
      </c>
      <c r="C622" s="120">
        <v>4.8999999999999998E-3</v>
      </c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spans="1:26" ht="14.25" customHeight="1" x14ac:dyDescent="0.35">
      <c r="A623" s="48" t="s">
        <v>768</v>
      </c>
      <c r="B623" s="120">
        <v>-6.0100000000000001E-2</v>
      </c>
      <c r="C623" s="120">
        <v>4.8999999999999998E-3</v>
      </c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spans="1:26" ht="14.25" customHeight="1" x14ac:dyDescent="0.35">
      <c r="A624" s="48" t="s">
        <v>769</v>
      </c>
      <c r="B624" s="120">
        <v>-1.38E-2</v>
      </c>
      <c r="C624" s="120">
        <v>4.5999999999999999E-3</v>
      </c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spans="1:26" ht="14.25" customHeight="1" x14ac:dyDescent="0.35">
      <c r="A625" s="48" t="s">
        <v>770</v>
      </c>
      <c r="B625" s="120">
        <v>2.8500000000000001E-2</v>
      </c>
      <c r="C625" s="120">
        <v>5.3E-3</v>
      </c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spans="1:26" ht="14.25" customHeight="1" x14ac:dyDescent="0.35">
      <c r="A626" s="48" t="s">
        <v>771</v>
      </c>
      <c r="B626" s="120">
        <v>7.8799999999999995E-2</v>
      </c>
      <c r="C626" s="120">
        <v>5.4000000000000003E-3</v>
      </c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spans="1:26" ht="14.25" customHeight="1" x14ac:dyDescent="0.35">
      <c r="A627" s="48" t="s">
        <v>772</v>
      </c>
      <c r="B627" s="120">
        <v>1.7600000000000001E-2</v>
      </c>
      <c r="C627" s="120">
        <v>5.1000000000000004E-3</v>
      </c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spans="1:26" ht="14.25" customHeight="1" x14ac:dyDescent="0.35">
      <c r="A628" s="48" t="s">
        <v>773</v>
      </c>
      <c r="B628" s="120">
        <v>-1.6899999999999998E-2</v>
      </c>
      <c r="C628" s="120">
        <v>5.4000000000000003E-3</v>
      </c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spans="1:26" ht="14.25" customHeight="1" x14ac:dyDescent="0.35">
      <c r="A629" s="48" t="s">
        <v>774</v>
      </c>
      <c r="B629" s="120">
        <v>5.1100000000000007E-2</v>
      </c>
      <c r="C629" s="120">
        <v>5.6000000000000008E-3</v>
      </c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spans="1:26" ht="14.25" customHeight="1" x14ac:dyDescent="0.35">
      <c r="A630" s="48" t="s">
        <v>775</v>
      </c>
      <c r="B630" s="120">
        <v>3.7499999999999999E-2</v>
      </c>
      <c r="C630" s="120">
        <v>5.6000000000000008E-3</v>
      </c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spans="1:26" ht="14.25" customHeight="1" x14ac:dyDescent="0.35">
      <c r="A631" s="48" t="s">
        <v>776</v>
      </c>
      <c r="B631" s="120">
        <v>-1.43E-2</v>
      </c>
      <c r="C631" s="120">
        <v>6.1999999999999998E-3</v>
      </c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spans="1:26" ht="14.25" customHeight="1" x14ac:dyDescent="0.35">
      <c r="A632" s="48" t="s">
        <v>777</v>
      </c>
      <c r="B632" s="120">
        <v>-0.1191</v>
      </c>
      <c r="C632" s="120">
        <v>6.8000000000000005E-3</v>
      </c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spans="1:26" ht="14.25" customHeight="1" x14ac:dyDescent="0.35">
      <c r="A633" s="48" t="s">
        <v>778</v>
      </c>
      <c r="B633" s="120">
        <v>2.7099999999999999E-2</v>
      </c>
      <c r="C633" s="120">
        <v>6.9999999999999993E-3</v>
      </c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spans="1:26" ht="14.25" customHeight="1" x14ac:dyDescent="0.35">
      <c r="A634" s="48" t="s">
        <v>779</v>
      </c>
      <c r="B634" s="120">
        <v>8.8000000000000005E-3</v>
      </c>
      <c r="C634" s="120">
        <v>7.8000000000000005E-3</v>
      </c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spans="1:26" ht="14.25" customHeight="1" x14ac:dyDescent="0.35">
      <c r="A635" s="48" t="s">
        <v>780</v>
      </c>
      <c r="B635" s="120">
        <v>4.2300000000000004E-2</v>
      </c>
      <c r="C635" s="120">
        <v>7.7000000000000002E-3</v>
      </c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spans="1:26" ht="14.25" customHeight="1" x14ac:dyDescent="0.35">
      <c r="A636" s="48" t="s">
        <v>781</v>
      </c>
      <c r="B636" s="120">
        <v>-3.56E-2</v>
      </c>
      <c r="C636" s="120">
        <v>7.3000000000000001E-3</v>
      </c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spans="1:26" ht="14.25" customHeight="1" x14ac:dyDescent="0.35">
      <c r="A637" s="48" t="s">
        <v>782</v>
      </c>
      <c r="B637" s="120">
        <v>5.6799999999999996E-2</v>
      </c>
      <c r="C637" s="120">
        <v>8.1000000000000013E-3</v>
      </c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spans="1:26" ht="14.25" customHeight="1" x14ac:dyDescent="0.35">
      <c r="A638" s="48" t="s">
        <v>783</v>
      </c>
      <c r="B638" s="120">
        <v>-5.9999999999999995E-4</v>
      </c>
      <c r="C638" s="120">
        <v>8.0000000000000002E-3</v>
      </c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spans="1:26" ht="14.25" customHeight="1" x14ac:dyDescent="0.35">
      <c r="A639" s="48" t="s">
        <v>784</v>
      </c>
      <c r="B639" s="120">
        <v>-2.2099999999999998E-2</v>
      </c>
      <c r="C639" s="120">
        <v>8.199999999999999E-3</v>
      </c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spans="1:26" ht="14.25" customHeight="1" x14ac:dyDescent="0.35">
      <c r="A640" s="48" t="s">
        <v>785</v>
      </c>
      <c r="B640" s="120">
        <v>3.85E-2</v>
      </c>
      <c r="C640" s="120">
        <v>8.1000000000000013E-3</v>
      </c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spans="1:26" ht="14.25" customHeight="1" x14ac:dyDescent="0.35">
      <c r="A641" s="48" t="s">
        <v>786</v>
      </c>
      <c r="B641" s="120">
        <v>8.199999999999999E-3</v>
      </c>
      <c r="C641" s="120">
        <v>7.7000000000000002E-3</v>
      </c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spans="1:26" ht="14.25" customHeight="1" x14ac:dyDescent="0.35">
      <c r="A642" s="48" t="s">
        <v>787</v>
      </c>
      <c r="B642" s="120">
        <v>5.5300000000000002E-2</v>
      </c>
      <c r="C642" s="120">
        <v>7.7000000000000002E-3</v>
      </c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spans="1:26" ht="14.25" customHeight="1" x14ac:dyDescent="0.35">
      <c r="A643" s="48" t="s">
        <v>788</v>
      </c>
      <c r="B643" s="120">
        <v>-8.199999999999999E-3</v>
      </c>
      <c r="C643" s="120">
        <v>8.3000000000000001E-3</v>
      </c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spans="1:26" ht="14.25" customHeight="1" x14ac:dyDescent="0.35">
      <c r="A644" s="48" t="s">
        <v>789</v>
      </c>
      <c r="B644" s="120">
        <v>-8.1000000000000003E-2</v>
      </c>
      <c r="C644" s="120">
        <v>8.6999999999999994E-3</v>
      </c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spans="1:26" ht="14.25" customHeight="1" x14ac:dyDescent="0.35">
      <c r="A645" s="48" t="s">
        <v>790</v>
      </c>
      <c r="B645" s="120">
        <v>5.21E-2</v>
      </c>
      <c r="C645" s="120">
        <v>9.8999999999999991E-3</v>
      </c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spans="1:26" ht="14.25" customHeight="1" x14ac:dyDescent="0.35">
      <c r="A646" s="48" t="s">
        <v>791</v>
      </c>
      <c r="B646" s="120">
        <v>1.7899999999999999E-2</v>
      </c>
      <c r="C646" s="120">
        <v>9.4999999999999998E-3</v>
      </c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spans="1:26" ht="14.25" customHeight="1" x14ac:dyDescent="0.35">
      <c r="A647" s="48" t="s">
        <v>792</v>
      </c>
      <c r="B647" s="120">
        <v>5.5099999999999996E-2</v>
      </c>
      <c r="C647" s="120">
        <v>8.0000000000000002E-3</v>
      </c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spans="1:26" ht="14.25" customHeight="1" x14ac:dyDescent="0.35">
      <c r="A648" s="48" t="s">
        <v>793</v>
      </c>
      <c r="B648" s="120">
        <v>-1.2199999999999999E-2</v>
      </c>
      <c r="C648" s="120">
        <v>8.8999999999999999E-3</v>
      </c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spans="1:26" ht="14.25" customHeight="1" x14ac:dyDescent="0.35">
      <c r="A649" s="48" t="s">
        <v>794</v>
      </c>
      <c r="B649" s="120">
        <v>-0.129</v>
      </c>
      <c r="C649" s="120">
        <v>1.21E-2</v>
      </c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spans="1:26" ht="14.25" customHeight="1" x14ac:dyDescent="0.35">
      <c r="A650" s="48" t="s">
        <v>795</v>
      </c>
      <c r="B650" s="120">
        <v>3.9699999999999999E-2</v>
      </c>
      <c r="C650" s="120">
        <v>1.26E-2</v>
      </c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spans="1:26" ht="14.25" customHeight="1" x14ac:dyDescent="0.35">
      <c r="A651" s="48" t="s">
        <v>796</v>
      </c>
      <c r="B651" s="120">
        <v>5.2600000000000001E-2</v>
      </c>
      <c r="C651" s="120">
        <v>8.1000000000000013E-3</v>
      </c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spans="1:26" ht="14.25" customHeight="1" x14ac:dyDescent="0.35">
      <c r="A652" s="48" t="s">
        <v>797</v>
      </c>
      <c r="B652" s="120">
        <v>3.0600000000000002E-2</v>
      </c>
      <c r="C652" s="120">
        <v>6.0999999999999995E-3</v>
      </c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spans="1:26" ht="14.25" customHeight="1" x14ac:dyDescent="0.35">
      <c r="A653" s="48" t="s">
        <v>798</v>
      </c>
      <c r="B653" s="120">
        <v>6.4899999999999999E-2</v>
      </c>
      <c r="C653" s="120">
        <v>5.3E-3</v>
      </c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spans="1:26" ht="14.25" customHeight="1" x14ac:dyDescent="0.35">
      <c r="A654" s="48" t="s">
        <v>799</v>
      </c>
      <c r="B654" s="120">
        <v>1.8000000000000002E-2</v>
      </c>
      <c r="C654" s="120">
        <v>6.4000000000000003E-3</v>
      </c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spans="1:26" ht="14.25" customHeight="1" x14ac:dyDescent="0.35">
      <c r="A655" s="48" t="s">
        <v>800</v>
      </c>
      <c r="B655" s="120">
        <v>2.1899999999999999E-2</v>
      </c>
      <c r="C655" s="120">
        <v>7.4999999999999997E-3</v>
      </c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spans="1:26" ht="14.25" customHeight="1" x14ac:dyDescent="0.35">
      <c r="A656" s="48" t="s">
        <v>801</v>
      </c>
      <c r="B656" s="120">
        <v>1.06E-2</v>
      </c>
      <c r="C656" s="120">
        <v>9.4999999999999998E-3</v>
      </c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spans="1:26" ht="14.25" customHeight="1" x14ac:dyDescent="0.35">
      <c r="A657" s="48" t="s">
        <v>802</v>
      </c>
      <c r="B657" s="120">
        <v>9.5899999999999999E-2</v>
      </c>
      <c r="C657" s="120">
        <v>9.5999999999999992E-3</v>
      </c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spans="1:26" ht="14.25" customHeight="1" x14ac:dyDescent="0.35">
      <c r="A658" s="48" t="s">
        <v>803</v>
      </c>
      <c r="B658" s="120">
        <v>-4.5199999999999997E-2</v>
      </c>
      <c r="C658" s="120">
        <v>1.3100000000000001E-2</v>
      </c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spans="1:26" ht="14.25" customHeight="1" x14ac:dyDescent="0.35">
      <c r="A659" s="48" t="s">
        <v>804</v>
      </c>
      <c r="B659" s="120">
        <v>-5.04E-2</v>
      </c>
      <c r="C659" s="120">
        <v>1.04E-2</v>
      </c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spans="1:26" ht="14.25" customHeight="1" x14ac:dyDescent="0.35">
      <c r="A660" s="48" t="s">
        <v>805</v>
      </c>
      <c r="B660" s="120">
        <v>5.6999999999999993E-3</v>
      </c>
      <c r="C660" s="120">
        <v>1.0700000000000001E-2</v>
      </c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spans="1:26" ht="14.25" customHeight="1" x14ac:dyDescent="0.35">
      <c r="A661" s="48" t="s">
        <v>806</v>
      </c>
      <c r="B661" s="120">
        <v>3.56E-2</v>
      </c>
      <c r="C661" s="120">
        <v>1.21E-2</v>
      </c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spans="1:26" ht="14.25" customHeight="1" x14ac:dyDescent="0.35">
      <c r="A662" s="48" t="s">
        <v>807</v>
      </c>
      <c r="B662" s="120">
        <v>-2.1099999999999997E-2</v>
      </c>
      <c r="C662" s="120">
        <v>1.0800000000000001E-2</v>
      </c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spans="1:26" ht="14.25" customHeight="1" x14ac:dyDescent="0.35">
      <c r="A663" s="48" t="s">
        <v>808</v>
      </c>
      <c r="B663" s="120">
        <v>1.1000000000000001E-3</v>
      </c>
      <c r="C663" s="120">
        <v>1.15E-2</v>
      </c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spans="1:26" ht="14.25" customHeight="1" x14ac:dyDescent="0.35">
      <c r="A664" s="48" t="s">
        <v>809</v>
      </c>
      <c r="B664" s="120">
        <v>-2.3599999999999999E-2</v>
      </c>
      <c r="C664" s="120">
        <v>1.3500000000000002E-2</v>
      </c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spans="1:26" ht="14.25" customHeight="1" x14ac:dyDescent="0.35">
      <c r="A665" s="48" t="s">
        <v>810</v>
      </c>
      <c r="B665" s="120">
        <v>-1.54E-2</v>
      </c>
      <c r="C665" s="120">
        <v>1.24E-2</v>
      </c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spans="1:26" ht="14.25" customHeight="1" x14ac:dyDescent="0.35">
      <c r="A666" s="48" t="s">
        <v>811</v>
      </c>
      <c r="B666" s="120">
        <v>-7.0400000000000004E-2</v>
      </c>
      <c r="C666" s="120">
        <v>1.2800000000000001E-2</v>
      </c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spans="1:26" ht="14.25" customHeight="1" x14ac:dyDescent="0.35">
      <c r="A667" s="48" t="s">
        <v>812</v>
      </c>
      <c r="B667" s="120">
        <v>-7.17E-2</v>
      </c>
      <c r="C667" s="120">
        <v>1.24E-2</v>
      </c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spans="1:26" ht="14.25" customHeight="1" x14ac:dyDescent="0.35">
      <c r="A668" s="48" t="s">
        <v>813</v>
      </c>
      <c r="B668" s="120">
        <v>4.9200000000000001E-2</v>
      </c>
      <c r="C668" s="120">
        <v>1.21E-2</v>
      </c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spans="1:26" ht="14.25" customHeight="1" x14ac:dyDescent="0.35">
      <c r="A669" s="48" t="s">
        <v>814</v>
      </c>
      <c r="B669" s="120">
        <v>3.3599999999999998E-2</v>
      </c>
      <c r="C669" s="120">
        <v>1.0700000000000001E-2</v>
      </c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spans="1:26" ht="14.25" customHeight="1" x14ac:dyDescent="0.35">
      <c r="A670" s="48" t="s">
        <v>815</v>
      </c>
      <c r="B670" s="120">
        <v>-3.6499999999999998E-2</v>
      </c>
      <c r="C670" s="120">
        <v>8.6999999999999994E-3</v>
      </c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spans="1:26" ht="14.25" customHeight="1" x14ac:dyDescent="0.35">
      <c r="A671" s="48" t="s">
        <v>816</v>
      </c>
      <c r="B671" s="120">
        <v>-3.2400000000000005E-2</v>
      </c>
      <c r="C671" s="120">
        <v>8.0000000000000002E-3</v>
      </c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spans="1:26" ht="14.25" customHeight="1" x14ac:dyDescent="0.35">
      <c r="A672" s="48" t="s">
        <v>817</v>
      </c>
      <c r="B672" s="120">
        <v>-5.8600000000000006E-2</v>
      </c>
      <c r="C672" s="120">
        <v>9.1999999999999998E-3</v>
      </c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spans="1:26" ht="14.25" customHeight="1" x14ac:dyDescent="0.35">
      <c r="A673" s="48" t="s">
        <v>818</v>
      </c>
      <c r="B673" s="120">
        <v>-1.8700000000000001E-2</v>
      </c>
      <c r="C673" s="120">
        <v>9.7999999999999997E-3</v>
      </c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spans="1:26" ht="14.25" customHeight="1" x14ac:dyDescent="0.35">
      <c r="A674" s="48" t="s">
        <v>819</v>
      </c>
      <c r="B674" s="120">
        <v>3.27E-2</v>
      </c>
      <c r="C674" s="120">
        <v>1.1299999999999999E-2</v>
      </c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spans="1:26" ht="14.25" customHeight="1" x14ac:dyDescent="0.35">
      <c r="A675" s="48" t="s">
        <v>820</v>
      </c>
      <c r="B675" s="120">
        <v>-3.9900000000000005E-2</v>
      </c>
      <c r="C675" s="120">
        <v>1.06E-2</v>
      </c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spans="1:26" ht="14.25" customHeight="1" x14ac:dyDescent="0.35">
      <c r="A676" s="48" t="s">
        <v>821</v>
      </c>
      <c r="B676" s="120">
        <v>-3.0899999999999997E-2</v>
      </c>
      <c r="C676" s="120">
        <v>9.5999999999999992E-3</v>
      </c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spans="1:26" ht="14.25" customHeight="1" x14ac:dyDescent="0.35">
      <c r="A677" s="48" t="s">
        <v>822</v>
      </c>
      <c r="B677" s="120">
        <v>-3.1899999999999998E-2</v>
      </c>
      <c r="C677" s="120">
        <v>1.0500000000000001E-2</v>
      </c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spans="1:26" ht="14.25" customHeight="1" x14ac:dyDescent="0.35">
      <c r="A678" s="48" t="s">
        <v>823</v>
      </c>
      <c r="B678" s="120">
        <v>0.1114</v>
      </c>
      <c r="C678" s="120">
        <v>7.6E-3</v>
      </c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spans="1:26" ht="14.25" customHeight="1" x14ac:dyDescent="0.35">
      <c r="A679" s="48" t="s">
        <v>824</v>
      </c>
      <c r="B679" s="120">
        <v>1.29E-2</v>
      </c>
      <c r="C679" s="120">
        <v>5.1000000000000004E-3</v>
      </c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spans="1:26" ht="14.25" customHeight="1" x14ac:dyDescent="0.35">
      <c r="A680" s="48" t="s">
        <v>825</v>
      </c>
      <c r="B680" s="120">
        <v>0.113</v>
      </c>
      <c r="C680" s="120">
        <v>5.8999999999999999E-3</v>
      </c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spans="1:26" ht="14.25" customHeight="1" x14ac:dyDescent="0.35">
      <c r="A681" s="48" t="s">
        <v>826</v>
      </c>
      <c r="B681" s="120">
        <v>4.6699999999999998E-2</v>
      </c>
      <c r="C681" s="120">
        <v>6.3E-3</v>
      </c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spans="1:26" ht="14.25" customHeight="1" x14ac:dyDescent="0.35">
      <c r="A682" s="48" t="s">
        <v>827</v>
      </c>
      <c r="B682" s="120">
        <v>5.5000000000000005E-3</v>
      </c>
      <c r="C682" s="120">
        <v>6.7000000000000002E-3</v>
      </c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spans="1:26" ht="14.25" customHeight="1" x14ac:dyDescent="0.35">
      <c r="A683" s="48" t="s">
        <v>828</v>
      </c>
      <c r="B683" s="120">
        <v>3.6000000000000004E-2</v>
      </c>
      <c r="C683" s="120">
        <v>6.8999999999999999E-3</v>
      </c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spans="1:26" ht="14.25" customHeight="1" x14ac:dyDescent="0.35">
      <c r="A684" s="48" t="s">
        <v>829</v>
      </c>
      <c r="B684" s="120">
        <v>2.5899999999999999E-2</v>
      </c>
      <c r="C684" s="120">
        <v>6.1999999999999998E-3</v>
      </c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spans="1:26" ht="14.25" customHeight="1" x14ac:dyDescent="0.35">
      <c r="A685" s="48" t="s">
        <v>830</v>
      </c>
      <c r="B685" s="120">
        <v>2.8199999999999999E-2</v>
      </c>
      <c r="C685" s="120">
        <v>6.3E-3</v>
      </c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spans="1:26" ht="14.25" customHeight="1" x14ac:dyDescent="0.35">
      <c r="A686" s="48" t="s">
        <v>831</v>
      </c>
      <c r="B686" s="120">
        <v>6.6699999999999995E-2</v>
      </c>
      <c r="C686" s="120">
        <v>7.0999999999999995E-3</v>
      </c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spans="1:26" ht="14.25" customHeight="1" x14ac:dyDescent="0.35">
      <c r="A687" s="48" t="s">
        <v>832</v>
      </c>
      <c r="B687" s="120">
        <v>5.1999999999999998E-3</v>
      </c>
      <c r="C687" s="120">
        <v>6.8999999999999999E-3</v>
      </c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spans="1:26" ht="14.25" customHeight="1" x14ac:dyDescent="0.35">
      <c r="A688" s="48" t="s">
        <v>833</v>
      </c>
      <c r="B688" s="120">
        <v>3.0699999999999998E-2</v>
      </c>
      <c r="C688" s="120">
        <v>6.7000000000000002E-3</v>
      </c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spans="1:26" ht="14.25" customHeight="1" x14ac:dyDescent="0.35">
      <c r="A689" s="48" t="s">
        <v>834</v>
      </c>
      <c r="B689" s="120">
        <v>-4.07E-2</v>
      </c>
      <c r="C689" s="120">
        <v>7.4000000000000003E-3</v>
      </c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spans="1:26" ht="14.25" customHeight="1" x14ac:dyDescent="0.35">
      <c r="A690" s="48" t="s">
        <v>835</v>
      </c>
      <c r="B690" s="120">
        <v>-5.0000000000000001E-3</v>
      </c>
      <c r="C690" s="120">
        <v>7.6E-3</v>
      </c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spans="1:26" ht="14.25" customHeight="1" x14ac:dyDescent="0.35">
      <c r="A691" s="48" t="s">
        <v>836</v>
      </c>
      <c r="B691" s="120">
        <v>9.1000000000000004E-3</v>
      </c>
      <c r="C691" s="120">
        <v>7.6E-3</v>
      </c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spans="1:26" ht="14.25" customHeight="1" x14ac:dyDescent="0.35">
      <c r="A692" s="48" t="s">
        <v>837</v>
      </c>
      <c r="B692" s="120">
        <v>-3.44E-2</v>
      </c>
      <c r="C692" s="120">
        <v>7.6E-3</v>
      </c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spans="1:26" ht="14.25" customHeight="1" x14ac:dyDescent="0.35">
      <c r="A693" s="48" t="s">
        <v>838</v>
      </c>
      <c r="B693" s="120">
        <v>2.1600000000000001E-2</v>
      </c>
      <c r="C693" s="120">
        <v>6.9999999999999993E-3</v>
      </c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spans="1:26" ht="14.25" customHeight="1" x14ac:dyDescent="0.35">
      <c r="A694" s="48" t="s">
        <v>839</v>
      </c>
      <c r="B694" s="120">
        <v>-1.78E-2</v>
      </c>
      <c r="C694" s="120">
        <v>7.3000000000000001E-3</v>
      </c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spans="1:26" ht="14.25" customHeight="1" x14ac:dyDescent="0.35">
      <c r="A695" s="48" t="s">
        <v>840</v>
      </c>
      <c r="B695" s="120">
        <v>-1.9199999999999998E-2</v>
      </c>
      <c r="C695" s="120">
        <v>7.6E-3</v>
      </c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spans="1:26" ht="14.25" customHeight="1" x14ac:dyDescent="0.35">
      <c r="A696" s="48" t="s">
        <v>841</v>
      </c>
      <c r="B696" s="120">
        <v>-4.82E-2</v>
      </c>
      <c r="C696" s="120">
        <v>7.0999999999999995E-3</v>
      </c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spans="1:26" ht="14.25" customHeight="1" x14ac:dyDescent="0.35">
      <c r="A697" s="48" t="s">
        <v>842</v>
      </c>
      <c r="B697" s="120">
        <v>6.3E-3</v>
      </c>
      <c r="C697" s="120">
        <v>7.3000000000000001E-3</v>
      </c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spans="1:26" ht="14.25" customHeight="1" x14ac:dyDescent="0.35">
      <c r="A698" s="48" t="s">
        <v>843</v>
      </c>
      <c r="B698" s="120">
        <v>-5.1000000000000004E-3</v>
      </c>
      <c r="C698" s="120">
        <v>8.1000000000000013E-3</v>
      </c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spans="1:26" ht="14.25" customHeight="1" x14ac:dyDescent="0.35">
      <c r="A699" s="48" t="s">
        <v>844</v>
      </c>
      <c r="B699" s="120">
        <v>-5.9699999999999996E-2</v>
      </c>
      <c r="C699" s="120">
        <v>7.8000000000000005E-3</v>
      </c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spans="1:26" ht="14.25" customHeight="1" x14ac:dyDescent="0.35">
      <c r="A700" s="48" t="s">
        <v>845</v>
      </c>
      <c r="B700" s="120">
        <v>1.8200000000000001E-2</v>
      </c>
      <c r="C700" s="120">
        <v>7.4999999999999997E-3</v>
      </c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spans="1:26" ht="14.25" customHeight="1" x14ac:dyDescent="0.35">
      <c r="A701" s="48" t="s">
        <v>846</v>
      </c>
      <c r="B701" s="120">
        <v>-2.7400000000000001E-2</v>
      </c>
      <c r="C701" s="120">
        <v>8.199999999999999E-3</v>
      </c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spans="1:26" ht="14.25" customHeight="1" x14ac:dyDescent="0.35">
      <c r="A702" s="48" t="s">
        <v>847</v>
      </c>
      <c r="B702" s="120">
        <v>0.10279999999999999</v>
      </c>
      <c r="C702" s="120">
        <v>8.3000000000000001E-3</v>
      </c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spans="1:26" ht="14.25" customHeight="1" x14ac:dyDescent="0.35">
      <c r="A703" s="48" t="s">
        <v>848</v>
      </c>
      <c r="B703" s="120">
        <v>-8.0000000000000002E-3</v>
      </c>
      <c r="C703" s="120">
        <v>8.6E-3</v>
      </c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spans="1:26" ht="14.25" customHeight="1" x14ac:dyDescent="0.35">
      <c r="A704" s="48" t="s">
        <v>849</v>
      </c>
      <c r="B704" s="120">
        <v>-8.3999999999999995E-3</v>
      </c>
      <c r="C704" s="120">
        <v>0.01</v>
      </c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spans="1:26" ht="14.25" customHeight="1" x14ac:dyDescent="0.35">
      <c r="A705" s="48" t="s">
        <v>850</v>
      </c>
      <c r="B705" s="120">
        <v>-1.7600000000000001E-2</v>
      </c>
      <c r="C705" s="120">
        <v>7.3000000000000001E-3</v>
      </c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spans="1:26" ht="14.25" customHeight="1" x14ac:dyDescent="0.35">
      <c r="A706" s="48" t="s">
        <v>851</v>
      </c>
      <c r="B706" s="120">
        <v>1.84E-2</v>
      </c>
      <c r="C706" s="120">
        <v>6.4000000000000003E-3</v>
      </c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spans="1:26" ht="14.25" customHeight="1" x14ac:dyDescent="0.35">
      <c r="A707" s="48" t="s">
        <v>852</v>
      </c>
      <c r="B707" s="120">
        <v>7.9899999999999999E-2</v>
      </c>
      <c r="C707" s="120">
        <v>6.5000000000000006E-3</v>
      </c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spans="1:26" ht="14.25" customHeight="1" x14ac:dyDescent="0.35">
      <c r="A708" s="48" t="s">
        <v>853</v>
      </c>
      <c r="B708" s="120">
        <v>1.2199999999999999E-2</v>
      </c>
      <c r="C708" s="120">
        <v>5.7999999999999996E-3</v>
      </c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spans="1:26" ht="14.25" customHeight="1" x14ac:dyDescent="0.35">
      <c r="A709" s="48" t="s">
        <v>854</v>
      </c>
      <c r="B709" s="120">
        <v>-8.3999999999999995E-3</v>
      </c>
      <c r="C709" s="120">
        <v>6.1999999999999998E-3</v>
      </c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spans="1:26" ht="14.25" customHeight="1" x14ac:dyDescent="0.35">
      <c r="A710" s="48" t="s">
        <v>855</v>
      </c>
      <c r="B710" s="120">
        <v>-9.5999999999999992E-3</v>
      </c>
      <c r="C710" s="120">
        <v>7.1999999999999998E-3</v>
      </c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spans="1:26" ht="14.25" customHeight="1" x14ac:dyDescent="0.35">
      <c r="A711" s="48" t="s">
        <v>856</v>
      </c>
      <c r="B711" s="120">
        <v>5.0900000000000001E-2</v>
      </c>
      <c r="C711" s="120">
        <v>6.6E-3</v>
      </c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spans="1:26" ht="14.25" customHeight="1" x14ac:dyDescent="0.35">
      <c r="A712" s="48" t="s">
        <v>857</v>
      </c>
      <c r="B712" s="120">
        <v>1.2699999999999999E-2</v>
      </c>
      <c r="C712" s="120">
        <v>5.5000000000000005E-3</v>
      </c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spans="1:26" ht="14.25" customHeight="1" x14ac:dyDescent="0.35">
      <c r="A713" s="48" t="s">
        <v>858</v>
      </c>
      <c r="B713" s="120">
        <v>-7.4000000000000003E-3</v>
      </c>
      <c r="C713" s="120">
        <v>6.1999999999999998E-3</v>
      </c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spans="1:26" ht="14.25" customHeight="1" x14ac:dyDescent="0.35">
      <c r="A714" s="48" t="s">
        <v>859</v>
      </c>
      <c r="B714" s="120">
        <v>-1.0200000000000001E-2</v>
      </c>
      <c r="C714" s="120">
        <v>5.5000000000000005E-3</v>
      </c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spans="1:26" ht="14.25" customHeight="1" x14ac:dyDescent="0.35">
      <c r="A715" s="48" t="s">
        <v>860</v>
      </c>
      <c r="B715" s="120">
        <v>-4.5400000000000003E-2</v>
      </c>
      <c r="C715" s="120">
        <v>6.0000000000000001E-3</v>
      </c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spans="1:26" ht="14.25" customHeight="1" x14ac:dyDescent="0.35">
      <c r="A716" s="48" t="s">
        <v>861</v>
      </c>
      <c r="B716" s="120">
        <v>4.0199999999999993E-2</v>
      </c>
      <c r="C716" s="120">
        <v>6.5000000000000006E-3</v>
      </c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spans="1:26" ht="14.25" customHeight="1" x14ac:dyDescent="0.35">
      <c r="A717" s="48" t="s">
        <v>862</v>
      </c>
      <c r="B717" s="120">
        <v>6.480000000000001E-2</v>
      </c>
      <c r="C717" s="120">
        <v>6.0999999999999995E-3</v>
      </c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spans="1:26" ht="14.25" customHeight="1" x14ac:dyDescent="0.35">
      <c r="A718" s="48" t="s">
        <v>863</v>
      </c>
      <c r="B718" s="120">
        <v>3.8800000000000001E-2</v>
      </c>
      <c r="C718" s="120">
        <v>6.5000000000000006E-3</v>
      </c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spans="1:26" ht="14.25" customHeight="1" x14ac:dyDescent="0.35">
      <c r="A719" s="48" t="s">
        <v>864</v>
      </c>
      <c r="B719" s="120">
        <v>6.5000000000000006E-3</v>
      </c>
      <c r="C719" s="120">
        <v>5.6000000000000008E-3</v>
      </c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spans="1:26" ht="14.25" customHeight="1" x14ac:dyDescent="0.35">
      <c r="A720" s="48" t="s">
        <v>865</v>
      </c>
      <c r="B720" s="120">
        <v>7.1300000000000002E-2</v>
      </c>
      <c r="C720" s="120">
        <v>5.3E-3</v>
      </c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spans="1:26" ht="14.25" customHeight="1" x14ac:dyDescent="0.35">
      <c r="A721" s="48" t="s">
        <v>866</v>
      </c>
      <c r="B721" s="120">
        <v>4.8799999999999996E-2</v>
      </c>
      <c r="C721" s="120">
        <v>6.0000000000000001E-3</v>
      </c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spans="1:26" ht="14.25" customHeight="1" x14ac:dyDescent="0.35">
      <c r="A722" s="48" t="s">
        <v>867</v>
      </c>
      <c r="B722" s="120">
        <v>-1.3100000000000001E-2</v>
      </c>
      <c r="C722" s="120">
        <v>5.1999999999999998E-3</v>
      </c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spans="1:26" ht="14.25" customHeight="1" x14ac:dyDescent="0.35">
      <c r="A723" s="48" t="s">
        <v>868</v>
      </c>
      <c r="B723" s="120">
        <v>4.6199999999999998E-2</v>
      </c>
      <c r="C723" s="120">
        <v>4.8999999999999998E-3</v>
      </c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spans="1:26" ht="14.25" customHeight="1" x14ac:dyDescent="0.35">
      <c r="A724" s="48" t="s">
        <v>869</v>
      </c>
      <c r="B724" s="120">
        <v>1.03E-2</v>
      </c>
      <c r="C724" s="120">
        <v>5.1999999999999998E-3</v>
      </c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spans="1:26" ht="14.25" customHeight="1" x14ac:dyDescent="0.35">
      <c r="A725" s="48" t="s">
        <v>870</v>
      </c>
      <c r="B725" s="120">
        <v>-6.4500000000000002E-2</v>
      </c>
      <c r="C725" s="120">
        <v>5.1999999999999998E-3</v>
      </c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spans="1:26" ht="14.25" customHeight="1" x14ac:dyDescent="0.35">
      <c r="A726" s="48" t="s">
        <v>871</v>
      </c>
      <c r="B726" s="120">
        <v>6.0700000000000004E-2</v>
      </c>
      <c r="C726" s="120">
        <v>4.5999999999999999E-3</v>
      </c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spans="1:26" ht="14.25" customHeight="1" x14ac:dyDescent="0.35">
      <c r="A727" s="48" t="s">
        <v>872</v>
      </c>
      <c r="B727" s="120">
        <v>-8.5999999999999993E-2</v>
      </c>
      <c r="C727" s="120">
        <v>4.5000000000000005E-3</v>
      </c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spans="1:26" ht="14.25" customHeight="1" x14ac:dyDescent="0.35">
      <c r="A728" s="48" t="s">
        <v>873</v>
      </c>
      <c r="B728" s="120">
        <v>4.6600000000000003E-2</v>
      </c>
      <c r="C728" s="120">
        <v>4.5999999999999999E-3</v>
      </c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spans="1:26" ht="14.25" customHeight="1" x14ac:dyDescent="0.35">
      <c r="A729" s="48" t="s">
        <v>874</v>
      </c>
      <c r="B729" s="120">
        <v>1.1699999999999999E-2</v>
      </c>
      <c r="C729" s="120">
        <v>3.9000000000000003E-3</v>
      </c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spans="1:26" ht="14.25" customHeight="1" x14ac:dyDescent="0.35">
      <c r="A730" s="48" t="s">
        <v>875</v>
      </c>
      <c r="B730" s="120">
        <v>-3.27E-2</v>
      </c>
      <c r="C730" s="120">
        <v>4.8999999999999998E-3</v>
      </c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spans="1:26" ht="14.25" customHeight="1" x14ac:dyDescent="0.35">
      <c r="A731" s="48" t="s">
        <v>876</v>
      </c>
      <c r="B731" s="120">
        <v>0.12470000000000001</v>
      </c>
      <c r="C731" s="120">
        <v>4.1999999999999997E-3</v>
      </c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spans="1:26" ht="14.25" customHeight="1" x14ac:dyDescent="0.35">
      <c r="A732" s="48" t="s">
        <v>877</v>
      </c>
      <c r="B732" s="120">
        <v>4.3899999999999995E-2</v>
      </c>
      <c r="C732" s="120">
        <v>4.3E-3</v>
      </c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spans="1:26" ht="14.25" customHeight="1" x14ac:dyDescent="0.35">
      <c r="A733" s="48" t="s">
        <v>878</v>
      </c>
      <c r="B733" s="120">
        <v>1.6399999999999998E-2</v>
      </c>
      <c r="C733" s="120">
        <v>4.6999999999999993E-3</v>
      </c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spans="1:26" ht="14.25" customHeight="1" x14ac:dyDescent="0.35">
      <c r="A734" s="48" t="s">
        <v>879</v>
      </c>
      <c r="B734" s="120">
        <v>-2.1099999999999997E-2</v>
      </c>
      <c r="C734" s="120">
        <v>4.4000000000000003E-3</v>
      </c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spans="1:26" ht="14.25" customHeight="1" x14ac:dyDescent="0.35">
      <c r="A735" s="48" t="s">
        <v>880</v>
      </c>
      <c r="B735" s="120">
        <v>1.1000000000000001E-3</v>
      </c>
      <c r="C735" s="120">
        <v>3.8E-3</v>
      </c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spans="1:26" ht="14.25" customHeight="1" x14ac:dyDescent="0.35">
      <c r="A736" s="48" t="s">
        <v>881</v>
      </c>
      <c r="B736" s="120">
        <v>3.9399999999999998E-2</v>
      </c>
      <c r="C736" s="120">
        <v>4.7999999999999996E-3</v>
      </c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spans="1:26" ht="14.25" customHeight="1" x14ac:dyDescent="0.35">
      <c r="A737" s="48" t="s">
        <v>882</v>
      </c>
      <c r="B737" s="120">
        <v>3.85E-2</v>
      </c>
      <c r="C737" s="120">
        <v>4.5999999999999999E-3</v>
      </c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spans="1:26" ht="14.25" customHeight="1" x14ac:dyDescent="0.35">
      <c r="A738" s="48" t="s">
        <v>883</v>
      </c>
      <c r="B738" s="120">
        <v>3.5200000000000002E-2</v>
      </c>
      <c r="C738" s="120">
        <v>4.6999999999999993E-3</v>
      </c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spans="1:26" ht="14.25" customHeight="1" x14ac:dyDescent="0.35">
      <c r="A739" s="48" t="s">
        <v>884</v>
      </c>
      <c r="B739" s="120">
        <v>-2.5899999999999999E-2</v>
      </c>
      <c r="C739" s="120">
        <v>4.5000000000000005E-3</v>
      </c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spans="1:26" ht="14.25" customHeight="1" x14ac:dyDescent="0.35">
      <c r="A740" s="48" t="s">
        <v>885</v>
      </c>
      <c r="B740" s="120">
        <v>-0.2324</v>
      </c>
      <c r="C740" s="120">
        <v>6.0000000000000001E-3</v>
      </c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spans="1:26" ht="14.25" customHeight="1" x14ac:dyDescent="0.35">
      <c r="A741" s="48" t="s">
        <v>886</v>
      </c>
      <c r="B741" s="120">
        <v>-7.7699999999999991E-2</v>
      </c>
      <c r="C741" s="120">
        <v>3.4999999999999996E-3</v>
      </c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spans="1:26" ht="14.25" customHeight="1" x14ac:dyDescent="0.35">
      <c r="A742" s="48" t="s">
        <v>887</v>
      </c>
      <c r="B742" s="120">
        <v>6.8099999999999994E-2</v>
      </c>
      <c r="C742" s="120">
        <v>3.9000000000000003E-3</v>
      </c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spans="1:26" ht="14.25" customHeight="1" x14ac:dyDescent="0.35">
      <c r="A743" s="48" t="s">
        <v>888</v>
      </c>
      <c r="B743" s="120">
        <v>4.2099999999999999E-2</v>
      </c>
      <c r="C743" s="120">
        <v>2.8999999999999998E-3</v>
      </c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spans="1:26" ht="14.25" customHeight="1" x14ac:dyDescent="0.35">
      <c r="A744" s="48" t="s">
        <v>889</v>
      </c>
      <c r="B744" s="120">
        <v>4.7500000000000001E-2</v>
      </c>
      <c r="C744" s="120">
        <v>4.5999999999999999E-3</v>
      </c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spans="1:26" ht="14.25" customHeight="1" x14ac:dyDescent="0.35">
      <c r="A745" s="48" t="s">
        <v>890</v>
      </c>
      <c r="B745" s="120">
        <v>-2.2700000000000001E-2</v>
      </c>
      <c r="C745" s="120">
        <v>4.4000000000000003E-3</v>
      </c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spans="1:26" ht="14.25" customHeight="1" x14ac:dyDescent="0.35">
      <c r="A746" s="48" t="s">
        <v>891</v>
      </c>
      <c r="B746" s="120">
        <v>5.6000000000000008E-3</v>
      </c>
      <c r="C746" s="120">
        <v>4.5999999999999999E-3</v>
      </c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spans="1:26" ht="14.25" customHeight="1" x14ac:dyDescent="0.35">
      <c r="A747" s="48" t="s">
        <v>892</v>
      </c>
      <c r="B747" s="120">
        <v>-2.8999999999999998E-3</v>
      </c>
      <c r="C747" s="120">
        <v>5.1000000000000004E-3</v>
      </c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spans="1:26" ht="14.25" customHeight="1" x14ac:dyDescent="0.35">
      <c r="A748" s="48" t="s">
        <v>893</v>
      </c>
      <c r="B748" s="120">
        <v>4.7899999999999998E-2</v>
      </c>
      <c r="C748" s="120">
        <v>4.8999999999999998E-3</v>
      </c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spans="1:26" ht="14.25" customHeight="1" x14ac:dyDescent="0.35">
      <c r="A749" s="48" t="s">
        <v>894</v>
      </c>
      <c r="B749" s="120">
        <v>-1.2500000000000001E-2</v>
      </c>
      <c r="C749" s="120">
        <v>5.1000000000000004E-3</v>
      </c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spans="1:26" ht="14.25" customHeight="1" x14ac:dyDescent="0.35">
      <c r="A750" s="48" t="s">
        <v>895</v>
      </c>
      <c r="B750" s="120">
        <v>-3.3099999999999997E-2</v>
      </c>
      <c r="C750" s="120">
        <v>5.8999999999999999E-3</v>
      </c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spans="1:26" ht="14.25" customHeight="1" x14ac:dyDescent="0.35">
      <c r="A751" s="48" t="s">
        <v>896</v>
      </c>
      <c r="B751" s="120">
        <v>3.3000000000000002E-2</v>
      </c>
      <c r="C751" s="120">
        <v>6.1999999999999998E-3</v>
      </c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spans="1:26" ht="14.25" customHeight="1" x14ac:dyDescent="0.35">
      <c r="A752" s="48" t="s">
        <v>897</v>
      </c>
      <c r="B752" s="120">
        <v>1.15E-2</v>
      </c>
      <c r="C752" s="120">
        <v>6.0999999999999995E-3</v>
      </c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spans="1:26" ht="14.25" customHeight="1" x14ac:dyDescent="0.35">
      <c r="A753" s="48" t="s">
        <v>898</v>
      </c>
      <c r="B753" s="120">
        <v>-2.29E-2</v>
      </c>
      <c r="C753" s="120">
        <v>5.6999999999999993E-3</v>
      </c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spans="1:26" ht="14.25" customHeight="1" x14ac:dyDescent="0.35">
      <c r="A754" s="48" t="s">
        <v>899</v>
      </c>
      <c r="B754" s="120">
        <v>1.49E-2</v>
      </c>
      <c r="C754" s="120">
        <v>6.3E-3</v>
      </c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spans="1:26" ht="14.25" customHeight="1" x14ac:dyDescent="0.35">
      <c r="A755" s="48" t="s">
        <v>900</v>
      </c>
      <c r="B755" s="120">
        <v>6.0999999999999999E-2</v>
      </c>
      <c r="C755" s="120">
        <v>5.5000000000000005E-3</v>
      </c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spans="1:26" ht="14.25" customHeight="1" x14ac:dyDescent="0.35">
      <c r="A756" s="48" t="s">
        <v>901</v>
      </c>
      <c r="B756" s="120">
        <v>-2.2499999999999999E-2</v>
      </c>
      <c r="C756" s="120">
        <v>6.0999999999999995E-3</v>
      </c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spans="1:26" ht="14.25" customHeight="1" x14ac:dyDescent="0.35">
      <c r="A757" s="48" t="s">
        <v>902</v>
      </c>
      <c r="B757" s="120">
        <v>1.5700000000000002E-2</v>
      </c>
      <c r="C757" s="120">
        <v>6.7000000000000002E-3</v>
      </c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spans="1:26" ht="14.25" customHeight="1" x14ac:dyDescent="0.35">
      <c r="A758" s="48" t="s">
        <v>903</v>
      </c>
      <c r="B758" s="120">
        <v>4.3299999999999998E-2</v>
      </c>
      <c r="C758" s="120">
        <v>6.7000000000000002E-3</v>
      </c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spans="1:26" ht="14.25" customHeight="1" x14ac:dyDescent="0.35">
      <c r="A759" s="48" t="s">
        <v>904</v>
      </c>
      <c r="B759" s="120">
        <v>3.3500000000000002E-2</v>
      </c>
      <c r="C759" s="120">
        <v>7.9000000000000008E-3</v>
      </c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spans="1:26" ht="14.25" customHeight="1" x14ac:dyDescent="0.35">
      <c r="A760" s="48" t="s">
        <v>905</v>
      </c>
      <c r="B760" s="120">
        <v>-1.3500000000000002E-2</v>
      </c>
      <c r="C760" s="120">
        <v>7.0999999999999995E-3</v>
      </c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spans="1:26" ht="14.25" customHeight="1" x14ac:dyDescent="0.35">
      <c r="A761" s="48" t="s">
        <v>906</v>
      </c>
      <c r="B761" s="120">
        <v>7.2000000000000008E-2</v>
      </c>
      <c r="C761" s="120">
        <v>6.9999999999999993E-3</v>
      </c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spans="1:26" ht="14.25" customHeight="1" x14ac:dyDescent="0.35">
      <c r="A762" s="48" t="s">
        <v>907</v>
      </c>
      <c r="B762" s="120">
        <v>1.44E-2</v>
      </c>
      <c r="C762" s="120">
        <v>7.4000000000000003E-3</v>
      </c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spans="1:26" ht="14.25" customHeight="1" x14ac:dyDescent="0.35">
      <c r="A763" s="48" t="s">
        <v>908</v>
      </c>
      <c r="B763" s="120">
        <v>-7.6E-3</v>
      </c>
      <c r="C763" s="120">
        <v>6.5000000000000006E-3</v>
      </c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spans="1:26" ht="14.25" customHeight="1" x14ac:dyDescent="0.35">
      <c r="A764" s="48" t="s">
        <v>909</v>
      </c>
      <c r="B764" s="120">
        <v>-3.6699999999999997E-2</v>
      </c>
      <c r="C764" s="120">
        <v>6.8000000000000005E-3</v>
      </c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spans="1:26" ht="14.25" customHeight="1" x14ac:dyDescent="0.35">
      <c r="A765" s="48" t="s">
        <v>910</v>
      </c>
      <c r="B765" s="120">
        <v>1.03E-2</v>
      </c>
      <c r="C765" s="120">
        <v>6.8999999999999999E-3</v>
      </c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spans="1:26" ht="14.25" customHeight="1" x14ac:dyDescent="0.35">
      <c r="A766" s="48" t="s">
        <v>911</v>
      </c>
      <c r="B766" s="120">
        <v>1.1599999999999999E-2</v>
      </c>
      <c r="C766" s="120">
        <v>6.0999999999999995E-3</v>
      </c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spans="1:26" ht="14.25" customHeight="1" x14ac:dyDescent="0.35">
      <c r="A767" s="48" t="s">
        <v>912</v>
      </c>
      <c r="B767" s="120">
        <v>-7.85E-2</v>
      </c>
      <c r="C767" s="120">
        <v>5.6999999999999993E-3</v>
      </c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spans="1:26" ht="14.25" customHeight="1" x14ac:dyDescent="0.35">
      <c r="A768" s="48" t="s">
        <v>913</v>
      </c>
      <c r="B768" s="120">
        <v>1.11E-2</v>
      </c>
      <c r="C768" s="120">
        <v>5.6999999999999993E-3</v>
      </c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spans="1:26" ht="14.25" customHeight="1" x14ac:dyDescent="0.35">
      <c r="A769" s="48" t="s">
        <v>914</v>
      </c>
      <c r="B769" s="120">
        <v>1.83E-2</v>
      </c>
      <c r="C769" s="120">
        <v>6.4000000000000003E-3</v>
      </c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spans="1:26" ht="14.25" customHeight="1" x14ac:dyDescent="0.35">
      <c r="A770" s="48" t="s">
        <v>915</v>
      </c>
      <c r="B770" s="120">
        <v>-3.3599999999999998E-2</v>
      </c>
      <c r="C770" s="120">
        <v>6.8999999999999999E-3</v>
      </c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spans="1:26" ht="14.25" customHeight="1" x14ac:dyDescent="0.35">
      <c r="A771" s="48" t="s">
        <v>916</v>
      </c>
      <c r="B771" s="120">
        <v>8.4199999999999997E-2</v>
      </c>
      <c r="C771" s="120">
        <v>6.8000000000000005E-3</v>
      </c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spans="1:26" ht="14.25" customHeight="1" x14ac:dyDescent="0.35">
      <c r="A772" s="48" t="s">
        <v>917</v>
      </c>
      <c r="B772" s="120">
        <v>-1.09E-2</v>
      </c>
      <c r="C772" s="120">
        <v>6.3E-3</v>
      </c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spans="1:26" ht="14.25" customHeight="1" x14ac:dyDescent="0.35">
      <c r="A773" s="48" t="s">
        <v>918</v>
      </c>
      <c r="B773" s="120">
        <v>-1.9E-2</v>
      </c>
      <c r="C773" s="120">
        <v>6.8000000000000005E-3</v>
      </c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spans="1:26" ht="14.25" customHeight="1" x14ac:dyDescent="0.35">
      <c r="A774" s="48" t="s">
        <v>919</v>
      </c>
      <c r="B774" s="120">
        <v>-0.10150000000000001</v>
      </c>
      <c r="C774" s="120">
        <v>6.6E-3</v>
      </c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spans="1:26" ht="14.25" customHeight="1" x14ac:dyDescent="0.35">
      <c r="A775" s="48" t="s">
        <v>920</v>
      </c>
      <c r="B775" s="120">
        <v>-6.1200000000000004E-2</v>
      </c>
      <c r="C775" s="120">
        <v>6.0000000000000001E-3</v>
      </c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spans="1:26" ht="14.25" customHeight="1" x14ac:dyDescent="0.35">
      <c r="A776" s="48" t="s">
        <v>921</v>
      </c>
      <c r="B776" s="120">
        <v>-1.9199999999999998E-2</v>
      </c>
      <c r="C776" s="120">
        <v>6.8000000000000005E-3</v>
      </c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spans="1:26" ht="14.25" customHeight="1" x14ac:dyDescent="0.35">
      <c r="A777" s="48" t="s">
        <v>922</v>
      </c>
      <c r="B777" s="120">
        <v>6.3500000000000001E-2</v>
      </c>
      <c r="C777" s="120">
        <v>5.6999999999999993E-3</v>
      </c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spans="1:26" ht="14.25" customHeight="1" x14ac:dyDescent="0.35">
      <c r="A778" s="48" t="s">
        <v>923</v>
      </c>
      <c r="B778" s="120">
        <v>2.46E-2</v>
      </c>
      <c r="C778" s="120">
        <v>6.0000000000000001E-3</v>
      </c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spans="1:26" ht="14.25" customHeight="1" x14ac:dyDescent="0.35">
      <c r="A779" s="48" t="s">
        <v>924</v>
      </c>
      <c r="B779" s="120">
        <v>4.6900000000000004E-2</v>
      </c>
      <c r="C779" s="120">
        <v>5.1999999999999998E-3</v>
      </c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spans="1:26" ht="14.25" customHeight="1" x14ac:dyDescent="0.35">
      <c r="A780" s="48" t="s">
        <v>925</v>
      </c>
      <c r="B780" s="120">
        <v>7.1900000000000006E-2</v>
      </c>
      <c r="C780" s="120">
        <v>4.7999999999999996E-3</v>
      </c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spans="1:26" ht="14.25" customHeight="1" x14ac:dyDescent="0.35">
      <c r="A781" s="48" t="s">
        <v>926</v>
      </c>
      <c r="B781" s="120">
        <v>2.6499999999999999E-2</v>
      </c>
      <c r="C781" s="120">
        <v>4.4000000000000003E-3</v>
      </c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spans="1:26" ht="14.25" customHeight="1" x14ac:dyDescent="0.35">
      <c r="A782" s="48" t="s">
        <v>927</v>
      </c>
      <c r="B782" s="120">
        <v>-2.8000000000000004E-3</v>
      </c>
      <c r="C782" s="120">
        <v>5.3E-3</v>
      </c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spans="1:26" ht="14.25" customHeight="1" x14ac:dyDescent="0.35">
      <c r="A783" s="48" t="s">
        <v>928</v>
      </c>
      <c r="B783" s="120">
        <v>3.6499999999999998E-2</v>
      </c>
      <c r="C783" s="120">
        <v>4.6999999999999993E-3</v>
      </c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spans="1:26" ht="14.25" customHeight="1" x14ac:dyDescent="0.35">
      <c r="A784" s="48" t="s">
        <v>929</v>
      </c>
      <c r="B784" s="120">
        <v>-4.9400000000000006E-2</v>
      </c>
      <c r="C784" s="120">
        <v>4.1999999999999997E-3</v>
      </c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spans="1:26" ht="14.25" customHeight="1" x14ac:dyDescent="0.35">
      <c r="A785" s="48" t="s">
        <v>930</v>
      </c>
      <c r="B785" s="120">
        <v>4.24E-2</v>
      </c>
      <c r="C785" s="120">
        <v>4.8999999999999998E-3</v>
      </c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spans="1:26" ht="14.25" customHeight="1" x14ac:dyDescent="0.35">
      <c r="A786" s="48" t="s">
        <v>931</v>
      </c>
      <c r="B786" s="120">
        <v>2.3199999999999998E-2</v>
      </c>
      <c r="C786" s="120">
        <v>4.5999999999999999E-3</v>
      </c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spans="1:26" ht="14.25" customHeight="1" x14ac:dyDescent="0.35">
      <c r="A787" s="48" t="s">
        <v>932</v>
      </c>
      <c r="B787" s="120">
        <v>-1.5900000000000001E-2</v>
      </c>
      <c r="C787" s="120">
        <v>4.5999999999999999E-3</v>
      </c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spans="1:26" ht="14.25" customHeight="1" x14ac:dyDescent="0.35">
      <c r="A788" s="48" t="s">
        <v>933</v>
      </c>
      <c r="B788" s="120">
        <v>1.29E-2</v>
      </c>
      <c r="C788" s="120">
        <v>4.1999999999999997E-3</v>
      </c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spans="1:26" ht="14.25" customHeight="1" x14ac:dyDescent="0.35">
      <c r="A789" s="48" t="s">
        <v>934</v>
      </c>
      <c r="B789" s="120">
        <v>-4.1900000000000007E-2</v>
      </c>
      <c r="C789" s="120">
        <v>3.9000000000000003E-3</v>
      </c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spans="1:26" ht="14.25" customHeight="1" x14ac:dyDescent="0.35">
      <c r="A790" s="48" t="s">
        <v>935</v>
      </c>
      <c r="B790" s="120">
        <v>0.1084</v>
      </c>
      <c r="C790" s="120">
        <v>3.8E-3</v>
      </c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spans="1:26" ht="14.25" customHeight="1" x14ac:dyDescent="0.35">
      <c r="A791" s="48" t="s">
        <v>936</v>
      </c>
      <c r="B791" s="120">
        <v>-5.8999999999999999E-3</v>
      </c>
      <c r="C791" s="120">
        <v>3.4000000000000002E-3</v>
      </c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spans="1:26" ht="14.25" customHeight="1" x14ac:dyDescent="0.35">
      <c r="A792" s="48" t="s">
        <v>937</v>
      </c>
      <c r="B792" s="120">
        <v>1.09E-2</v>
      </c>
      <c r="C792" s="120">
        <v>2.8000000000000004E-3</v>
      </c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spans="1:26" ht="14.25" customHeight="1" x14ac:dyDescent="0.35">
      <c r="A793" s="48" t="s">
        <v>938</v>
      </c>
      <c r="B793" s="120">
        <v>-2.6600000000000002E-2</v>
      </c>
      <c r="C793" s="120">
        <v>3.4000000000000002E-3</v>
      </c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spans="1:26" ht="14.25" customHeight="1" x14ac:dyDescent="0.35">
      <c r="A794" s="48" t="s">
        <v>939</v>
      </c>
      <c r="B794" s="120">
        <v>1.0700000000000001E-2</v>
      </c>
      <c r="C794" s="120">
        <v>3.2000000000000002E-3</v>
      </c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spans="1:26" ht="14.25" customHeight="1" x14ac:dyDescent="0.35">
      <c r="A795" s="48" t="s">
        <v>940</v>
      </c>
      <c r="B795" s="120">
        <v>3.0000000000000001E-3</v>
      </c>
      <c r="C795" s="120">
        <v>2.8000000000000004E-3</v>
      </c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spans="1:26" ht="14.25" customHeight="1" x14ac:dyDescent="0.35">
      <c r="A796" s="48" t="s">
        <v>941</v>
      </c>
      <c r="B796" s="120">
        <v>-2.3399999999999997E-2</v>
      </c>
      <c r="C796" s="120">
        <v>3.2000000000000002E-3</v>
      </c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spans="1:26" ht="14.25" customHeight="1" x14ac:dyDescent="0.35">
      <c r="A797" s="48" t="s">
        <v>942</v>
      </c>
      <c r="B797" s="120">
        <v>3.7699999999999997E-2</v>
      </c>
      <c r="C797" s="120">
        <v>3.0999999999999999E-3</v>
      </c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spans="1:26" ht="14.25" customHeight="1" x14ac:dyDescent="0.35">
      <c r="A798" s="48" t="s">
        <v>943</v>
      </c>
      <c r="B798" s="120">
        <v>-2.3799999999999998E-2</v>
      </c>
      <c r="C798" s="120">
        <v>2.5999999999999999E-3</v>
      </c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spans="1:26" ht="14.25" customHeight="1" x14ac:dyDescent="0.35">
      <c r="A799" s="48" t="s">
        <v>944</v>
      </c>
      <c r="B799" s="120">
        <v>1.1899999999999999E-2</v>
      </c>
      <c r="C799" s="120">
        <v>2.5999999999999999E-3</v>
      </c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spans="1:26" ht="14.25" customHeight="1" x14ac:dyDescent="0.35">
      <c r="A800" s="48" t="s">
        <v>945</v>
      </c>
      <c r="B800" s="120">
        <v>1.0200000000000001E-2</v>
      </c>
      <c r="C800" s="120">
        <v>2.3E-3</v>
      </c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spans="1:26" ht="14.25" customHeight="1" x14ac:dyDescent="0.35">
      <c r="A801" s="48" t="s">
        <v>946</v>
      </c>
      <c r="B801" s="120">
        <v>4.1299999999999996E-2</v>
      </c>
      <c r="C801" s="120">
        <v>2.3E-3</v>
      </c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spans="1:26" ht="14.25" customHeight="1" x14ac:dyDescent="0.35">
      <c r="A802" s="48" t="s">
        <v>947</v>
      </c>
      <c r="B802" s="120">
        <v>1.5300000000000001E-2</v>
      </c>
      <c r="C802" s="120">
        <v>2.8000000000000004E-3</v>
      </c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spans="1:26" ht="14.25" customHeight="1" x14ac:dyDescent="0.35">
      <c r="A803" s="48" t="s">
        <v>948</v>
      </c>
      <c r="B803" s="120">
        <v>9.300000000000001E-3</v>
      </c>
      <c r="C803" s="120">
        <v>2.3E-3</v>
      </c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spans="1:26" ht="14.25" customHeight="1" x14ac:dyDescent="0.35">
      <c r="A804" s="48" t="s">
        <v>949</v>
      </c>
      <c r="B804" s="120">
        <v>1.1999999999999999E-3</v>
      </c>
      <c r="C804" s="120">
        <v>2.2000000000000001E-3</v>
      </c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spans="1:26" ht="14.25" customHeight="1" x14ac:dyDescent="0.35">
      <c r="A805" s="48" t="s">
        <v>950</v>
      </c>
      <c r="B805" s="120">
        <v>2.3E-2</v>
      </c>
      <c r="C805" s="120">
        <v>2.5000000000000001E-3</v>
      </c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spans="1:26" ht="14.25" customHeight="1" x14ac:dyDescent="0.35">
      <c r="A806" s="48" t="s">
        <v>951</v>
      </c>
      <c r="B806" s="120">
        <v>-3.0499999999999999E-2</v>
      </c>
      <c r="C806" s="120">
        <v>2.3999999999999998E-3</v>
      </c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spans="1:26" ht="14.25" customHeight="1" x14ac:dyDescent="0.35">
      <c r="A807" s="48" t="s">
        <v>952</v>
      </c>
      <c r="B807" s="120">
        <v>2.8900000000000002E-2</v>
      </c>
      <c r="C807" s="120">
        <v>2.2000000000000001E-3</v>
      </c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spans="1:26" ht="14.25" customHeight="1" x14ac:dyDescent="0.35">
      <c r="A808" s="48" t="s">
        <v>953</v>
      </c>
      <c r="B808" s="120">
        <v>3.0999999999999999E-3</v>
      </c>
      <c r="C808" s="120">
        <v>2.5000000000000001E-3</v>
      </c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spans="1:26" ht="14.25" customHeight="1" x14ac:dyDescent="0.35">
      <c r="A809" s="48" t="s">
        <v>954</v>
      </c>
      <c r="B809" s="120">
        <v>-3.4000000000000002E-3</v>
      </c>
      <c r="C809" s="120">
        <v>2.3999999999999998E-3</v>
      </c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spans="1:26" ht="14.25" customHeight="1" x14ac:dyDescent="0.35">
      <c r="A810" s="48" t="s">
        <v>955</v>
      </c>
      <c r="B810" s="120">
        <v>3.7100000000000001E-2</v>
      </c>
      <c r="C810" s="120">
        <v>2.5000000000000001E-3</v>
      </c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spans="1:26" ht="14.25" customHeight="1" x14ac:dyDescent="0.35">
      <c r="A811" s="48" t="s">
        <v>956</v>
      </c>
      <c r="B811" s="120">
        <v>-1.1999999999999999E-3</v>
      </c>
      <c r="C811" s="120">
        <v>2.5999999999999999E-3</v>
      </c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spans="1:26" ht="14.25" customHeight="1" x14ac:dyDescent="0.35">
      <c r="A812" s="48" t="s">
        <v>957</v>
      </c>
      <c r="B812" s="120">
        <v>1.41E-2</v>
      </c>
      <c r="C812" s="120">
        <v>2.2000000000000001E-3</v>
      </c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spans="1:26" ht="14.25" customHeight="1" x14ac:dyDescent="0.35">
      <c r="A813" s="48" t="s">
        <v>958</v>
      </c>
      <c r="B813" s="120">
        <v>-1.89E-2</v>
      </c>
      <c r="C813" s="120">
        <v>2.5000000000000001E-3</v>
      </c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spans="1:26" ht="14.25" customHeight="1" x14ac:dyDescent="0.35">
      <c r="A814" s="48" t="s">
        <v>959</v>
      </c>
      <c r="B814" s="120">
        <v>1.6500000000000001E-2</v>
      </c>
      <c r="C814" s="120">
        <v>2.3E-3</v>
      </c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spans="1:26" ht="14.25" customHeight="1" x14ac:dyDescent="0.35">
      <c r="A815" s="48" t="s">
        <v>960</v>
      </c>
      <c r="B815" s="120">
        <v>2.87E-2</v>
      </c>
      <c r="C815" s="120">
        <v>2.5000000000000001E-3</v>
      </c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spans="1:26" ht="14.25" customHeight="1" x14ac:dyDescent="0.35">
      <c r="A816" s="48" t="s">
        <v>961</v>
      </c>
      <c r="B816" s="120">
        <v>-2.5499999999999998E-2</v>
      </c>
      <c r="C816" s="120">
        <v>2.0999999999999999E-3</v>
      </c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spans="1:26" ht="14.25" customHeight="1" x14ac:dyDescent="0.35">
      <c r="A817" s="48" t="s">
        <v>962</v>
      </c>
      <c r="B817" s="120">
        <v>-4.7800000000000002E-2</v>
      </c>
      <c r="C817" s="120">
        <v>2.7000000000000001E-3</v>
      </c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spans="1:26" ht="14.25" customHeight="1" x14ac:dyDescent="0.35">
      <c r="A818" s="48" t="s">
        <v>963</v>
      </c>
      <c r="B818" s="120">
        <v>6.8000000000000005E-3</v>
      </c>
      <c r="C818" s="120">
        <v>2.7000000000000001E-3</v>
      </c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spans="1:26" ht="14.25" customHeight="1" x14ac:dyDescent="0.35">
      <c r="A819" s="48" t="s">
        <v>964</v>
      </c>
      <c r="B819" s="120">
        <v>5.7999999999999996E-3</v>
      </c>
      <c r="C819" s="120">
        <v>3.0999999999999999E-3</v>
      </c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spans="1:26" ht="14.25" customHeight="1" x14ac:dyDescent="0.35">
      <c r="A820" s="48" t="s">
        <v>965</v>
      </c>
      <c r="B820" s="120">
        <v>-3.0299999999999997E-2</v>
      </c>
      <c r="C820" s="120">
        <v>3.0999999999999999E-3</v>
      </c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spans="1:26" ht="14.25" customHeight="1" x14ac:dyDescent="0.35">
      <c r="A821" s="48" t="s">
        <v>966</v>
      </c>
      <c r="B821" s="120">
        <v>2.8199999999999999E-2</v>
      </c>
      <c r="C821" s="120">
        <v>2.8000000000000004E-3</v>
      </c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spans="1:26" ht="14.25" customHeight="1" x14ac:dyDescent="0.35">
      <c r="A822" s="48" t="s">
        <v>967</v>
      </c>
      <c r="B822" s="120">
        <v>4.0099999999999997E-2</v>
      </c>
      <c r="C822" s="120">
        <v>3.7000000000000002E-3</v>
      </c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spans="1:26" ht="14.25" customHeight="1" x14ac:dyDescent="0.35">
      <c r="A823" s="48" t="s">
        <v>968</v>
      </c>
      <c r="B823" s="120">
        <v>-2.3099999999999999E-2</v>
      </c>
      <c r="C823" s="120">
        <v>3.7000000000000002E-3</v>
      </c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spans="1:26" ht="14.25" customHeight="1" x14ac:dyDescent="0.35">
      <c r="A824" s="48" t="s">
        <v>969</v>
      </c>
      <c r="B824" s="120">
        <v>1.34E-2</v>
      </c>
      <c r="C824" s="120">
        <v>3.8E-3</v>
      </c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spans="1:26" ht="14.25" customHeight="1" x14ac:dyDescent="0.35">
      <c r="A825" s="48" t="s">
        <v>970</v>
      </c>
      <c r="B825" s="120">
        <v>-4.0399999999999998E-2</v>
      </c>
      <c r="C825" s="120">
        <v>3.7000000000000002E-3</v>
      </c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spans="1:26" ht="14.25" customHeight="1" x14ac:dyDescent="0.35">
      <c r="A826" s="48" t="s">
        <v>971</v>
      </c>
      <c r="B826" s="120">
        <v>8.6E-3</v>
      </c>
      <c r="C826" s="120">
        <v>4.4000000000000003E-3</v>
      </c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spans="1:26" ht="14.25" customHeight="1" x14ac:dyDescent="0.35">
      <c r="A827" s="48" t="s">
        <v>972</v>
      </c>
      <c r="B827" s="120">
        <v>1.8000000000000002E-2</v>
      </c>
      <c r="C827" s="120">
        <v>4.1999999999999997E-3</v>
      </c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spans="1:26" ht="14.25" customHeight="1" x14ac:dyDescent="0.35">
      <c r="A828" s="48" t="s">
        <v>973</v>
      </c>
      <c r="B828" s="120">
        <v>3.6299999999999999E-2</v>
      </c>
      <c r="C828" s="120">
        <v>4.0000000000000001E-3</v>
      </c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spans="1:26" ht="14.25" customHeight="1" x14ac:dyDescent="0.35">
      <c r="A829" s="48" t="s">
        <v>974</v>
      </c>
      <c r="B829" s="120">
        <v>2.1899999999999999E-2</v>
      </c>
      <c r="C829" s="120">
        <v>4.5999999999999999E-3</v>
      </c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spans="1:26" ht="14.25" customHeight="1" x14ac:dyDescent="0.35">
      <c r="A830" s="48" t="s">
        <v>975</v>
      </c>
      <c r="B830" s="120">
        <v>2.1099999999999997E-2</v>
      </c>
      <c r="C830" s="120">
        <v>4.4000000000000003E-3</v>
      </c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spans="1:26" ht="14.25" customHeight="1" x14ac:dyDescent="0.35">
      <c r="A831" s="48" t="s">
        <v>976</v>
      </c>
      <c r="B831" s="120">
        <v>2.8999999999999998E-2</v>
      </c>
      <c r="C831" s="120">
        <v>5.4000000000000003E-3</v>
      </c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spans="1:26" ht="14.25" customHeight="1" x14ac:dyDescent="0.35">
      <c r="A832" s="48" t="s">
        <v>977</v>
      </c>
      <c r="B832" s="120">
        <v>2.7200000000000002E-2</v>
      </c>
      <c r="C832" s="120">
        <v>4.6999999999999993E-3</v>
      </c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spans="1:26" ht="14.25" customHeight="1" x14ac:dyDescent="0.35">
      <c r="A833" s="48" t="s">
        <v>978</v>
      </c>
      <c r="B833" s="120">
        <v>3.7200000000000004E-2</v>
      </c>
      <c r="C833" s="120">
        <v>4.5000000000000005E-3</v>
      </c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spans="1:26" ht="14.25" customHeight="1" x14ac:dyDescent="0.35">
      <c r="A834" s="48" t="s">
        <v>979</v>
      </c>
      <c r="B834" s="120">
        <v>5.5000000000000005E-3</v>
      </c>
      <c r="C834" s="120">
        <v>4.6999999999999993E-3</v>
      </c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spans="1:26" ht="14.25" customHeight="1" x14ac:dyDescent="0.35">
      <c r="A835" s="48" t="s">
        <v>980</v>
      </c>
      <c r="B835" s="120">
        <v>3.3500000000000002E-2</v>
      </c>
      <c r="C835" s="120">
        <v>4.3E-3</v>
      </c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spans="1:26" ht="14.25" customHeight="1" x14ac:dyDescent="0.35">
      <c r="A836" s="48" t="s">
        <v>981</v>
      </c>
      <c r="B836" s="120">
        <v>-1.52E-2</v>
      </c>
      <c r="C836" s="120">
        <v>4.6999999999999993E-3</v>
      </c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spans="1:26" ht="14.25" customHeight="1" x14ac:dyDescent="0.35">
      <c r="A837" s="48" t="s">
        <v>982</v>
      </c>
      <c r="B837" s="120">
        <v>3.9599999999999996E-2</v>
      </c>
      <c r="C837" s="120">
        <v>4.1999999999999997E-3</v>
      </c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spans="1:26" ht="14.25" customHeight="1" x14ac:dyDescent="0.35">
      <c r="A838" s="48" t="s">
        <v>983</v>
      </c>
      <c r="B838" s="120">
        <v>1.03E-2</v>
      </c>
      <c r="C838" s="120">
        <v>4.8999999999999998E-3</v>
      </c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spans="1:26" ht="14.25" customHeight="1" x14ac:dyDescent="0.35">
      <c r="A839" s="48" t="s">
        <v>984</v>
      </c>
      <c r="B839" s="120">
        <v>2.2599999999999999E-2</v>
      </c>
      <c r="C839" s="120">
        <v>4.3E-3</v>
      </c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spans="1:26" ht="14.25" customHeight="1" x14ac:dyDescent="0.35">
      <c r="A840" s="48" t="s">
        <v>985</v>
      </c>
      <c r="B840" s="120">
        <v>1.3300000000000001E-2</v>
      </c>
      <c r="C840" s="120">
        <v>3.9000000000000003E-3</v>
      </c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spans="1:26" ht="14.25" customHeight="1" x14ac:dyDescent="0.35">
      <c r="A841" s="48" t="s">
        <v>986</v>
      </c>
      <c r="B841" s="120">
        <v>7.3000000000000001E-3</v>
      </c>
      <c r="C841" s="120">
        <v>3.9000000000000003E-3</v>
      </c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spans="1:26" ht="14.25" customHeight="1" x14ac:dyDescent="0.35">
      <c r="A842" s="48" t="s">
        <v>987</v>
      </c>
      <c r="B842" s="120">
        <v>2.06E-2</v>
      </c>
      <c r="C842" s="120">
        <v>4.5999999999999999E-3</v>
      </c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spans="1:26" ht="14.25" customHeight="1" x14ac:dyDescent="0.35">
      <c r="A843" s="48" t="s">
        <v>988</v>
      </c>
      <c r="B843" s="120">
        <v>2.3599999999999999E-2</v>
      </c>
      <c r="C843" s="120">
        <v>4.1999999999999997E-3</v>
      </c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spans="1:26" ht="14.25" customHeight="1" x14ac:dyDescent="0.35">
      <c r="A844" s="48" t="s">
        <v>989</v>
      </c>
      <c r="B844" s="120">
        <v>-1.1399999999999999E-2</v>
      </c>
      <c r="C844" s="120">
        <v>4.0000000000000001E-3</v>
      </c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spans="1:26" ht="14.25" customHeight="1" x14ac:dyDescent="0.35">
      <c r="A845" s="48" t="s">
        <v>990</v>
      </c>
      <c r="B845" s="120">
        <v>-5.9699999999999996E-2</v>
      </c>
      <c r="C845" s="120">
        <v>4.5000000000000005E-3</v>
      </c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spans="1:26" ht="14.25" customHeight="1" x14ac:dyDescent="0.35">
      <c r="A846" s="48" t="s">
        <v>991</v>
      </c>
      <c r="B846" s="120">
        <v>2.7699999999999999E-2</v>
      </c>
      <c r="C846" s="120">
        <v>4.0999999999999995E-3</v>
      </c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spans="1:26" ht="14.25" customHeight="1" x14ac:dyDescent="0.35">
      <c r="A847" s="48" t="s">
        <v>992</v>
      </c>
      <c r="B847" s="120">
        <v>5.0099999999999999E-2</v>
      </c>
      <c r="C847" s="120">
        <v>4.4000000000000003E-3</v>
      </c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spans="1:26" ht="14.25" customHeight="1" x14ac:dyDescent="0.35">
      <c r="A848" s="48" t="s">
        <v>993</v>
      </c>
      <c r="B848" s="120">
        <v>8.6E-3</v>
      </c>
      <c r="C848" s="120">
        <v>4.1999999999999997E-3</v>
      </c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spans="1:26" ht="14.25" customHeight="1" x14ac:dyDescent="0.35">
      <c r="A849" s="48" t="s">
        <v>994</v>
      </c>
      <c r="B849" s="120">
        <v>6.25E-2</v>
      </c>
      <c r="C849" s="120">
        <v>4.0999999999999995E-3</v>
      </c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spans="1:26" ht="14.25" customHeight="1" x14ac:dyDescent="0.35">
      <c r="A850" s="48" t="s">
        <v>995</v>
      </c>
      <c r="B850" s="120">
        <v>-1.7000000000000001E-2</v>
      </c>
      <c r="C850" s="120">
        <v>4.5999999999999999E-3</v>
      </c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spans="1:26" ht="14.25" customHeight="1" x14ac:dyDescent="0.35">
      <c r="A851" s="48" t="s">
        <v>996</v>
      </c>
      <c r="B851" s="120">
        <v>4.9800000000000004E-2</v>
      </c>
      <c r="C851" s="120">
        <v>4.5000000000000005E-3</v>
      </c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spans="1:26" ht="14.25" customHeight="1" x14ac:dyDescent="0.35">
      <c r="A852" s="48" t="s">
        <v>997</v>
      </c>
      <c r="B852" s="120">
        <v>-4.8999999999999998E-3</v>
      </c>
      <c r="C852" s="120">
        <v>3.9000000000000003E-3</v>
      </c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spans="1:26" ht="14.25" customHeight="1" x14ac:dyDescent="0.35">
      <c r="A853" s="48" t="s">
        <v>998</v>
      </c>
      <c r="B853" s="120">
        <v>-5.0199999999999995E-2</v>
      </c>
      <c r="C853" s="120">
        <v>4.3E-3</v>
      </c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spans="1:26" ht="14.25" customHeight="1" x14ac:dyDescent="0.35">
      <c r="A854" s="48" t="s">
        <v>999</v>
      </c>
      <c r="B854" s="120">
        <v>4.0399999999999998E-2</v>
      </c>
      <c r="C854" s="120">
        <v>4.3E-3</v>
      </c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spans="1:26" ht="14.25" customHeight="1" x14ac:dyDescent="0.35">
      <c r="A855" s="48" t="s">
        <v>1000</v>
      </c>
      <c r="B855" s="120">
        <v>6.7400000000000002E-2</v>
      </c>
      <c r="C855" s="120">
        <v>4.8999999999999998E-3</v>
      </c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spans="1:26" ht="14.25" customHeight="1" x14ac:dyDescent="0.35">
      <c r="A856" s="48" t="s">
        <v>1001</v>
      </c>
      <c r="B856" s="120">
        <v>4.0999999999999995E-2</v>
      </c>
      <c r="C856" s="120">
        <v>3.7000000000000002E-3</v>
      </c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spans="1:26" ht="14.25" customHeight="1" x14ac:dyDescent="0.35">
      <c r="A857" s="48" t="s">
        <v>1002</v>
      </c>
      <c r="B857" s="120">
        <v>7.3300000000000004E-2</v>
      </c>
      <c r="C857" s="120">
        <v>4.3E-3</v>
      </c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spans="1:26" ht="14.25" customHeight="1" x14ac:dyDescent="0.35">
      <c r="A858" s="48" t="s">
        <v>1003</v>
      </c>
      <c r="B858" s="120">
        <v>-4.1500000000000002E-2</v>
      </c>
      <c r="C858" s="120">
        <v>4.0999999999999995E-3</v>
      </c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spans="1:26" ht="14.25" customHeight="1" x14ac:dyDescent="0.35">
      <c r="A859" s="48" t="s">
        <v>1004</v>
      </c>
      <c r="B859" s="120">
        <v>5.3499999999999999E-2</v>
      </c>
      <c r="C859" s="120">
        <v>4.4000000000000003E-3</v>
      </c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spans="1:26" ht="14.25" customHeight="1" x14ac:dyDescent="0.35">
      <c r="A860" s="48" t="s">
        <v>1005</v>
      </c>
      <c r="B860" s="120">
        <v>-3.7999999999999999E-2</v>
      </c>
      <c r="C860" s="120">
        <v>4.1999999999999997E-3</v>
      </c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spans="1:26" ht="14.25" customHeight="1" x14ac:dyDescent="0.35">
      <c r="A861" s="48" t="s">
        <v>1006</v>
      </c>
      <c r="B861" s="120">
        <v>2.98E-2</v>
      </c>
      <c r="C861" s="120">
        <v>3.9000000000000003E-3</v>
      </c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spans="1:26" ht="14.25" customHeight="1" x14ac:dyDescent="0.35">
      <c r="A862" s="48" t="s">
        <v>1007</v>
      </c>
      <c r="B862" s="120">
        <v>1.32E-2</v>
      </c>
      <c r="C862" s="120">
        <v>4.7999999999999996E-3</v>
      </c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spans="1:26" ht="14.25" customHeight="1" x14ac:dyDescent="0.35">
      <c r="A863" s="48" t="s">
        <v>1008</v>
      </c>
      <c r="B863" s="120">
        <v>1.5E-3</v>
      </c>
      <c r="C863" s="120">
        <v>4.3E-3</v>
      </c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spans="1:26" ht="14.25" customHeight="1" x14ac:dyDescent="0.35">
      <c r="A864" s="48" t="s">
        <v>1009</v>
      </c>
      <c r="B864" s="120">
        <v>7.0400000000000004E-2</v>
      </c>
      <c r="C864" s="120">
        <v>3.9000000000000003E-3</v>
      </c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spans="1:26" ht="14.25" customHeight="1" x14ac:dyDescent="0.35">
      <c r="A865" s="48" t="s">
        <v>1010</v>
      </c>
      <c r="B865" s="120">
        <v>4.7599999999999996E-2</v>
      </c>
      <c r="C865" s="120">
        <v>3.9000000000000003E-3</v>
      </c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spans="1:26" ht="14.25" customHeight="1" x14ac:dyDescent="0.35">
      <c r="A866" s="48" t="s">
        <v>1011</v>
      </c>
      <c r="B866" s="120">
        <v>7.3000000000000001E-3</v>
      </c>
      <c r="C866" s="120">
        <v>4.3E-3</v>
      </c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spans="1:26" ht="14.25" customHeight="1" x14ac:dyDescent="0.35">
      <c r="A867" s="48" t="s">
        <v>1012</v>
      </c>
      <c r="B867" s="120">
        <v>-3.0699999999999998E-2</v>
      </c>
      <c r="C867" s="120">
        <v>4.0000000000000001E-3</v>
      </c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spans="1:26" ht="14.25" customHeight="1" x14ac:dyDescent="0.35">
      <c r="A868" s="48" t="s">
        <v>1013</v>
      </c>
      <c r="B868" s="120">
        <v>3.1800000000000002E-2</v>
      </c>
      <c r="C868" s="120">
        <v>4.0999999999999995E-3</v>
      </c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spans="1:26" ht="14.25" customHeight="1" x14ac:dyDescent="0.35">
      <c r="A869" s="48" t="s">
        <v>1014</v>
      </c>
      <c r="B869" s="120">
        <v>-2.46E-2</v>
      </c>
      <c r="C869" s="120">
        <v>4.0000000000000001E-3</v>
      </c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spans="1:26" ht="14.25" customHeight="1" x14ac:dyDescent="0.35">
      <c r="A870" s="48" t="s">
        <v>1015</v>
      </c>
      <c r="B870" s="120">
        <v>-0.16079999999999997</v>
      </c>
      <c r="C870" s="120">
        <v>4.3E-3</v>
      </c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spans="1:26" ht="14.25" customHeight="1" x14ac:dyDescent="0.35">
      <c r="A871" s="48" t="s">
        <v>1016</v>
      </c>
      <c r="B871" s="120">
        <v>6.1500000000000006E-2</v>
      </c>
      <c r="C871" s="120">
        <v>4.5999999999999999E-3</v>
      </c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spans="1:26" ht="14.25" customHeight="1" x14ac:dyDescent="0.35">
      <c r="A872" s="48" t="s">
        <v>1017</v>
      </c>
      <c r="B872" s="120">
        <v>7.1300000000000002E-2</v>
      </c>
      <c r="C872" s="120">
        <v>3.2000000000000002E-3</v>
      </c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spans="1:26" ht="14.25" customHeight="1" x14ac:dyDescent="0.35">
      <c r="A873" s="48" t="s">
        <v>1018</v>
      </c>
      <c r="B873" s="120">
        <v>6.0999999999999999E-2</v>
      </c>
      <c r="C873" s="120">
        <v>3.0999999999999999E-3</v>
      </c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spans="1:26" ht="14.25" customHeight="1" x14ac:dyDescent="0.35">
      <c r="A874" s="48" t="s">
        <v>1019</v>
      </c>
      <c r="B874" s="120">
        <v>6.1600000000000002E-2</v>
      </c>
      <c r="C874" s="120">
        <v>3.8E-3</v>
      </c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spans="1:26" ht="14.25" customHeight="1" x14ac:dyDescent="0.35">
      <c r="A875" s="48" t="s">
        <v>1020</v>
      </c>
      <c r="B875" s="120">
        <v>3.5000000000000003E-2</v>
      </c>
      <c r="C875" s="120">
        <v>3.4999999999999996E-3</v>
      </c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spans="1:26" ht="14.25" customHeight="1" x14ac:dyDescent="0.35">
      <c r="A876" s="48" t="s">
        <v>1021</v>
      </c>
      <c r="B876" s="120">
        <v>-4.0800000000000003E-2</v>
      </c>
      <c r="C876" s="120">
        <v>3.4999999999999996E-3</v>
      </c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spans="1:26" ht="14.25" customHeight="1" x14ac:dyDescent="0.35">
      <c r="A877" s="48" t="s">
        <v>1022</v>
      </c>
      <c r="B877" s="120">
        <v>3.4500000000000003E-2</v>
      </c>
      <c r="C877" s="120">
        <v>4.3E-3</v>
      </c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spans="1:26" ht="14.25" customHeight="1" x14ac:dyDescent="0.35">
      <c r="A878" s="48" t="s">
        <v>1023</v>
      </c>
      <c r="B878" s="120">
        <v>4.3299999999999998E-2</v>
      </c>
      <c r="C878" s="120">
        <v>3.7000000000000002E-3</v>
      </c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spans="1:26" ht="14.25" customHeight="1" x14ac:dyDescent="0.35">
      <c r="A879" s="48" t="s">
        <v>1024</v>
      </c>
      <c r="B879" s="120">
        <v>-2.46E-2</v>
      </c>
      <c r="C879" s="120">
        <v>3.4000000000000002E-3</v>
      </c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spans="1:26" ht="14.25" customHeight="1" x14ac:dyDescent="0.35">
      <c r="A880" s="48" t="s">
        <v>1025</v>
      </c>
      <c r="B880" s="120">
        <v>4.7699999999999992E-2</v>
      </c>
      <c r="C880" s="120">
        <v>4.0000000000000001E-3</v>
      </c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spans="1:26" ht="14.25" customHeight="1" x14ac:dyDescent="0.35">
      <c r="A881" s="48" t="s">
        <v>1026</v>
      </c>
      <c r="B881" s="120">
        <v>-3.49E-2</v>
      </c>
      <c r="C881" s="120">
        <v>3.8E-3</v>
      </c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spans="1:26" ht="14.25" customHeight="1" x14ac:dyDescent="0.35">
      <c r="A882" s="48" t="s">
        <v>1027</v>
      </c>
      <c r="B882" s="120">
        <v>-1.38E-2</v>
      </c>
      <c r="C882" s="120">
        <v>3.9000000000000003E-3</v>
      </c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spans="1:26" ht="14.25" customHeight="1" x14ac:dyDescent="0.35">
      <c r="A883" s="48" t="s">
        <v>1028</v>
      </c>
      <c r="B883" s="120">
        <v>-2.7900000000000001E-2</v>
      </c>
      <c r="C883" s="120">
        <v>3.9000000000000003E-3</v>
      </c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spans="1:26" ht="14.25" customHeight="1" x14ac:dyDescent="0.35">
      <c r="A884" s="48" t="s">
        <v>1029</v>
      </c>
      <c r="B884" s="120">
        <v>6.1200000000000004E-2</v>
      </c>
      <c r="C884" s="120">
        <v>3.9000000000000003E-3</v>
      </c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spans="1:26" ht="14.25" customHeight="1" x14ac:dyDescent="0.35">
      <c r="A885" s="48" t="s">
        <v>1030</v>
      </c>
      <c r="B885" s="120">
        <v>3.3700000000000001E-2</v>
      </c>
      <c r="C885" s="120">
        <v>3.5999999999999999E-3</v>
      </c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spans="1:26" ht="14.25" customHeight="1" x14ac:dyDescent="0.35">
      <c r="A886" s="48" t="s">
        <v>1031</v>
      </c>
      <c r="B886" s="120">
        <v>7.7199999999999991E-2</v>
      </c>
      <c r="C886" s="120">
        <v>4.4000000000000003E-3</v>
      </c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spans="1:26" ht="14.25" customHeight="1" x14ac:dyDescent="0.35">
      <c r="A887" s="48" t="s">
        <v>1032</v>
      </c>
      <c r="B887" s="120">
        <v>-4.7400000000000005E-2</v>
      </c>
      <c r="C887" s="120">
        <v>4.0999999999999995E-3</v>
      </c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spans="1:26" ht="14.25" customHeight="1" x14ac:dyDescent="0.35">
      <c r="A888" s="48" t="s">
        <v>1033</v>
      </c>
      <c r="B888" s="120">
        <v>2.4500000000000001E-2</v>
      </c>
      <c r="C888" s="120">
        <v>4.3E-3</v>
      </c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spans="1:26" ht="14.25" customHeight="1" x14ac:dyDescent="0.35">
      <c r="A889" s="48" t="s">
        <v>1034</v>
      </c>
      <c r="B889" s="120">
        <v>5.2000000000000005E-2</v>
      </c>
      <c r="C889" s="120">
        <v>4.6999999999999993E-3</v>
      </c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spans="1:26" ht="14.25" customHeight="1" x14ac:dyDescent="0.35">
      <c r="A890" s="48" t="s">
        <v>1035</v>
      </c>
      <c r="B890" s="120">
        <v>-6.4000000000000001E-2</v>
      </c>
      <c r="C890" s="120">
        <v>4.5999999999999999E-3</v>
      </c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spans="1:26" ht="14.25" customHeight="1" x14ac:dyDescent="0.35">
      <c r="A891" s="48" t="s">
        <v>1036</v>
      </c>
      <c r="B891" s="120">
        <v>-4.4199999999999996E-2</v>
      </c>
      <c r="C891" s="120">
        <v>5.0000000000000001E-3</v>
      </c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spans="1:26" ht="14.25" customHeight="1" x14ac:dyDescent="0.35">
      <c r="A892" s="48" t="s">
        <v>1037</v>
      </c>
      <c r="B892" s="120">
        <v>4.6399999999999997E-2</v>
      </c>
      <c r="C892" s="120">
        <v>4.0000000000000001E-3</v>
      </c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spans="1:26" ht="14.25" customHeight="1" x14ac:dyDescent="0.35">
      <c r="A893" s="48" t="s">
        <v>1038</v>
      </c>
      <c r="B893" s="120">
        <v>-2.5099999999999997E-2</v>
      </c>
      <c r="C893" s="120">
        <v>4.7999999999999996E-3</v>
      </c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spans="1:26" ht="14.25" customHeight="1" x14ac:dyDescent="0.35">
      <c r="A894" s="48" t="s">
        <v>1039</v>
      </c>
      <c r="B894" s="120">
        <v>7.0300000000000001E-2</v>
      </c>
      <c r="C894" s="120">
        <v>5.0000000000000001E-3</v>
      </c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spans="1:26" ht="14.25" customHeight="1" x14ac:dyDescent="0.35">
      <c r="A895" s="48" t="s">
        <v>1040</v>
      </c>
      <c r="B895" s="120">
        <v>-5.45E-2</v>
      </c>
      <c r="C895" s="120">
        <v>5.1000000000000004E-3</v>
      </c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spans="1:26" ht="14.25" customHeight="1" x14ac:dyDescent="0.35">
      <c r="A896" s="48" t="s">
        <v>1041</v>
      </c>
      <c r="B896" s="120">
        <v>-2.76E-2</v>
      </c>
      <c r="C896" s="120">
        <v>5.6000000000000008E-3</v>
      </c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spans="1:26" ht="14.25" customHeight="1" x14ac:dyDescent="0.35">
      <c r="A897" s="48" t="s">
        <v>1042</v>
      </c>
      <c r="B897" s="120">
        <v>-0.1072</v>
      </c>
      <c r="C897" s="120">
        <v>5.1000000000000004E-3</v>
      </c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spans="1:26" ht="14.25" customHeight="1" x14ac:dyDescent="0.35">
      <c r="A898" s="48" t="s">
        <v>1043</v>
      </c>
      <c r="B898" s="120">
        <v>1.1899999999999999E-2</v>
      </c>
      <c r="C898" s="120">
        <v>5.0000000000000001E-3</v>
      </c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spans="1:26" ht="14.25" customHeight="1" x14ac:dyDescent="0.35">
      <c r="A899" s="48" t="s">
        <v>1044</v>
      </c>
      <c r="B899" s="120">
        <v>3.1300000000000001E-2</v>
      </c>
      <c r="C899" s="120">
        <v>5.4000000000000003E-3</v>
      </c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spans="1:26" ht="14.25" customHeight="1" x14ac:dyDescent="0.35">
      <c r="A900" s="48" t="s">
        <v>1045</v>
      </c>
      <c r="B900" s="120">
        <v>-0.10050000000000001</v>
      </c>
      <c r="C900" s="120">
        <v>3.8E-3</v>
      </c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spans="1:26" ht="14.25" customHeight="1" x14ac:dyDescent="0.35">
      <c r="A901" s="48" t="s">
        <v>1046</v>
      </c>
      <c r="B901" s="120">
        <v>-7.2599999999999998E-2</v>
      </c>
      <c r="C901" s="120">
        <v>4.1999999999999997E-3</v>
      </c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spans="1:26" ht="14.25" customHeight="1" x14ac:dyDescent="0.35">
      <c r="A902" s="48" t="s">
        <v>1047</v>
      </c>
      <c r="B902" s="120">
        <v>7.9399999999999998E-2</v>
      </c>
      <c r="C902" s="120">
        <v>3.9000000000000003E-3</v>
      </c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spans="1:26" ht="14.25" customHeight="1" x14ac:dyDescent="0.35">
      <c r="A903" s="48" t="s">
        <v>1048</v>
      </c>
      <c r="B903" s="120">
        <v>7.1999999999999998E-3</v>
      </c>
      <c r="C903" s="120">
        <v>3.2000000000000002E-3</v>
      </c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spans="1:26" ht="14.25" customHeight="1" x14ac:dyDescent="0.35">
      <c r="A904" s="48" t="s">
        <v>1049</v>
      </c>
      <c r="B904" s="120">
        <v>-1.9400000000000001E-2</v>
      </c>
      <c r="C904" s="120">
        <v>2.8000000000000004E-3</v>
      </c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spans="1:26" ht="14.25" customHeight="1" x14ac:dyDescent="0.35">
      <c r="A905" s="48" t="s">
        <v>1050</v>
      </c>
      <c r="B905" s="120">
        <v>-2.1299999999999999E-2</v>
      </c>
      <c r="C905" s="120">
        <v>3.0000000000000001E-3</v>
      </c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spans="1:26" ht="14.25" customHeight="1" x14ac:dyDescent="0.35">
      <c r="A906" s="48" t="s">
        <v>1051</v>
      </c>
      <c r="B906" s="120">
        <v>-6.4600000000000005E-2</v>
      </c>
      <c r="C906" s="120">
        <v>3.0999999999999999E-3</v>
      </c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spans="1:26" ht="14.25" customHeight="1" x14ac:dyDescent="0.35">
      <c r="A907" s="48" t="s">
        <v>1052</v>
      </c>
      <c r="B907" s="120">
        <v>-9.2499999999999999E-2</v>
      </c>
      <c r="C907" s="120">
        <v>2.8000000000000004E-3</v>
      </c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spans="1:26" ht="14.25" customHeight="1" x14ac:dyDescent="0.35">
      <c r="A908" s="48" t="s">
        <v>1053</v>
      </c>
      <c r="B908" s="120">
        <v>2.46E-2</v>
      </c>
      <c r="C908" s="120">
        <v>2.2000000000000001E-3</v>
      </c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spans="1:26" ht="14.25" customHeight="1" x14ac:dyDescent="0.35">
      <c r="A909" s="48" t="s">
        <v>1054</v>
      </c>
      <c r="B909" s="120">
        <v>7.5399999999999995E-2</v>
      </c>
      <c r="C909" s="120">
        <v>1.7000000000000001E-3</v>
      </c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spans="1:26" ht="14.25" customHeight="1" x14ac:dyDescent="0.35">
      <c r="A910" s="48" t="s">
        <v>1055</v>
      </c>
      <c r="B910" s="120">
        <v>1.6E-2</v>
      </c>
      <c r="C910" s="120">
        <v>1.5E-3</v>
      </c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spans="1:26" ht="14.25" customHeight="1" x14ac:dyDescent="0.35">
      <c r="A911" s="48" t="s">
        <v>1056</v>
      </c>
      <c r="B911" s="120">
        <v>-1.44E-2</v>
      </c>
      <c r="C911" s="120">
        <v>1.4000000000000002E-3</v>
      </c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spans="1:26" ht="14.25" customHeight="1" x14ac:dyDescent="0.35">
      <c r="A912" s="48" t="s">
        <v>1057</v>
      </c>
      <c r="B912" s="120">
        <v>-2.29E-2</v>
      </c>
      <c r="C912" s="120">
        <v>1.2999999999999999E-3</v>
      </c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spans="1:26" ht="14.25" customHeight="1" x14ac:dyDescent="0.35">
      <c r="A913" s="48" t="s">
        <v>1058</v>
      </c>
      <c r="B913" s="120">
        <v>4.24E-2</v>
      </c>
      <c r="C913" s="120">
        <v>1.2999999999999999E-3</v>
      </c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spans="1:26" ht="14.25" customHeight="1" x14ac:dyDescent="0.35">
      <c r="A914" s="48" t="s">
        <v>1059</v>
      </c>
      <c r="B914" s="120">
        <v>-5.2000000000000005E-2</v>
      </c>
      <c r="C914" s="120">
        <v>1.5E-3</v>
      </c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spans="1:26" ht="14.25" customHeight="1" x14ac:dyDescent="0.35">
      <c r="A915" s="48" t="s">
        <v>1060</v>
      </c>
      <c r="B915" s="120">
        <v>-1.38E-2</v>
      </c>
      <c r="C915" s="120">
        <v>1.4000000000000002E-3</v>
      </c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spans="1:26" ht="14.25" customHeight="1" x14ac:dyDescent="0.35">
      <c r="A916" s="48" t="s">
        <v>1061</v>
      </c>
      <c r="B916" s="120">
        <v>-7.2099999999999997E-2</v>
      </c>
      <c r="C916" s="120">
        <v>1.2999999999999999E-3</v>
      </c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spans="1:26" ht="14.25" customHeight="1" x14ac:dyDescent="0.35">
      <c r="A917" s="48" t="s">
        <v>1062</v>
      </c>
      <c r="B917" s="120">
        <v>-8.1799999999999998E-2</v>
      </c>
      <c r="C917" s="120">
        <v>1.5E-3</v>
      </c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spans="1:26" ht="14.25" customHeight="1" x14ac:dyDescent="0.35">
      <c r="A918" s="48" t="s">
        <v>1063</v>
      </c>
      <c r="B918" s="120">
        <v>5.0000000000000001E-3</v>
      </c>
      <c r="C918" s="120">
        <v>1.4000000000000002E-3</v>
      </c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spans="1:26" ht="14.25" customHeight="1" x14ac:dyDescent="0.35">
      <c r="A919" s="48" t="s">
        <v>1064</v>
      </c>
      <c r="B919" s="120">
        <v>-0.10349999999999999</v>
      </c>
      <c r="C919" s="120">
        <v>1.4000000000000002E-3</v>
      </c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spans="1:26" ht="14.25" customHeight="1" x14ac:dyDescent="0.35">
      <c r="A920" s="48" t="s">
        <v>1065</v>
      </c>
      <c r="B920" s="120">
        <v>7.8399999999999997E-2</v>
      </c>
      <c r="C920" s="120">
        <v>1.4000000000000002E-3</v>
      </c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spans="1:26" ht="14.25" customHeight="1" x14ac:dyDescent="0.35">
      <c r="A921" s="48" t="s">
        <v>1066</v>
      </c>
      <c r="B921" s="120">
        <v>5.96E-2</v>
      </c>
      <c r="C921" s="120">
        <v>1.1999999999999999E-3</v>
      </c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spans="1:26" ht="14.25" customHeight="1" x14ac:dyDescent="0.35">
      <c r="A922" s="48" t="s">
        <v>1067</v>
      </c>
      <c r="B922" s="120">
        <v>-5.7599999999999998E-2</v>
      </c>
      <c r="C922" s="120">
        <v>1.1000000000000001E-3</v>
      </c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spans="1:26" ht="14.25" customHeight="1" x14ac:dyDescent="0.35">
      <c r="A923" s="48" t="s">
        <v>1068</v>
      </c>
      <c r="B923" s="120">
        <v>-2.5699999999999997E-2</v>
      </c>
      <c r="C923" s="120">
        <v>1E-3</v>
      </c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spans="1:26" ht="14.25" customHeight="1" x14ac:dyDescent="0.35">
      <c r="A924" s="48" t="s">
        <v>1069</v>
      </c>
      <c r="B924" s="120">
        <v>-1.8799999999999997E-2</v>
      </c>
      <c r="C924" s="120">
        <v>8.9999999999999998E-4</v>
      </c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spans="1:26" ht="14.25" customHeight="1" x14ac:dyDescent="0.35">
      <c r="A925" s="48" t="s">
        <v>1070</v>
      </c>
      <c r="B925" s="120">
        <v>1.09E-2</v>
      </c>
      <c r="C925" s="120">
        <v>1E-3</v>
      </c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spans="1:26" ht="14.25" customHeight="1" x14ac:dyDescent="0.35">
      <c r="A926" s="48" t="s">
        <v>1071</v>
      </c>
      <c r="B926" s="120">
        <v>8.2200000000000009E-2</v>
      </c>
      <c r="C926" s="120">
        <v>1E-3</v>
      </c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spans="1:26" ht="14.25" customHeight="1" x14ac:dyDescent="0.35">
      <c r="A927" s="48" t="s">
        <v>1072</v>
      </c>
      <c r="B927" s="120">
        <v>6.0499999999999998E-2</v>
      </c>
      <c r="C927" s="120">
        <v>8.9999999999999998E-4</v>
      </c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spans="1:26" ht="14.25" customHeight="1" x14ac:dyDescent="0.35">
      <c r="A928" s="48" t="s">
        <v>1073</v>
      </c>
      <c r="B928" s="120">
        <v>1.4199999999999999E-2</v>
      </c>
      <c r="C928" s="120">
        <v>1E-3</v>
      </c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spans="1:26" ht="14.25" customHeight="1" x14ac:dyDescent="0.35">
      <c r="A929" s="48" t="s">
        <v>1074</v>
      </c>
      <c r="B929" s="120">
        <v>2.35E-2</v>
      </c>
      <c r="C929" s="120">
        <v>7.000000000000001E-4</v>
      </c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spans="1:26" ht="14.25" customHeight="1" x14ac:dyDescent="0.35">
      <c r="A930" s="48" t="s">
        <v>1075</v>
      </c>
      <c r="B930" s="120">
        <v>2.3399999999999997E-2</v>
      </c>
      <c r="C930" s="120">
        <v>7.000000000000001E-4</v>
      </c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spans="1:26" ht="14.25" customHeight="1" x14ac:dyDescent="0.35">
      <c r="A931" s="48" t="s">
        <v>1076</v>
      </c>
      <c r="B931" s="120">
        <v>-1.24E-2</v>
      </c>
      <c r="C931" s="120">
        <v>8.0000000000000004E-4</v>
      </c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spans="1:26" ht="14.25" customHeight="1" x14ac:dyDescent="0.35">
      <c r="A932" s="48" t="s">
        <v>1077</v>
      </c>
      <c r="B932" s="120">
        <v>6.08E-2</v>
      </c>
      <c r="C932" s="120">
        <v>7.000000000000001E-4</v>
      </c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spans="1:26" ht="14.25" customHeight="1" x14ac:dyDescent="0.35">
      <c r="A933" s="48" t="s">
        <v>1078</v>
      </c>
      <c r="B933" s="120">
        <v>1.3500000000000002E-2</v>
      </c>
      <c r="C933" s="120">
        <v>7.000000000000001E-4</v>
      </c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spans="1:26" ht="14.25" customHeight="1" x14ac:dyDescent="0.35">
      <c r="A934" s="48" t="s">
        <v>1079</v>
      </c>
      <c r="B934" s="120">
        <v>4.2900000000000001E-2</v>
      </c>
      <c r="C934" s="120">
        <v>8.0000000000000004E-4</v>
      </c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spans="1:26" ht="14.25" customHeight="1" x14ac:dyDescent="0.35">
      <c r="A935" s="48" t="s">
        <v>1080</v>
      </c>
      <c r="B935" s="120">
        <v>2.1499999999999998E-2</v>
      </c>
      <c r="C935" s="120">
        <v>7.000000000000001E-4</v>
      </c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spans="1:26" ht="14.25" customHeight="1" x14ac:dyDescent="0.35">
      <c r="A936" s="48" t="s">
        <v>1081</v>
      </c>
      <c r="B936" s="120">
        <v>1.3999999999999999E-2</v>
      </c>
      <c r="C936" s="120">
        <v>5.9999999999999995E-4</v>
      </c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spans="1:26" ht="14.25" customHeight="1" x14ac:dyDescent="0.35">
      <c r="A937" s="48" t="s">
        <v>1082</v>
      </c>
      <c r="B937" s="120">
        <v>-1.32E-2</v>
      </c>
      <c r="C937" s="120">
        <v>8.9999999999999998E-4</v>
      </c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spans="1:26" ht="14.25" customHeight="1" x14ac:dyDescent="0.35">
      <c r="A938" s="48" t="s">
        <v>1083</v>
      </c>
      <c r="B938" s="120">
        <v>-1.83E-2</v>
      </c>
      <c r="C938" s="120">
        <v>8.0000000000000004E-4</v>
      </c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spans="1:26" ht="14.25" customHeight="1" x14ac:dyDescent="0.35">
      <c r="A939" s="48" t="s">
        <v>1084</v>
      </c>
      <c r="B939" s="120">
        <v>1.1699999999999999E-2</v>
      </c>
      <c r="C939" s="120">
        <v>5.9999999999999995E-4</v>
      </c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spans="1:26" ht="14.25" customHeight="1" x14ac:dyDescent="0.35">
      <c r="A940" s="48" t="s">
        <v>1085</v>
      </c>
      <c r="B940" s="120">
        <v>1.8600000000000002E-2</v>
      </c>
      <c r="C940" s="120">
        <v>8.0000000000000004E-4</v>
      </c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spans="1:26" ht="14.25" customHeight="1" x14ac:dyDescent="0.35">
      <c r="A941" s="48" t="s">
        <v>1086</v>
      </c>
      <c r="B941" s="120">
        <v>-4.0599999999999997E-2</v>
      </c>
      <c r="C941" s="120">
        <v>1E-3</v>
      </c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spans="1:26" ht="14.25" customHeight="1" x14ac:dyDescent="0.35">
      <c r="A942" s="48" t="s">
        <v>1087</v>
      </c>
      <c r="B942" s="120">
        <v>8.0000000000000004E-4</v>
      </c>
      <c r="C942" s="120">
        <v>1.1000000000000001E-3</v>
      </c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spans="1:26" ht="14.25" customHeight="1" x14ac:dyDescent="0.35">
      <c r="A943" s="48" t="s">
        <v>1088</v>
      </c>
      <c r="B943" s="120">
        <v>1.6E-2</v>
      </c>
      <c r="C943" s="120">
        <v>1.1000000000000001E-3</v>
      </c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spans="1:26" ht="14.25" customHeight="1" x14ac:dyDescent="0.35">
      <c r="A944" s="48" t="s">
        <v>1089</v>
      </c>
      <c r="B944" s="120">
        <v>1.43E-2</v>
      </c>
      <c r="C944" s="120">
        <v>1.1000000000000001E-3</v>
      </c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spans="1:26" ht="14.25" customHeight="1" x14ac:dyDescent="0.35">
      <c r="A945" s="48" t="s">
        <v>1090</v>
      </c>
      <c r="B945" s="120">
        <v>4.5400000000000003E-2</v>
      </c>
      <c r="C945" s="120">
        <v>1.5E-3</v>
      </c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spans="1:26" ht="14.25" customHeight="1" x14ac:dyDescent="0.35">
      <c r="A946" s="48" t="s">
        <v>1091</v>
      </c>
      <c r="B946" s="120">
        <v>3.4300000000000004E-2</v>
      </c>
      <c r="C946" s="120">
        <v>1.6000000000000001E-3</v>
      </c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spans="1:26" ht="14.25" customHeight="1" x14ac:dyDescent="0.35">
      <c r="A947" s="48" t="s">
        <v>1092</v>
      </c>
      <c r="B947" s="120">
        <v>-2.76E-2</v>
      </c>
      <c r="C947" s="120">
        <v>1.6000000000000001E-3</v>
      </c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spans="1:26" ht="14.25" customHeight="1" x14ac:dyDescent="0.35">
      <c r="A948" s="48" t="s">
        <v>1093</v>
      </c>
      <c r="B948" s="120">
        <v>1.89E-2</v>
      </c>
      <c r="C948" s="120">
        <v>1.6000000000000001E-3</v>
      </c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spans="1:26" ht="14.25" customHeight="1" x14ac:dyDescent="0.35">
      <c r="A949" s="48" t="s">
        <v>1094</v>
      </c>
      <c r="B949" s="120">
        <v>-1.9699999999999999E-2</v>
      </c>
      <c r="C949" s="120">
        <v>2.0999999999999999E-3</v>
      </c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spans="1:26" ht="14.25" customHeight="1" x14ac:dyDescent="0.35">
      <c r="A950" s="48" t="s">
        <v>1095</v>
      </c>
      <c r="B950" s="120">
        <v>-2.6099999999999998E-2</v>
      </c>
      <c r="C950" s="120">
        <v>2.0999999999999999E-3</v>
      </c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spans="1:26" ht="14.25" customHeight="1" x14ac:dyDescent="0.35">
      <c r="A951" s="48" t="s">
        <v>1096</v>
      </c>
      <c r="B951" s="120">
        <v>3.6499999999999998E-2</v>
      </c>
      <c r="C951" s="120">
        <v>2.3999999999999998E-3</v>
      </c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spans="1:26" ht="14.25" customHeight="1" x14ac:dyDescent="0.35">
      <c r="A952" s="48" t="s">
        <v>1097</v>
      </c>
      <c r="B952" s="120">
        <v>5.6999999999999993E-3</v>
      </c>
      <c r="C952" s="120">
        <v>2.3E-3</v>
      </c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spans="1:26" ht="14.25" customHeight="1" x14ac:dyDescent="0.35">
      <c r="A953" s="48" t="s">
        <v>1098</v>
      </c>
      <c r="B953" s="120">
        <v>3.9199999999999999E-2</v>
      </c>
      <c r="C953" s="120">
        <v>2.3999999999999998E-3</v>
      </c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spans="1:26" ht="14.25" customHeight="1" x14ac:dyDescent="0.35">
      <c r="A954" s="48" t="s">
        <v>1099</v>
      </c>
      <c r="B954" s="120">
        <v>-1.2199999999999999E-2</v>
      </c>
      <c r="C954" s="120">
        <v>3.0000000000000001E-3</v>
      </c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spans="1:26" ht="14.25" customHeight="1" x14ac:dyDescent="0.35">
      <c r="A955" s="48" t="s">
        <v>1100</v>
      </c>
      <c r="B955" s="120">
        <v>4.8999999999999998E-3</v>
      </c>
      <c r="C955" s="120">
        <v>2.8999999999999998E-3</v>
      </c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spans="1:26" ht="14.25" customHeight="1" x14ac:dyDescent="0.35">
      <c r="A956" s="48" t="s">
        <v>1101</v>
      </c>
      <c r="B956" s="120">
        <v>-2.0199999999999999E-2</v>
      </c>
      <c r="C956" s="120">
        <v>2.7000000000000001E-3</v>
      </c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spans="1:26" ht="14.25" customHeight="1" x14ac:dyDescent="0.35">
      <c r="A957" s="48" t="s">
        <v>1102</v>
      </c>
      <c r="B957" s="120">
        <v>3.61E-2</v>
      </c>
      <c r="C957" s="120">
        <v>3.0999999999999999E-3</v>
      </c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spans="1:26" ht="14.25" customHeight="1" x14ac:dyDescent="0.35">
      <c r="A958" s="48" t="s">
        <v>1103</v>
      </c>
      <c r="B958" s="120">
        <v>-2.5000000000000001E-3</v>
      </c>
      <c r="C958" s="120">
        <v>3.2000000000000002E-3</v>
      </c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spans="1:26" ht="14.25" customHeight="1" x14ac:dyDescent="0.35">
      <c r="A959" s="48" t="s">
        <v>1104</v>
      </c>
      <c r="B959" s="120">
        <v>3.04E-2</v>
      </c>
      <c r="C959" s="120">
        <v>3.4999999999999996E-3</v>
      </c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spans="1:26" ht="14.25" customHeight="1" x14ac:dyDescent="0.35">
      <c r="A960" s="48" t="s">
        <v>1105</v>
      </c>
      <c r="B960" s="120">
        <v>-3.0000000000000001E-3</v>
      </c>
      <c r="C960" s="120">
        <v>3.4000000000000002E-3</v>
      </c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spans="1:26" ht="14.25" customHeight="1" x14ac:dyDescent="0.35">
      <c r="A961" s="48" t="s">
        <v>1106</v>
      </c>
      <c r="B961" s="120">
        <v>1.46E-2</v>
      </c>
      <c r="C961" s="120">
        <v>3.7000000000000002E-3</v>
      </c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spans="1:26" ht="14.25" customHeight="1" x14ac:dyDescent="0.35">
      <c r="A962" s="48" t="s">
        <v>1107</v>
      </c>
      <c r="B962" s="120">
        <v>7.3000000000000001E-3</v>
      </c>
      <c r="C962" s="120">
        <v>3.5999999999999999E-3</v>
      </c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spans="1:26" ht="14.25" customHeight="1" x14ac:dyDescent="0.35">
      <c r="A963" s="48" t="s">
        <v>1108</v>
      </c>
      <c r="B963" s="120">
        <v>-3.5699999999999996E-2</v>
      </c>
      <c r="C963" s="120">
        <v>4.3E-3</v>
      </c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spans="1:26" ht="14.25" customHeight="1" x14ac:dyDescent="0.35">
      <c r="A964" s="48" t="s">
        <v>1109</v>
      </c>
      <c r="B964" s="120">
        <v>-3.4999999999999996E-3</v>
      </c>
      <c r="C964" s="120">
        <v>4.0000000000000001E-3</v>
      </c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spans="1:26" ht="14.25" customHeight="1" x14ac:dyDescent="0.35">
      <c r="A965" s="48" t="s">
        <v>1110</v>
      </c>
      <c r="B965" s="120">
        <v>-7.8000000000000005E-3</v>
      </c>
      <c r="C965" s="120">
        <v>4.0000000000000001E-3</v>
      </c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spans="1:26" ht="14.25" customHeight="1" x14ac:dyDescent="0.35">
      <c r="A966" s="48" t="s">
        <v>1111</v>
      </c>
      <c r="B966" s="120">
        <v>2.0299999999999999E-2</v>
      </c>
      <c r="C966" s="120">
        <v>4.1999999999999997E-3</v>
      </c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spans="1:26" ht="14.25" customHeight="1" x14ac:dyDescent="0.35">
      <c r="A967" s="48" t="s">
        <v>1112</v>
      </c>
      <c r="B967" s="120">
        <v>1.84E-2</v>
      </c>
      <c r="C967" s="120">
        <v>4.0999999999999995E-3</v>
      </c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spans="1:26" ht="14.25" customHeight="1" x14ac:dyDescent="0.35">
      <c r="A968" s="48" t="s">
        <v>1113</v>
      </c>
      <c r="B968" s="120">
        <v>3.2300000000000002E-2</v>
      </c>
      <c r="C968" s="120">
        <v>4.0999999999999995E-3</v>
      </c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spans="1:26" ht="14.25" customHeight="1" x14ac:dyDescent="0.35">
      <c r="A969" s="48" t="s">
        <v>1114</v>
      </c>
      <c r="B969" s="120">
        <v>1.7100000000000001E-2</v>
      </c>
      <c r="C969" s="120">
        <v>4.1999999999999997E-3</v>
      </c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spans="1:26" ht="14.25" customHeight="1" x14ac:dyDescent="0.35">
      <c r="A970" s="48" t="s">
        <v>1115</v>
      </c>
      <c r="B970" s="120">
        <v>8.6999999999999994E-3</v>
      </c>
      <c r="C970" s="120">
        <v>4.0000000000000001E-3</v>
      </c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spans="1:26" ht="14.25" customHeight="1" x14ac:dyDescent="0.35">
      <c r="A971" s="48" t="s">
        <v>1116</v>
      </c>
      <c r="B971" s="120">
        <v>1.3999999999999999E-2</v>
      </c>
      <c r="C971" s="120">
        <v>4.4000000000000003E-3</v>
      </c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spans="1:26" ht="14.25" customHeight="1" x14ac:dyDescent="0.35">
      <c r="A972" s="48" t="s">
        <v>1117</v>
      </c>
      <c r="B972" s="120">
        <v>-1.9599999999999999E-2</v>
      </c>
      <c r="C972" s="120">
        <v>3.8E-3</v>
      </c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spans="1:26" ht="14.25" customHeight="1" x14ac:dyDescent="0.35">
      <c r="A973" s="48" t="s">
        <v>1118</v>
      </c>
      <c r="B973" s="120">
        <v>6.8000000000000005E-3</v>
      </c>
      <c r="C973" s="120">
        <v>4.3E-3</v>
      </c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spans="1:26" ht="14.25" customHeight="1" x14ac:dyDescent="0.35">
      <c r="A974" s="48" t="s">
        <v>1119</v>
      </c>
      <c r="B974" s="120">
        <v>3.49E-2</v>
      </c>
      <c r="C974" s="120">
        <v>4.4000000000000003E-3</v>
      </c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spans="1:26" ht="14.25" customHeight="1" x14ac:dyDescent="0.35">
      <c r="A975" s="48" t="s">
        <v>1120</v>
      </c>
      <c r="B975" s="120">
        <v>3.2400000000000005E-2</v>
      </c>
      <c r="C975" s="120">
        <v>4.0999999999999995E-3</v>
      </c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spans="1:26" ht="14.25" customHeight="1" x14ac:dyDescent="0.35">
      <c r="A976" s="48" t="s">
        <v>1121</v>
      </c>
      <c r="B976" s="120">
        <v>-1.9599999999999999E-2</v>
      </c>
      <c r="C976" s="120">
        <v>4.0000000000000001E-3</v>
      </c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spans="1:26" ht="14.25" customHeight="1" x14ac:dyDescent="0.35">
      <c r="A977" s="48" t="s">
        <v>1122</v>
      </c>
      <c r="B977" s="120">
        <v>-3.73E-2</v>
      </c>
      <c r="C977" s="120">
        <v>4.0000000000000001E-3</v>
      </c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spans="1:26" ht="14.25" customHeight="1" x14ac:dyDescent="0.35">
      <c r="A978" s="48" t="s">
        <v>1123</v>
      </c>
      <c r="B978" s="120">
        <v>9.1999999999999998E-3</v>
      </c>
      <c r="C978" s="120">
        <v>4.1999999999999997E-3</v>
      </c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spans="1:26" ht="14.25" customHeight="1" x14ac:dyDescent="0.35">
      <c r="A979" s="48" t="s">
        <v>1124</v>
      </c>
      <c r="B979" s="120">
        <v>3.2199999999999999E-2</v>
      </c>
      <c r="C979" s="120">
        <v>3.2000000000000002E-3</v>
      </c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spans="1:26" ht="14.25" customHeight="1" x14ac:dyDescent="0.35">
      <c r="A980" s="48" t="s">
        <v>1125</v>
      </c>
      <c r="B980" s="120">
        <v>1.8000000000000002E-2</v>
      </c>
      <c r="C980" s="120">
        <v>3.2000000000000002E-3</v>
      </c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spans="1:26" ht="14.25" customHeight="1" x14ac:dyDescent="0.35">
      <c r="A981" s="48" t="s">
        <v>1126</v>
      </c>
      <c r="B981" s="120">
        <v>-4.8300000000000003E-2</v>
      </c>
      <c r="C981" s="120">
        <v>3.4000000000000002E-3</v>
      </c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spans="1:26" ht="14.25" customHeight="1" x14ac:dyDescent="0.35">
      <c r="A982" s="48" t="s">
        <v>1127</v>
      </c>
      <c r="B982" s="120">
        <v>-8.6999999999999994E-3</v>
      </c>
      <c r="C982" s="120">
        <v>2.7000000000000001E-3</v>
      </c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spans="1:26" ht="14.25" customHeight="1" x14ac:dyDescent="0.35">
      <c r="A983" s="48" t="s">
        <v>1128</v>
      </c>
      <c r="B983" s="120">
        <v>-6.3600000000000004E-2</v>
      </c>
      <c r="C983" s="120">
        <v>2.0999999999999999E-3</v>
      </c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spans="1:26" ht="14.25" customHeight="1" x14ac:dyDescent="0.35">
      <c r="A984" s="48" t="s">
        <v>1129</v>
      </c>
      <c r="B984" s="120">
        <v>-3.0899999999999997E-2</v>
      </c>
      <c r="C984" s="120">
        <v>1.2999999999999999E-3</v>
      </c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spans="1:26" ht="14.25" customHeight="1" x14ac:dyDescent="0.35">
      <c r="A985" s="48" t="s">
        <v>1130</v>
      </c>
      <c r="B985" s="120">
        <v>-9.300000000000001E-3</v>
      </c>
      <c r="C985" s="120">
        <v>1.7000000000000001E-3</v>
      </c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spans="1:26" ht="14.25" customHeight="1" x14ac:dyDescent="0.35">
      <c r="A986" s="48" t="s">
        <v>1131</v>
      </c>
      <c r="B986" s="120">
        <v>4.5999999999999999E-2</v>
      </c>
      <c r="C986" s="120">
        <v>1.8E-3</v>
      </c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spans="1:26" ht="14.25" customHeight="1" x14ac:dyDescent="0.35">
      <c r="A987" s="48" t="s">
        <v>1132</v>
      </c>
      <c r="B987" s="120">
        <v>1.8600000000000002E-2</v>
      </c>
      <c r="C987" s="120">
        <v>1.8E-3</v>
      </c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spans="1:26" ht="14.25" customHeight="1" x14ac:dyDescent="0.35">
      <c r="A988" s="48" t="s">
        <v>1133</v>
      </c>
      <c r="B988" s="120">
        <v>-8.4399999999999989E-2</v>
      </c>
      <c r="C988" s="120">
        <v>1.7000000000000001E-3</v>
      </c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spans="1:26" ht="14.25" customHeight="1" x14ac:dyDescent="0.35">
      <c r="A989" s="48" t="s">
        <v>1134</v>
      </c>
      <c r="B989" s="120">
        <v>-7.7000000000000002E-3</v>
      </c>
      <c r="C989" s="120">
        <v>1.5E-3</v>
      </c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spans="1:26" ht="14.25" customHeight="1" x14ac:dyDescent="0.35">
      <c r="A990" s="48" t="s">
        <v>1135</v>
      </c>
      <c r="B990" s="120">
        <v>1.5300000000000001E-2</v>
      </c>
      <c r="C990" s="120">
        <v>1.2999999999999999E-3</v>
      </c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spans="1:26" ht="14.25" customHeight="1" x14ac:dyDescent="0.35">
      <c r="A991" s="48" t="s">
        <v>1136</v>
      </c>
      <c r="B991" s="120">
        <v>-9.2399999999999996E-2</v>
      </c>
      <c r="C991" s="120">
        <v>1.5E-3</v>
      </c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spans="1:26" ht="14.25" customHeight="1" x14ac:dyDescent="0.35">
      <c r="A992" s="48" t="s">
        <v>1137</v>
      </c>
      <c r="B992" s="120">
        <v>-0.17230000000000001</v>
      </c>
      <c r="C992" s="120">
        <v>8.0000000000000004E-4</v>
      </c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spans="1:26" ht="14.25" customHeight="1" x14ac:dyDescent="0.35">
      <c r="A993" s="48" t="s">
        <v>1138</v>
      </c>
      <c r="B993" s="120">
        <v>-7.8600000000000003E-2</v>
      </c>
      <c r="C993" s="120">
        <v>2.9999999999999997E-4</v>
      </c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spans="1:26" ht="14.25" customHeight="1" x14ac:dyDescent="0.35">
      <c r="A994" s="48" t="s">
        <v>1139</v>
      </c>
      <c r="B994" s="120">
        <v>1.7399999999999999E-2</v>
      </c>
      <c r="C994" s="120">
        <v>0</v>
      </c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spans="1:26" ht="14.25" customHeight="1" x14ac:dyDescent="0.35">
      <c r="A995" s="48" t="s">
        <v>1140</v>
      </c>
      <c r="B995" s="120">
        <v>-8.1199999999999994E-2</v>
      </c>
      <c r="C995" s="120">
        <v>0</v>
      </c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spans="1:26" ht="14.25" customHeight="1" x14ac:dyDescent="0.35">
      <c r="A996" s="48" t="s">
        <v>1141</v>
      </c>
      <c r="B996" s="120">
        <v>-0.10099999999999999</v>
      </c>
      <c r="C996" s="120">
        <v>1E-4</v>
      </c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spans="1:26" ht="14.25" customHeight="1" x14ac:dyDescent="0.35">
      <c r="A997" s="48" t="s">
        <v>1142</v>
      </c>
      <c r="B997" s="120">
        <v>8.9499999999999996E-2</v>
      </c>
      <c r="C997" s="120">
        <v>2.0000000000000001E-4</v>
      </c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spans="1:26" ht="14.25" customHeight="1" x14ac:dyDescent="0.35">
      <c r="A998" s="48" t="s">
        <v>1143</v>
      </c>
      <c r="B998" s="120">
        <v>0.1018</v>
      </c>
      <c r="C998" s="120">
        <v>1E-4</v>
      </c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spans="1:26" ht="14.25" customHeight="1" x14ac:dyDescent="0.35">
      <c r="A999" s="48" t="s">
        <v>1144</v>
      </c>
      <c r="B999" s="120">
        <v>5.21E-2</v>
      </c>
      <c r="C999" s="120">
        <v>0</v>
      </c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spans="1:26" ht="14.25" customHeight="1" x14ac:dyDescent="0.35">
      <c r="A1000" s="48" t="s">
        <v>1145</v>
      </c>
      <c r="B1000" s="120">
        <v>4.3E-3</v>
      </c>
      <c r="C1000" s="120">
        <v>1E-4</v>
      </c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  <row r="1001" spans="1:26" ht="14.25" customHeight="1" x14ac:dyDescent="0.35">
      <c r="A1001" s="48" t="s">
        <v>1146</v>
      </c>
      <c r="B1001" s="120">
        <v>7.7199999999999991E-2</v>
      </c>
      <c r="C1001" s="120">
        <v>1E-4</v>
      </c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</row>
    <row r="1002" spans="1:26" ht="14.25" customHeight="1" x14ac:dyDescent="0.35">
      <c r="A1002" s="48" t="s">
        <v>1147</v>
      </c>
      <c r="B1002" s="120">
        <v>3.3300000000000003E-2</v>
      </c>
      <c r="C1002" s="120">
        <v>1E-4</v>
      </c>
      <c r="D1002" s="121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</row>
    <row r="1003" spans="1:26" ht="14.25" customHeight="1" x14ac:dyDescent="0.35">
      <c r="A1003" s="48" t="s">
        <v>1148</v>
      </c>
      <c r="B1003" s="120">
        <v>4.0800000000000003E-2</v>
      </c>
      <c r="C1003" s="120">
        <v>1E-4</v>
      </c>
      <c r="D1003" s="121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</row>
    <row r="1004" spans="1:26" ht="14.25" customHeight="1" x14ac:dyDescent="0.35">
      <c r="A1004" s="48" t="s">
        <v>1149</v>
      </c>
      <c r="B1004" s="120">
        <v>-2.5899999999999999E-2</v>
      </c>
      <c r="C1004" s="120">
        <v>0</v>
      </c>
      <c r="D1004" s="121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</row>
    <row r="1005" spans="1:26" ht="14.25" customHeight="1" x14ac:dyDescent="0.35">
      <c r="A1005" s="48" t="s">
        <v>1150</v>
      </c>
      <c r="B1005" s="120">
        <v>5.5599999999999997E-2</v>
      </c>
      <c r="C1005" s="120">
        <v>0</v>
      </c>
      <c r="D1005" s="121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</row>
    <row r="1006" spans="1:26" ht="14.25" customHeight="1" x14ac:dyDescent="0.35">
      <c r="A1006" s="48" t="s">
        <v>1151</v>
      </c>
      <c r="B1006" s="120">
        <v>2.75E-2</v>
      </c>
      <c r="C1006" s="120">
        <v>1E-4</v>
      </c>
      <c r="D1006" s="121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</row>
    <row r="1007" spans="1:26" ht="14.25" customHeight="1" x14ac:dyDescent="0.35">
      <c r="A1007" s="48" t="s">
        <v>1152</v>
      </c>
      <c r="B1007" s="120">
        <v>-3.3599999999999998E-2</v>
      </c>
      <c r="C1007" s="120">
        <v>0</v>
      </c>
      <c r="D1007" s="121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</row>
    <row r="1008" spans="1:26" ht="14.25" customHeight="1" x14ac:dyDescent="0.35">
      <c r="A1008" s="48" t="s">
        <v>1153</v>
      </c>
      <c r="B1008" s="120">
        <v>3.4000000000000002E-2</v>
      </c>
      <c r="C1008" s="120">
        <v>0</v>
      </c>
      <c r="D1008" s="121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  <c r="V1008" s="121"/>
      <c r="W1008" s="121"/>
      <c r="X1008" s="121"/>
      <c r="Y1008" s="121"/>
      <c r="Z1008" s="121"/>
    </row>
    <row r="1009" spans="1:26" ht="14.25" customHeight="1" x14ac:dyDescent="0.35">
      <c r="A1009" s="48" t="s">
        <v>1154</v>
      </c>
      <c r="B1009" s="120">
        <v>6.3099999999999989E-2</v>
      </c>
      <c r="C1009" s="120">
        <v>1E-4</v>
      </c>
      <c r="D1009" s="121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  <c r="V1009" s="121"/>
      <c r="W1009" s="121"/>
      <c r="X1009" s="121"/>
      <c r="Y1009" s="121"/>
      <c r="Z1009" s="121"/>
    </row>
    <row r="1010" spans="1:26" ht="14.25" customHeight="1" x14ac:dyDescent="0.35">
      <c r="A1010" s="48" t="s">
        <v>1155</v>
      </c>
      <c r="B1010" s="120">
        <v>0.02</v>
      </c>
      <c r="C1010" s="120">
        <v>1E-4</v>
      </c>
      <c r="D1010" s="121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  <c r="V1010" s="121"/>
      <c r="W1010" s="121"/>
      <c r="X1010" s="121"/>
      <c r="Y1010" s="121"/>
      <c r="Z1010" s="121"/>
    </row>
    <row r="1011" spans="1:26" ht="14.25" customHeight="1" x14ac:dyDescent="0.35">
      <c r="A1011" s="48" t="s">
        <v>1156</v>
      </c>
      <c r="B1011" s="120">
        <v>-7.8899999999999998E-2</v>
      </c>
      <c r="C1011" s="120">
        <v>1E-4</v>
      </c>
      <c r="D1011" s="121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  <c r="V1011" s="121"/>
      <c r="W1011" s="121"/>
      <c r="X1011" s="121"/>
      <c r="Y1011" s="121"/>
      <c r="Z1011" s="121"/>
    </row>
    <row r="1012" spans="1:26" ht="14.25" customHeight="1" x14ac:dyDescent="0.35">
      <c r="A1012" s="48" t="s">
        <v>1157</v>
      </c>
      <c r="B1012" s="120">
        <v>-5.57E-2</v>
      </c>
      <c r="C1012" s="120">
        <v>1E-4</v>
      </c>
      <c r="D1012" s="121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  <c r="V1012" s="121"/>
      <c r="W1012" s="121"/>
      <c r="X1012" s="121"/>
      <c r="Y1012" s="121"/>
      <c r="Z1012" s="121"/>
    </row>
    <row r="1013" spans="1:26" ht="14.25" customHeight="1" x14ac:dyDescent="0.35">
      <c r="A1013" s="48" t="s">
        <v>1158</v>
      </c>
      <c r="B1013" s="120">
        <v>6.93E-2</v>
      </c>
      <c r="C1013" s="120">
        <v>1E-4</v>
      </c>
      <c r="D1013" s="121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  <c r="V1013" s="121"/>
      <c r="W1013" s="121"/>
      <c r="X1013" s="121"/>
      <c r="Y1013" s="121"/>
      <c r="Z1013" s="121"/>
    </row>
    <row r="1014" spans="1:26" ht="14.25" customHeight="1" x14ac:dyDescent="0.35">
      <c r="A1014" s="48" t="s">
        <v>1159</v>
      </c>
      <c r="B1014" s="120">
        <v>-4.7699999999999992E-2</v>
      </c>
      <c r="C1014" s="120">
        <v>1E-4</v>
      </c>
      <c r="D1014" s="121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  <c r="V1014" s="121"/>
      <c r="W1014" s="121"/>
      <c r="X1014" s="121"/>
      <c r="Y1014" s="121"/>
      <c r="Z1014" s="121"/>
    </row>
    <row r="1015" spans="1:26" ht="14.25" customHeight="1" x14ac:dyDescent="0.35">
      <c r="A1015" s="48" t="s">
        <v>1160</v>
      </c>
      <c r="B1015" s="120">
        <v>9.5399999999999985E-2</v>
      </c>
      <c r="C1015" s="120">
        <v>1E-4</v>
      </c>
      <c r="D1015" s="121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  <c r="V1015" s="121"/>
      <c r="W1015" s="121"/>
      <c r="X1015" s="121"/>
      <c r="Y1015" s="121"/>
      <c r="Z1015" s="121"/>
    </row>
    <row r="1016" spans="1:26" ht="14.25" customHeight="1" x14ac:dyDescent="0.35">
      <c r="A1016" s="48" t="s">
        <v>1161</v>
      </c>
      <c r="B1016" s="120">
        <v>3.8800000000000001E-2</v>
      </c>
      <c r="C1016" s="120">
        <v>1E-4</v>
      </c>
      <c r="D1016" s="121"/>
      <c r="E1016" s="121"/>
      <c r="F1016" s="121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121"/>
      <c r="V1016" s="121"/>
      <c r="W1016" s="121"/>
      <c r="X1016" s="121"/>
      <c r="Y1016" s="121"/>
      <c r="Z1016" s="121"/>
    </row>
    <row r="1017" spans="1:26" ht="14.25" customHeight="1" x14ac:dyDescent="0.35">
      <c r="A1017" s="48" t="s">
        <v>1162</v>
      </c>
      <c r="B1017" s="120">
        <v>6.0000000000000001E-3</v>
      </c>
      <c r="C1017" s="120">
        <v>1E-4</v>
      </c>
      <c r="D1017" s="121"/>
      <c r="E1017" s="121"/>
      <c r="F1017" s="121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121"/>
      <c r="V1017" s="121"/>
      <c r="W1017" s="121"/>
      <c r="X1017" s="121"/>
      <c r="Y1017" s="121"/>
      <c r="Z1017" s="121"/>
    </row>
    <row r="1018" spans="1:26" ht="14.25" customHeight="1" x14ac:dyDescent="0.35">
      <c r="A1018" s="48" t="s">
        <v>1163</v>
      </c>
      <c r="B1018" s="120">
        <v>6.8199999999999997E-2</v>
      </c>
      <c r="C1018" s="120">
        <v>1E-4</v>
      </c>
      <c r="D1018" s="121"/>
      <c r="E1018" s="121"/>
      <c r="F1018" s="121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121"/>
      <c r="V1018" s="121"/>
      <c r="W1018" s="121"/>
      <c r="X1018" s="121"/>
      <c r="Y1018" s="121"/>
      <c r="Z1018" s="121"/>
    </row>
    <row r="1019" spans="1:26" ht="14.25" customHeight="1" x14ac:dyDescent="0.35">
      <c r="A1019" s="48" t="s">
        <v>1164</v>
      </c>
      <c r="B1019" s="120">
        <v>1.9900000000000001E-2</v>
      </c>
      <c r="C1019" s="120">
        <v>1E-4</v>
      </c>
      <c r="D1019" s="121"/>
      <c r="E1019" s="121"/>
      <c r="F1019" s="121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121"/>
      <c r="V1019" s="121"/>
      <c r="W1019" s="121"/>
      <c r="X1019" s="121"/>
      <c r="Y1019" s="121"/>
      <c r="Z1019" s="121"/>
    </row>
    <row r="1020" spans="1:26" ht="14.25" customHeight="1" x14ac:dyDescent="0.35">
      <c r="A1020" s="48" t="s">
        <v>1165</v>
      </c>
      <c r="B1020" s="120">
        <v>3.49E-2</v>
      </c>
      <c r="C1020" s="120">
        <v>1E-4</v>
      </c>
      <c r="D1020" s="121"/>
      <c r="E1020" s="121"/>
      <c r="F1020" s="121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121"/>
      <c r="V1020" s="121"/>
      <c r="W1020" s="121"/>
      <c r="X1020" s="121"/>
      <c r="Y1020" s="121"/>
      <c r="Z1020" s="121"/>
    </row>
    <row r="1021" spans="1:26" ht="14.25" customHeight="1" x14ac:dyDescent="0.35">
      <c r="A1021" s="48" t="s">
        <v>1166</v>
      </c>
      <c r="B1021" s="120">
        <v>4.5999999999999999E-3</v>
      </c>
      <c r="C1021" s="120">
        <v>1E-4</v>
      </c>
      <c r="D1021" s="121"/>
      <c r="E1021" s="121"/>
      <c r="F1021" s="121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121"/>
      <c r="V1021" s="121"/>
      <c r="W1021" s="121"/>
      <c r="X1021" s="121"/>
      <c r="Y1021" s="121"/>
      <c r="Z1021" s="121"/>
    </row>
    <row r="1022" spans="1:26" ht="14.25" customHeight="1" x14ac:dyDescent="0.35">
      <c r="A1022" s="48" t="s">
        <v>1167</v>
      </c>
      <c r="B1022" s="120">
        <v>2.8999999999999998E-2</v>
      </c>
      <c r="C1022" s="120">
        <v>0</v>
      </c>
      <c r="D1022" s="121"/>
      <c r="E1022" s="121"/>
      <c r="F1022" s="121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121"/>
      <c r="V1022" s="121"/>
      <c r="W1022" s="121"/>
      <c r="X1022" s="121"/>
      <c r="Y1022" s="121"/>
      <c r="Z1022" s="121"/>
    </row>
    <row r="1023" spans="1:26" ht="14.25" customHeight="1" x14ac:dyDescent="0.35">
      <c r="A1023" s="48" t="s">
        <v>1168</v>
      </c>
      <c r="B1023" s="120">
        <v>-1.2699999999999999E-2</v>
      </c>
      <c r="C1023" s="120">
        <v>0</v>
      </c>
      <c r="D1023" s="121"/>
      <c r="E1023" s="121"/>
      <c r="F1023" s="121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121"/>
      <c r="V1023" s="121"/>
      <c r="W1023" s="121"/>
      <c r="X1023" s="121"/>
      <c r="Y1023" s="121"/>
      <c r="Z1023" s="121"/>
    </row>
    <row r="1024" spans="1:26" ht="14.25" customHeight="1" x14ac:dyDescent="0.35">
      <c r="A1024" s="48" t="s">
        <v>1169</v>
      </c>
      <c r="B1024" s="120">
        <v>-1.7500000000000002E-2</v>
      </c>
      <c r="C1024" s="120">
        <v>0</v>
      </c>
      <c r="D1024" s="121"/>
      <c r="E1024" s="121"/>
      <c r="F1024" s="121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121"/>
      <c r="V1024" s="121"/>
      <c r="W1024" s="121"/>
      <c r="X1024" s="121"/>
      <c r="Y1024" s="121"/>
      <c r="Z1024" s="121"/>
    </row>
    <row r="1025" spans="1:26" ht="14.25" customHeight="1" x14ac:dyDescent="0.35">
      <c r="A1025" s="48" t="s">
        <v>1170</v>
      </c>
      <c r="B1025" s="120">
        <v>-2.35E-2</v>
      </c>
      <c r="C1025" s="120">
        <v>0</v>
      </c>
      <c r="D1025" s="121"/>
      <c r="E1025" s="121"/>
      <c r="F1025" s="121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121"/>
      <c r="V1025" s="121"/>
      <c r="W1025" s="121"/>
      <c r="X1025" s="121"/>
      <c r="Y1025" s="121"/>
      <c r="Z1025" s="121"/>
    </row>
    <row r="1026" spans="1:26" ht="14.25" customHeight="1" x14ac:dyDescent="0.35">
      <c r="A1026" s="48" t="s">
        <v>1171</v>
      </c>
      <c r="B1026" s="120">
        <v>-5.9900000000000002E-2</v>
      </c>
      <c r="C1026" s="120">
        <v>1E-4</v>
      </c>
      <c r="D1026" s="121"/>
      <c r="E1026" s="121"/>
      <c r="F1026" s="121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121"/>
      <c r="V1026" s="121"/>
      <c r="W1026" s="121"/>
      <c r="X1026" s="121"/>
      <c r="Y1026" s="121"/>
      <c r="Z1026" s="121"/>
    </row>
    <row r="1027" spans="1:26" ht="14.25" customHeight="1" x14ac:dyDescent="0.35">
      <c r="A1027" s="48" t="s">
        <v>1172</v>
      </c>
      <c r="B1027" s="120">
        <v>-7.5899999999999995E-2</v>
      </c>
      <c r="C1027" s="120">
        <v>0</v>
      </c>
      <c r="D1027" s="121"/>
      <c r="E1027" s="121"/>
      <c r="F1027" s="121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121"/>
      <c r="V1027" s="121"/>
      <c r="W1027" s="121"/>
      <c r="X1027" s="121"/>
      <c r="Y1027" s="121"/>
      <c r="Z1027" s="121"/>
    </row>
    <row r="1028" spans="1:26" ht="14.25" customHeight="1" x14ac:dyDescent="0.35">
      <c r="A1028" s="48" t="s">
        <v>1173</v>
      </c>
      <c r="B1028" s="120">
        <v>0.11349999999999999</v>
      </c>
      <c r="C1028" s="120">
        <v>0</v>
      </c>
      <c r="D1028" s="121"/>
      <c r="E1028" s="121"/>
      <c r="F1028" s="121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121"/>
      <c r="V1028" s="121"/>
      <c r="W1028" s="121"/>
      <c r="X1028" s="121"/>
      <c r="Y1028" s="121"/>
      <c r="Z1028" s="121"/>
    </row>
    <row r="1029" spans="1:26" ht="14.25" customHeight="1" x14ac:dyDescent="0.35">
      <c r="A1029" s="48" t="s">
        <v>1174</v>
      </c>
      <c r="B1029" s="120">
        <v>-2.8000000000000004E-3</v>
      </c>
      <c r="C1029" s="120">
        <v>0</v>
      </c>
      <c r="D1029" s="121"/>
      <c r="E1029" s="121"/>
      <c r="F1029" s="121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121"/>
      <c r="V1029" s="121"/>
      <c r="W1029" s="121"/>
      <c r="X1029" s="121"/>
      <c r="Y1029" s="121"/>
      <c r="Z1029" s="121"/>
    </row>
    <row r="1030" spans="1:26" ht="14.25" customHeight="1" x14ac:dyDescent="0.35">
      <c r="A1030" s="48" t="s">
        <v>1175</v>
      </c>
      <c r="B1030" s="120">
        <v>7.4000000000000003E-3</v>
      </c>
      <c r="C1030" s="120">
        <v>0</v>
      </c>
      <c r="D1030" s="121"/>
      <c r="E1030" s="121"/>
      <c r="F1030" s="121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121"/>
      <c r="V1030" s="121"/>
      <c r="W1030" s="121"/>
      <c r="X1030" s="121"/>
      <c r="Y1030" s="121"/>
      <c r="Z1030" s="121"/>
    </row>
    <row r="1031" spans="1:26" ht="14.25" customHeight="1" x14ac:dyDescent="0.35">
      <c r="A1031" s="48" t="s">
        <v>1176</v>
      </c>
      <c r="B1031" s="120">
        <v>5.0499999999999996E-2</v>
      </c>
      <c r="C1031" s="120">
        <v>0</v>
      </c>
      <c r="D1031" s="121"/>
      <c r="E1031" s="121"/>
      <c r="F1031" s="121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121"/>
      <c r="V1031" s="121"/>
      <c r="W1031" s="121"/>
      <c r="X1031" s="121"/>
      <c r="Y1031" s="121"/>
      <c r="Z1031" s="121"/>
    </row>
    <row r="1032" spans="1:26" ht="14.25" customHeight="1" x14ac:dyDescent="0.35">
      <c r="A1032" s="48" t="s">
        <v>1177</v>
      </c>
      <c r="B1032" s="120">
        <v>4.4199999999999996E-2</v>
      </c>
      <c r="C1032" s="120">
        <v>0</v>
      </c>
      <c r="D1032" s="121"/>
      <c r="E1032" s="121"/>
      <c r="F1032" s="121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</row>
    <row r="1033" spans="1:26" ht="14.25" customHeight="1" x14ac:dyDescent="0.35">
      <c r="A1033" s="48" t="s">
        <v>1178</v>
      </c>
      <c r="B1033" s="120">
        <v>3.1099999999999999E-2</v>
      </c>
      <c r="C1033" s="120">
        <v>0</v>
      </c>
      <c r="D1033" s="121"/>
      <c r="E1033" s="121"/>
      <c r="F1033" s="121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</row>
    <row r="1034" spans="1:26" ht="14.25" customHeight="1" x14ac:dyDescent="0.35">
      <c r="A1034" s="48" t="s">
        <v>1179</v>
      </c>
      <c r="B1034" s="120">
        <v>-8.5000000000000006E-3</v>
      </c>
      <c r="C1034" s="120">
        <v>0</v>
      </c>
      <c r="D1034" s="121"/>
      <c r="E1034" s="121"/>
      <c r="F1034" s="121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121"/>
      <c r="V1034" s="121"/>
      <c r="W1034" s="121"/>
      <c r="X1034" s="121"/>
      <c r="Y1034" s="121"/>
      <c r="Z1034" s="121"/>
    </row>
    <row r="1035" spans="1:26" ht="14.25" customHeight="1" x14ac:dyDescent="0.35">
      <c r="A1035" s="48" t="s">
        <v>1180</v>
      </c>
      <c r="B1035" s="120">
        <v>-6.1900000000000004E-2</v>
      </c>
      <c r="C1035" s="120">
        <v>1E-4</v>
      </c>
      <c r="D1035" s="121"/>
      <c r="E1035" s="121"/>
      <c r="F1035" s="121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</row>
    <row r="1036" spans="1:26" ht="14.25" customHeight="1" x14ac:dyDescent="0.35">
      <c r="A1036" s="48" t="s">
        <v>1181</v>
      </c>
      <c r="B1036" s="120">
        <v>3.8900000000000004E-2</v>
      </c>
      <c r="C1036" s="120">
        <v>0</v>
      </c>
      <c r="D1036" s="121"/>
      <c r="E1036" s="121"/>
      <c r="F1036" s="121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</row>
    <row r="1037" spans="1:26" ht="14.25" customHeight="1" x14ac:dyDescent="0.35">
      <c r="A1037" s="48" t="s">
        <v>1182</v>
      </c>
      <c r="B1037" s="120">
        <v>7.9000000000000008E-3</v>
      </c>
      <c r="C1037" s="120">
        <v>0</v>
      </c>
      <c r="D1037" s="121"/>
      <c r="E1037" s="121"/>
      <c r="F1037" s="121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</row>
    <row r="1038" spans="1:26" ht="14.25" customHeight="1" x14ac:dyDescent="0.35">
      <c r="A1038" s="48" t="s">
        <v>1183</v>
      </c>
      <c r="B1038" s="120">
        <v>2.5499999999999998E-2</v>
      </c>
      <c r="C1038" s="120">
        <v>1E-4</v>
      </c>
      <c r="D1038" s="121"/>
      <c r="E1038" s="121"/>
      <c r="F1038" s="121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</row>
    <row r="1039" spans="1:26" ht="14.25" customHeight="1" x14ac:dyDescent="0.35">
      <c r="A1039" s="48" t="s">
        <v>1184</v>
      </c>
      <c r="B1039" s="120">
        <v>2.7300000000000001E-2</v>
      </c>
      <c r="C1039" s="120">
        <v>1E-4</v>
      </c>
      <c r="D1039" s="121"/>
      <c r="E1039" s="121"/>
      <c r="F1039" s="121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</row>
    <row r="1040" spans="1:26" ht="14.25" customHeight="1" x14ac:dyDescent="0.35">
      <c r="A1040" s="48" t="s">
        <v>1185</v>
      </c>
      <c r="B1040" s="120">
        <v>-1.7600000000000001E-2</v>
      </c>
      <c r="C1040" s="120">
        <v>1E-4</v>
      </c>
      <c r="D1040" s="121"/>
      <c r="E1040" s="121"/>
      <c r="F1040" s="121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</row>
    <row r="1041" spans="1:26" ht="14.25" customHeight="1" x14ac:dyDescent="0.35">
      <c r="A1041" s="48" t="s">
        <v>1186</v>
      </c>
      <c r="B1041" s="120">
        <v>7.8000000000000005E-3</v>
      </c>
      <c r="C1041" s="120">
        <v>1E-4</v>
      </c>
      <c r="D1041" s="121"/>
      <c r="E1041" s="121"/>
      <c r="F1041" s="121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</row>
    <row r="1042" spans="1:26" ht="14.25" customHeight="1" x14ac:dyDescent="0.35">
      <c r="A1042" s="48" t="s">
        <v>1187</v>
      </c>
      <c r="B1042" s="120">
        <v>1.18E-2</v>
      </c>
      <c r="C1042" s="120">
        <v>1E-4</v>
      </c>
      <c r="D1042" s="121"/>
      <c r="E1042" s="121"/>
      <c r="F1042" s="121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</row>
    <row r="1043" spans="1:26" ht="14.25" customHeight="1" x14ac:dyDescent="0.35">
      <c r="A1043" s="48" t="s">
        <v>1188</v>
      </c>
      <c r="B1043" s="120">
        <v>5.57E-2</v>
      </c>
      <c r="C1043" s="120">
        <v>0</v>
      </c>
      <c r="D1043" s="121"/>
      <c r="E1043" s="121"/>
      <c r="F1043" s="121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</row>
    <row r="1044" spans="1:26" ht="14.25" customHeight="1" x14ac:dyDescent="0.35">
      <c r="A1044" s="48" t="s">
        <v>1189</v>
      </c>
      <c r="B1044" s="120">
        <v>1.29E-2</v>
      </c>
      <c r="C1044" s="120">
        <v>0</v>
      </c>
      <c r="D1044" s="121"/>
      <c r="E1044" s="121"/>
      <c r="F1044" s="121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</row>
    <row r="1045" spans="1:26" ht="14.25" customHeight="1" x14ac:dyDescent="0.35">
      <c r="A1045" s="48" t="s">
        <v>1190</v>
      </c>
      <c r="B1045" s="120">
        <v>4.0300000000000002E-2</v>
      </c>
      <c r="C1045" s="120">
        <v>0</v>
      </c>
      <c r="D1045" s="121"/>
      <c r="E1045" s="121"/>
      <c r="F1045" s="121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</row>
    <row r="1046" spans="1:26" ht="14.25" customHeight="1" x14ac:dyDescent="0.35">
      <c r="A1046" s="48" t="s">
        <v>1191</v>
      </c>
      <c r="B1046" s="120">
        <v>1.55E-2</v>
      </c>
      <c r="C1046" s="120">
        <v>0</v>
      </c>
      <c r="D1046" s="121"/>
      <c r="E1046" s="121"/>
      <c r="F1046" s="121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121"/>
      <c r="V1046" s="121"/>
      <c r="W1046" s="121"/>
      <c r="X1046" s="121"/>
      <c r="Y1046" s="121"/>
      <c r="Z1046" s="121"/>
    </row>
    <row r="1047" spans="1:26" ht="14.25" customHeight="1" x14ac:dyDescent="0.35">
      <c r="A1047" s="48" t="s">
        <v>1192</v>
      </c>
      <c r="B1047" s="120">
        <v>2.7999999999999997E-2</v>
      </c>
      <c r="C1047" s="120">
        <v>0</v>
      </c>
      <c r="D1047" s="121"/>
      <c r="E1047" s="121"/>
      <c r="F1047" s="121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121"/>
      <c r="V1047" s="121"/>
      <c r="W1047" s="121"/>
      <c r="X1047" s="121"/>
      <c r="Y1047" s="121"/>
      <c r="Z1047" s="121"/>
    </row>
    <row r="1048" spans="1:26" ht="14.25" customHeight="1" x14ac:dyDescent="0.35">
      <c r="A1048" s="48" t="s">
        <v>1193</v>
      </c>
      <c r="B1048" s="120">
        <v>-1.2E-2</v>
      </c>
      <c r="C1048" s="120">
        <v>0</v>
      </c>
      <c r="D1048" s="121"/>
      <c r="E1048" s="121"/>
      <c r="F1048" s="121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121"/>
      <c r="V1048" s="121"/>
      <c r="W1048" s="121"/>
      <c r="X1048" s="121"/>
      <c r="Y1048" s="121"/>
      <c r="Z1048" s="121"/>
    </row>
    <row r="1049" spans="1:26" ht="14.25" customHeight="1" x14ac:dyDescent="0.35">
      <c r="A1049" s="48" t="s">
        <v>1194</v>
      </c>
      <c r="B1049" s="120">
        <v>5.6500000000000002E-2</v>
      </c>
      <c r="C1049" s="120">
        <v>0</v>
      </c>
      <c r="D1049" s="121"/>
      <c r="E1049" s="121"/>
      <c r="F1049" s="121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121"/>
      <c r="V1049" s="121"/>
      <c r="W1049" s="121"/>
      <c r="X1049" s="121"/>
      <c r="Y1049" s="121"/>
      <c r="Z1049" s="121"/>
    </row>
    <row r="1050" spans="1:26" ht="14.25" customHeight="1" x14ac:dyDescent="0.35">
      <c r="A1050" s="48" t="s">
        <v>1195</v>
      </c>
      <c r="B1050" s="120">
        <v>-2.7099999999999999E-2</v>
      </c>
      <c r="C1050" s="120">
        <v>0</v>
      </c>
      <c r="D1050" s="121"/>
      <c r="E1050" s="121"/>
      <c r="F1050" s="121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121"/>
      <c r="V1050" s="121"/>
      <c r="W1050" s="121"/>
      <c r="X1050" s="121"/>
      <c r="Y1050" s="121"/>
      <c r="Z1050" s="121"/>
    </row>
    <row r="1051" spans="1:26" ht="14.25" customHeight="1" x14ac:dyDescent="0.35">
      <c r="A1051" s="48" t="s">
        <v>1196</v>
      </c>
      <c r="B1051" s="120">
        <v>3.7699999999999997E-2</v>
      </c>
      <c r="C1051" s="120">
        <v>0</v>
      </c>
      <c r="D1051" s="121"/>
      <c r="E1051" s="121"/>
      <c r="F1051" s="121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121"/>
      <c r="V1051" s="121"/>
      <c r="W1051" s="121"/>
      <c r="X1051" s="121"/>
      <c r="Y1051" s="121"/>
      <c r="Z1051" s="121"/>
    </row>
    <row r="1052" spans="1:26" ht="14.25" customHeight="1" x14ac:dyDescent="0.35">
      <c r="A1052" s="48" t="s">
        <v>1197</v>
      </c>
      <c r="B1052" s="120">
        <v>4.1799999999999997E-2</v>
      </c>
      <c r="C1052" s="120">
        <v>0</v>
      </c>
      <c r="D1052" s="121"/>
      <c r="E1052" s="121"/>
      <c r="F1052" s="121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121"/>
      <c r="V1052" s="121"/>
      <c r="W1052" s="121"/>
      <c r="X1052" s="121"/>
      <c r="Y1052" s="121"/>
      <c r="Z1052" s="121"/>
    </row>
    <row r="1053" spans="1:26" ht="14.25" customHeight="1" x14ac:dyDescent="0.35">
      <c r="A1053" s="48" t="s">
        <v>1198</v>
      </c>
      <c r="B1053" s="120">
        <v>3.1300000000000001E-2</v>
      </c>
      <c r="C1053" s="120">
        <v>0</v>
      </c>
      <c r="D1053" s="121"/>
      <c r="E1053" s="121"/>
      <c r="F1053" s="121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121"/>
      <c r="V1053" s="121"/>
      <c r="W1053" s="121"/>
      <c r="X1053" s="121"/>
      <c r="Y1053" s="121"/>
      <c r="Z1053" s="121"/>
    </row>
    <row r="1054" spans="1:26" ht="14.25" customHeight="1" x14ac:dyDescent="0.35">
      <c r="A1054" s="48" t="s">
        <v>1199</v>
      </c>
      <c r="B1054" s="120">
        <v>2.81E-2</v>
      </c>
      <c r="C1054" s="120">
        <v>0</v>
      </c>
      <c r="D1054" s="121"/>
      <c r="E1054" s="121"/>
      <c r="F1054" s="121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121"/>
      <c r="V1054" s="121"/>
      <c r="W1054" s="121"/>
      <c r="X1054" s="121"/>
      <c r="Y1054" s="121"/>
      <c r="Z1054" s="121"/>
    </row>
    <row r="1055" spans="1:26" ht="14.25" customHeight="1" x14ac:dyDescent="0.35">
      <c r="A1055" s="48" t="s">
        <v>1200</v>
      </c>
      <c r="B1055" s="120">
        <v>-3.32E-2</v>
      </c>
      <c r="C1055" s="120">
        <v>0</v>
      </c>
      <c r="D1055" s="121"/>
      <c r="E1055" s="121"/>
      <c r="F1055" s="121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121"/>
      <c r="V1055" s="121"/>
      <c r="W1055" s="121"/>
      <c r="X1055" s="121"/>
      <c r="Y1055" s="121"/>
      <c r="Z1055" s="121"/>
    </row>
    <row r="1056" spans="1:26" ht="14.25" customHeight="1" x14ac:dyDescent="0.35">
      <c r="A1056" s="48" t="s">
        <v>1201</v>
      </c>
      <c r="B1056" s="120">
        <v>4.6500000000000007E-2</v>
      </c>
      <c r="C1056" s="120">
        <v>0</v>
      </c>
      <c r="D1056" s="121"/>
      <c r="E1056" s="121"/>
      <c r="F1056" s="121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121"/>
      <c r="V1056" s="121"/>
      <c r="W1056" s="121"/>
      <c r="X1056" s="121"/>
      <c r="Y1056" s="121"/>
      <c r="Z1056" s="121"/>
    </row>
    <row r="1057" spans="1:26" ht="14.25" customHeight="1" x14ac:dyDescent="0.35">
      <c r="A1057" s="48" t="s">
        <v>1202</v>
      </c>
      <c r="B1057" s="120">
        <v>4.3E-3</v>
      </c>
      <c r="C1057" s="120">
        <v>0</v>
      </c>
      <c r="D1057" s="121"/>
      <c r="E1057" s="121"/>
      <c r="F1057" s="121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121"/>
      <c r="V1057" s="121"/>
      <c r="W1057" s="121"/>
      <c r="X1057" s="121"/>
      <c r="Y1057" s="121"/>
      <c r="Z1057" s="121"/>
    </row>
    <row r="1058" spans="1:26" ht="14.25" customHeight="1" x14ac:dyDescent="0.35">
      <c r="A1058" s="48" t="s">
        <v>1203</v>
      </c>
      <c r="B1058" s="120">
        <v>-1.9E-3</v>
      </c>
      <c r="C1058" s="120">
        <v>0</v>
      </c>
      <c r="D1058" s="121"/>
      <c r="E1058" s="121"/>
      <c r="F1058" s="121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121"/>
      <c r="V1058" s="121"/>
      <c r="W1058" s="121"/>
      <c r="X1058" s="121"/>
      <c r="Y1058" s="121"/>
      <c r="Z1058" s="121"/>
    </row>
    <row r="1059" spans="1:26" ht="14.25" customHeight="1" x14ac:dyDescent="0.35">
      <c r="A1059" s="48" t="s">
        <v>1204</v>
      </c>
      <c r="B1059" s="120">
        <v>2.06E-2</v>
      </c>
      <c r="C1059" s="120">
        <v>0</v>
      </c>
      <c r="D1059" s="121"/>
      <c r="E1059" s="121"/>
      <c r="F1059" s="121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121"/>
      <c r="V1059" s="121"/>
      <c r="W1059" s="121"/>
      <c r="X1059" s="121"/>
      <c r="Y1059" s="121"/>
      <c r="Z1059" s="121"/>
    </row>
    <row r="1060" spans="1:26" ht="14.25" customHeight="1" x14ac:dyDescent="0.35">
      <c r="A1060" s="48" t="s">
        <v>1205</v>
      </c>
      <c r="B1060" s="120">
        <v>2.6099999999999998E-2</v>
      </c>
      <c r="C1060" s="120">
        <v>0</v>
      </c>
      <c r="D1060" s="121"/>
      <c r="E1060" s="121"/>
      <c r="F1060" s="121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121"/>
      <c r="V1060" s="121"/>
      <c r="W1060" s="121"/>
      <c r="X1060" s="121"/>
      <c r="Y1060" s="121"/>
      <c r="Z1060" s="121"/>
    </row>
    <row r="1061" spans="1:26" ht="14.25" customHeight="1" x14ac:dyDescent="0.35">
      <c r="A1061" s="48" t="s">
        <v>1206</v>
      </c>
      <c r="B1061" s="120">
        <v>-2.0400000000000001E-2</v>
      </c>
      <c r="C1061" s="120">
        <v>0</v>
      </c>
      <c r="D1061" s="121"/>
      <c r="E1061" s="121"/>
      <c r="F1061" s="121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121"/>
      <c r="V1061" s="121"/>
      <c r="W1061" s="121"/>
      <c r="X1061" s="121"/>
      <c r="Y1061" s="121"/>
      <c r="Z1061" s="121"/>
    </row>
    <row r="1062" spans="1:26" ht="14.25" customHeight="1" x14ac:dyDescent="0.35">
      <c r="A1062" s="48" t="s">
        <v>1207</v>
      </c>
      <c r="B1062" s="120">
        <v>4.24E-2</v>
      </c>
      <c r="C1062" s="120">
        <v>0</v>
      </c>
      <c r="D1062" s="121"/>
      <c r="E1062" s="121"/>
      <c r="F1062" s="121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121"/>
      <c r="V1062" s="121"/>
      <c r="W1062" s="121"/>
      <c r="X1062" s="121"/>
      <c r="Y1062" s="121"/>
      <c r="Z1062" s="121"/>
    </row>
    <row r="1063" spans="1:26" ht="14.25" customHeight="1" x14ac:dyDescent="0.35">
      <c r="A1063" s="48" t="s">
        <v>1208</v>
      </c>
      <c r="B1063" s="120">
        <v>-1.9699999999999999E-2</v>
      </c>
      <c r="C1063" s="120">
        <v>0</v>
      </c>
      <c r="D1063" s="121"/>
      <c r="E1063" s="121"/>
      <c r="F1063" s="121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121"/>
      <c r="V1063" s="121"/>
      <c r="W1063" s="121"/>
      <c r="X1063" s="121"/>
      <c r="Y1063" s="121"/>
      <c r="Z1063" s="121"/>
    </row>
    <row r="1064" spans="1:26" ht="14.25" customHeight="1" x14ac:dyDescent="0.35">
      <c r="A1064" s="48" t="s">
        <v>1209</v>
      </c>
      <c r="B1064" s="120">
        <v>2.52E-2</v>
      </c>
      <c r="C1064" s="120">
        <v>0</v>
      </c>
      <c r="D1064" s="121"/>
      <c r="E1064" s="121"/>
      <c r="F1064" s="121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121"/>
      <c r="V1064" s="121"/>
      <c r="W1064" s="121"/>
      <c r="X1064" s="121"/>
      <c r="Y1064" s="121"/>
      <c r="Z1064" s="121"/>
    </row>
    <row r="1065" spans="1:26" ht="14.25" customHeight="1" x14ac:dyDescent="0.35">
      <c r="A1065" s="48" t="s">
        <v>1210</v>
      </c>
      <c r="B1065" s="120">
        <v>2.5499999999999998E-2</v>
      </c>
      <c r="C1065" s="120">
        <v>0</v>
      </c>
      <c r="D1065" s="121"/>
      <c r="E1065" s="121"/>
      <c r="F1065" s="121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121"/>
      <c r="V1065" s="121"/>
      <c r="W1065" s="121"/>
      <c r="X1065" s="121"/>
      <c r="Y1065" s="121"/>
      <c r="Z1065" s="121"/>
    </row>
    <row r="1066" spans="1:26" ht="14.25" customHeight="1" x14ac:dyDescent="0.35">
      <c r="A1066" s="48" t="s">
        <v>1211</v>
      </c>
      <c r="B1066" s="120">
        <v>-5.9999999999999995E-4</v>
      </c>
      <c r="C1066" s="120">
        <v>0</v>
      </c>
      <c r="D1066" s="121"/>
      <c r="E1066" s="121"/>
      <c r="F1066" s="121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121"/>
      <c r="V1066" s="121"/>
      <c r="W1066" s="121"/>
      <c r="X1066" s="121"/>
      <c r="Y1066" s="121"/>
      <c r="Z1066" s="121"/>
    </row>
    <row r="1067" spans="1:26" ht="14.25" customHeight="1" x14ac:dyDescent="0.35">
      <c r="A1067" s="48" t="s">
        <v>1212</v>
      </c>
      <c r="B1067" s="120">
        <v>-3.1099999999999999E-2</v>
      </c>
      <c r="C1067" s="120">
        <v>0</v>
      </c>
      <c r="D1067" s="121"/>
      <c r="E1067" s="121"/>
      <c r="F1067" s="121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121"/>
      <c r="V1067" s="121"/>
      <c r="W1067" s="121"/>
      <c r="X1067" s="121"/>
      <c r="Y1067" s="121"/>
      <c r="Z1067" s="121"/>
    </row>
    <row r="1068" spans="1:26" ht="14.25" customHeight="1" x14ac:dyDescent="0.35">
      <c r="A1068" s="48" t="s">
        <v>1213</v>
      </c>
      <c r="B1068" s="120">
        <v>6.13E-2</v>
      </c>
      <c r="C1068" s="120">
        <v>0</v>
      </c>
      <c r="D1068" s="121"/>
      <c r="E1068" s="121"/>
      <c r="F1068" s="121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121"/>
      <c r="V1068" s="121"/>
      <c r="W1068" s="121"/>
      <c r="X1068" s="121"/>
      <c r="Y1068" s="121"/>
      <c r="Z1068" s="121"/>
    </row>
    <row r="1069" spans="1:26" ht="14.25" customHeight="1" x14ac:dyDescent="0.35">
      <c r="A1069" s="48" t="s">
        <v>1214</v>
      </c>
      <c r="B1069" s="120">
        <v>-1.1200000000000002E-2</v>
      </c>
      <c r="C1069" s="120">
        <v>0</v>
      </c>
      <c r="D1069" s="121"/>
      <c r="E1069" s="121"/>
      <c r="F1069" s="121"/>
      <c r="G1069" s="121"/>
      <c r="H1069" s="121"/>
      <c r="I1069" s="121"/>
      <c r="J1069" s="121"/>
      <c r="K1069" s="121"/>
      <c r="L1069" s="121"/>
      <c r="M1069" s="121"/>
      <c r="N1069" s="121"/>
      <c r="O1069" s="121"/>
      <c r="P1069" s="121"/>
      <c r="Q1069" s="121"/>
      <c r="R1069" s="121"/>
      <c r="S1069" s="121"/>
      <c r="T1069" s="121"/>
      <c r="U1069" s="121"/>
      <c r="V1069" s="121"/>
      <c r="W1069" s="121"/>
      <c r="X1069" s="121"/>
      <c r="Y1069" s="121"/>
      <c r="Z1069" s="121"/>
    </row>
    <row r="1070" spans="1:26" ht="14.25" customHeight="1" x14ac:dyDescent="0.35">
      <c r="A1070" s="48" t="s">
        <v>1215</v>
      </c>
      <c r="B1070" s="120">
        <v>5.8999999999999999E-3</v>
      </c>
      <c r="C1070" s="120">
        <v>0</v>
      </c>
      <c r="D1070" s="121"/>
      <c r="E1070" s="121"/>
      <c r="F1070" s="121"/>
      <c r="G1070" s="121"/>
      <c r="H1070" s="121"/>
      <c r="I1070" s="121"/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</row>
    <row r="1071" spans="1:26" ht="14.25" customHeight="1" x14ac:dyDescent="0.35">
      <c r="A1071" s="48" t="s">
        <v>1216</v>
      </c>
      <c r="B1071" s="120">
        <v>1.3600000000000001E-2</v>
      </c>
      <c r="C1071" s="120">
        <v>0</v>
      </c>
      <c r="D1071" s="121"/>
      <c r="E1071" s="121"/>
      <c r="F1071" s="121"/>
      <c r="G1071" s="121"/>
      <c r="H1071" s="121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</row>
    <row r="1072" spans="1:26" ht="14.25" customHeight="1" x14ac:dyDescent="0.35">
      <c r="A1072" s="48" t="s">
        <v>1217</v>
      </c>
      <c r="B1072" s="120">
        <v>-1.5300000000000001E-2</v>
      </c>
      <c r="C1072" s="120">
        <v>0</v>
      </c>
      <c r="D1072" s="121"/>
      <c r="E1072" s="121"/>
      <c r="F1072" s="121"/>
      <c r="G1072" s="121"/>
      <c r="H1072" s="121"/>
      <c r="I1072" s="121"/>
      <c r="J1072" s="121"/>
      <c r="K1072" s="121"/>
      <c r="L1072" s="121"/>
      <c r="M1072" s="121"/>
      <c r="N1072" s="121"/>
      <c r="O1072" s="121"/>
      <c r="P1072" s="121"/>
      <c r="Q1072" s="121"/>
      <c r="R1072" s="121"/>
      <c r="S1072" s="121"/>
      <c r="T1072" s="121"/>
      <c r="U1072" s="121"/>
      <c r="V1072" s="121"/>
      <c r="W1072" s="121"/>
      <c r="X1072" s="121"/>
      <c r="Y1072" s="121"/>
      <c r="Z1072" s="121"/>
    </row>
    <row r="1073" spans="1:26" ht="14.25" customHeight="1" x14ac:dyDescent="0.35">
      <c r="A1073" s="48" t="s">
        <v>1218</v>
      </c>
      <c r="B1073" s="120">
        <v>1.54E-2</v>
      </c>
      <c r="C1073" s="120">
        <v>0</v>
      </c>
      <c r="D1073" s="121"/>
      <c r="E1073" s="121"/>
      <c r="F1073" s="121"/>
      <c r="G1073" s="121"/>
      <c r="H1073" s="121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</row>
    <row r="1074" spans="1:26" ht="14.25" customHeight="1" x14ac:dyDescent="0.35">
      <c r="A1074" s="48" t="s">
        <v>1219</v>
      </c>
      <c r="B1074" s="120">
        <v>-6.0400000000000002E-2</v>
      </c>
      <c r="C1074" s="120">
        <v>0</v>
      </c>
      <c r="D1074" s="121"/>
      <c r="E1074" s="121"/>
      <c r="F1074" s="121"/>
      <c r="G1074" s="121"/>
      <c r="H1074" s="121"/>
      <c r="I1074" s="121"/>
      <c r="J1074" s="121"/>
      <c r="K1074" s="121"/>
      <c r="L1074" s="121"/>
      <c r="M1074" s="121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</row>
    <row r="1075" spans="1:26" ht="14.25" customHeight="1" x14ac:dyDescent="0.35">
      <c r="A1075" s="48" t="s">
        <v>1220</v>
      </c>
      <c r="B1075" s="120">
        <v>-3.0699999999999998E-2</v>
      </c>
      <c r="C1075" s="120">
        <v>0</v>
      </c>
      <c r="D1075" s="121"/>
      <c r="E1075" s="121"/>
      <c r="F1075" s="121"/>
      <c r="G1075" s="121"/>
      <c r="H1075" s="121"/>
      <c r="I1075" s="121"/>
      <c r="J1075" s="121"/>
      <c r="K1075" s="121"/>
      <c r="L1075" s="121"/>
      <c r="M1075" s="121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</row>
    <row r="1076" spans="1:26" ht="14.25" customHeight="1" x14ac:dyDescent="0.35">
      <c r="A1076" s="48" t="s">
        <v>1221</v>
      </c>
      <c r="B1076" s="120">
        <v>7.7499999999999999E-2</v>
      </c>
      <c r="C1076" s="120">
        <v>0</v>
      </c>
      <c r="D1076" s="121"/>
      <c r="E1076" s="121"/>
      <c r="F1076" s="121"/>
      <c r="G1076" s="121"/>
      <c r="H1076" s="121"/>
      <c r="I1076" s="121"/>
      <c r="J1076" s="121"/>
      <c r="K1076" s="121"/>
      <c r="L1076" s="121"/>
      <c r="M1076" s="121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</row>
    <row r="1077" spans="1:26" ht="14.25" customHeight="1" x14ac:dyDescent="0.35">
      <c r="A1077" s="48" t="s">
        <v>1222</v>
      </c>
      <c r="B1077" s="120">
        <v>5.6000000000000008E-3</v>
      </c>
      <c r="C1077" s="120">
        <v>0</v>
      </c>
      <c r="D1077" s="121"/>
      <c r="E1077" s="121"/>
      <c r="F1077" s="121"/>
      <c r="G1077" s="121"/>
      <c r="H1077" s="121"/>
      <c r="I1077" s="121"/>
      <c r="J1077" s="121"/>
      <c r="K1077" s="121"/>
      <c r="L1077" s="121"/>
      <c r="M1077" s="121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</row>
    <row r="1078" spans="1:26" ht="14.25" customHeight="1" x14ac:dyDescent="0.35">
      <c r="A1078" s="48" t="s">
        <v>1223</v>
      </c>
      <c r="B1078" s="120">
        <v>-2.1700000000000001E-2</v>
      </c>
      <c r="C1078" s="120">
        <v>1E-4</v>
      </c>
      <c r="D1078" s="121"/>
      <c r="E1078" s="121"/>
      <c r="F1078" s="121"/>
      <c r="G1078" s="121"/>
      <c r="H1078" s="121"/>
      <c r="I1078" s="121"/>
      <c r="J1078" s="121"/>
      <c r="K1078" s="121"/>
      <c r="L1078" s="121"/>
      <c r="M1078" s="121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</row>
    <row r="1079" spans="1:26" ht="14.25" customHeight="1" x14ac:dyDescent="0.35">
      <c r="A1079" s="48" t="s">
        <v>1224</v>
      </c>
      <c r="B1079" s="120">
        <v>-5.7699999999999994E-2</v>
      </c>
      <c r="C1079" s="120">
        <v>1E-4</v>
      </c>
      <c r="D1079" s="121"/>
      <c r="E1079" s="121"/>
      <c r="F1079" s="121"/>
      <c r="G1079" s="121"/>
      <c r="H1079" s="121"/>
      <c r="I1079" s="121"/>
      <c r="J1079" s="121"/>
      <c r="K1079" s="121"/>
      <c r="L1079" s="121"/>
      <c r="M1079" s="121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</row>
    <row r="1080" spans="1:26" ht="14.25" customHeight="1" x14ac:dyDescent="0.35">
      <c r="A1080" s="48" t="s">
        <v>1225</v>
      </c>
      <c r="B1080" s="120">
        <v>-8.0000000000000004E-4</v>
      </c>
      <c r="C1080" s="120">
        <v>2.0000000000000001E-4</v>
      </c>
      <c r="D1080" s="121"/>
      <c r="E1080" s="121"/>
      <c r="F1080" s="121"/>
      <c r="G1080" s="121"/>
      <c r="H1080" s="121"/>
      <c r="I1080" s="121"/>
      <c r="J1080" s="121"/>
      <c r="K1080" s="121"/>
      <c r="L1080" s="121"/>
      <c r="M1080" s="121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</row>
    <row r="1081" spans="1:26" ht="14.25" customHeight="1" x14ac:dyDescent="0.35">
      <c r="A1081" s="48" t="s">
        <v>1226</v>
      </c>
      <c r="B1081" s="120">
        <v>6.9599999999999995E-2</v>
      </c>
      <c r="C1081" s="120">
        <v>2.0000000000000001E-4</v>
      </c>
      <c r="D1081" s="121"/>
      <c r="E1081" s="121"/>
      <c r="F1081" s="121"/>
      <c r="G1081" s="121"/>
      <c r="H1081" s="121"/>
      <c r="I1081" s="121"/>
      <c r="J1081" s="121"/>
      <c r="K1081" s="121"/>
      <c r="L1081" s="121"/>
      <c r="M1081" s="121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</row>
    <row r="1082" spans="1:26" ht="14.25" customHeight="1" x14ac:dyDescent="0.35">
      <c r="A1082" s="48" t="s">
        <v>1227</v>
      </c>
      <c r="B1082" s="120">
        <v>9.1999999999999998E-3</v>
      </c>
      <c r="C1082" s="120">
        <v>1E-4</v>
      </c>
      <c r="D1082" s="121"/>
      <c r="E1082" s="121"/>
      <c r="F1082" s="121"/>
      <c r="G1082" s="121"/>
      <c r="H1082" s="121"/>
      <c r="I1082" s="121"/>
      <c r="J1082" s="121"/>
      <c r="K1082" s="121"/>
      <c r="L1082" s="121"/>
      <c r="M1082" s="121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</row>
    <row r="1083" spans="1:26" ht="14.25" customHeight="1" x14ac:dyDescent="0.35">
      <c r="A1083" s="48" t="s">
        <v>1228</v>
      </c>
      <c r="B1083" s="120">
        <v>1.78E-2</v>
      </c>
      <c r="C1083" s="120">
        <v>1E-4</v>
      </c>
      <c r="D1083" s="121"/>
      <c r="E1083" s="121"/>
      <c r="F1083" s="121"/>
      <c r="G1083" s="121"/>
      <c r="H1083" s="121"/>
      <c r="I1083" s="121"/>
      <c r="J1083" s="121"/>
      <c r="K1083" s="121"/>
      <c r="L1083" s="121"/>
      <c r="M1083" s="121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</row>
    <row r="1084" spans="1:26" ht="14.25" customHeight="1" x14ac:dyDescent="0.35">
      <c r="A1084" s="48" t="s">
        <v>1229</v>
      </c>
      <c r="B1084" s="120">
        <v>-5.0000000000000001E-4</v>
      </c>
      <c r="C1084" s="120">
        <v>2.0000000000000001E-4</v>
      </c>
      <c r="D1084" s="121"/>
      <c r="E1084" s="121"/>
      <c r="F1084" s="121"/>
      <c r="G1084" s="121"/>
      <c r="H1084" s="121"/>
      <c r="I1084" s="121"/>
      <c r="J1084" s="121"/>
      <c r="K1084" s="121"/>
      <c r="L1084" s="121"/>
      <c r="M1084" s="121"/>
      <c r="N1084" s="121"/>
      <c r="O1084" s="121"/>
      <c r="P1084" s="121"/>
      <c r="Q1084" s="121"/>
      <c r="R1084" s="121"/>
      <c r="S1084" s="121"/>
      <c r="T1084" s="121"/>
      <c r="U1084" s="121"/>
      <c r="V1084" s="121"/>
      <c r="W1084" s="121"/>
      <c r="X1084" s="121"/>
      <c r="Y1084" s="121"/>
      <c r="Z1084" s="121"/>
    </row>
    <row r="1085" spans="1:26" ht="14.25" customHeight="1" x14ac:dyDescent="0.35">
      <c r="A1085" s="48" t="s">
        <v>1230</v>
      </c>
      <c r="B1085" s="120">
        <v>3.95E-2</v>
      </c>
      <c r="C1085" s="120">
        <v>2.0000000000000001E-4</v>
      </c>
      <c r="D1085" s="121"/>
      <c r="E1085" s="121"/>
      <c r="F1085" s="121"/>
      <c r="G1085" s="121"/>
      <c r="H1085" s="121"/>
      <c r="I1085" s="121"/>
      <c r="J1085" s="121"/>
      <c r="K1085" s="121"/>
      <c r="L1085" s="121"/>
      <c r="M1085" s="121"/>
      <c r="N1085" s="121"/>
      <c r="O1085" s="121"/>
      <c r="P1085" s="121"/>
      <c r="Q1085" s="121"/>
      <c r="R1085" s="121"/>
      <c r="S1085" s="121"/>
      <c r="T1085" s="121"/>
      <c r="U1085" s="121"/>
      <c r="V1085" s="121"/>
      <c r="W1085" s="121"/>
      <c r="X1085" s="121"/>
      <c r="Y1085" s="121"/>
      <c r="Z1085" s="121"/>
    </row>
    <row r="1086" spans="1:26" ht="14.25" customHeight="1" x14ac:dyDescent="0.35">
      <c r="A1086" s="48" t="s">
        <v>1231</v>
      </c>
      <c r="B1086" s="120">
        <v>5.0000000000000001E-3</v>
      </c>
      <c r="C1086" s="120">
        <v>2.0000000000000001E-4</v>
      </c>
      <c r="D1086" s="121"/>
      <c r="E1086" s="121"/>
      <c r="F1086" s="121"/>
      <c r="G1086" s="121"/>
      <c r="H1086" s="121"/>
      <c r="I1086" s="121"/>
      <c r="J1086" s="121"/>
      <c r="K1086" s="121"/>
      <c r="L1086" s="121"/>
      <c r="M1086" s="121"/>
      <c r="N1086" s="121"/>
      <c r="O1086" s="121"/>
      <c r="P1086" s="121"/>
      <c r="Q1086" s="121"/>
      <c r="R1086" s="121"/>
      <c r="S1086" s="121"/>
      <c r="T1086" s="121"/>
      <c r="U1086" s="121"/>
      <c r="V1086" s="121"/>
      <c r="W1086" s="121"/>
      <c r="X1086" s="121"/>
      <c r="Y1086" s="121"/>
      <c r="Z1086" s="121"/>
    </row>
    <row r="1087" spans="1:26" ht="14.25" customHeight="1" x14ac:dyDescent="0.35">
      <c r="A1087" s="48" t="s">
        <v>1232</v>
      </c>
      <c r="B1087" s="120">
        <v>2.5000000000000001E-3</v>
      </c>
      <c r="C1087" s="120">
        <v>2.0000000000000001E-4</v>
      </c>
      <c r="D1087" s="121"/>
      <c r="E1087" s="121"/>
      <c r="F1087" s="121"/>
      <c r="G1087" s="121"/>
      <c r="H1087" s="121"/>
      <c r="I1087" s="121"/>
      <c r="J1087" s="121"/>
      <c r="K1087" s="121"/>
      <c r="L1087" s="121"/>
      <c r="M1087" s="121"/>
      <c r="N1087" s="121"/>
      <c r="O1087" s="121"/>
      <c r="P1087" s="121"/>
      <c r="Q1087" s="121"/>
      <c r="R1087" s="121"/>
      <c r="S1087" s="121"/>
      <c r="T1087" s="121"/>
      <c r="U1087" s="121"/>
      <c r="V1087" s="121"/>
      <c r="W1087" s="121"/>
      <c r="X1087" s="121"/>
      <c r="Y1087" s="121"/>
      <c r="Z1087" s="121"/>
    </row>
    <row r="1088" spans="1:26" ht="14.25" customHeight="1" x14ac:dyDescent="0.35">
      <c r="A1088" s="48" t="s">
        <v>1233</v>
      </c>
      <c r="B1088" s="120">
        <v>-2.0199999999999999E-2</v>
      </c>
      <c r="C1088" s="120">
        <v>2.0000000000000001E-4</v>
      </c>
      <c r="D1088" s="121"/>
      <c r="E1088" s="121"/>
      <c r="F1088" s="121"/>
      <c r="G1088" s="121"/>
      <c r="H1088" s="121"/>
      <c r="I1088" s="121"/>
      <c r="J1088" s="121"/>
      <c r="K1088" s="121"/>
      <c r="L1088" s="121"/>
      <c r="M1088" s="121"/>
      <c r="N1088" s="121"/>
      <c r="O1088" s="121"/>
      <c r="P1088" s="121"/>
      <c r="Q1088" s="121"/>
      <c r="R1088" s="121"/>
      <c r="S1088" s="121"/>
      <c r="T1088" s="121"/>
      <c r="U1088" s="121"/>
      <c r="V1088" s="121"/>
      <c r="W1088" s="121"/>
      <c r="X1088" s="121"/>
      <c r="Y1088" s="121"/>
      <c r="Z1088" s="121"/>
    </row>
    <row r="1089" spans="1:26" ht="14.25" customHeight="1" x14ac:dyDescent="0.35">
      <c r="A1089" s="48" t="s">
        <v>1234</v>
      </c>
      <c r="B1089" s="120">
        <v>4.8600000000000004E-2</v>
      </c>
      <c r="C1089" s="120">
        <v>1E-4</v>
      </c>
      <c r="D1089" s="121"/>
      <c r="E1089" s="121"/>
      <c r="F1089" s="121"/>
      <c r="G1089" s="121"/>
      <c r="H1089" s="121"/>
      <c r="I1089" s="121"/>
      <c r="J1089" s="121"/>
      <c r="K1089" s="121"/>
      <c r="L1089" s="121"/>
      <c r="M1089" s="121"/>
      <c r="N1089" s="121"/>
      <c r="O1089" s="121"/>
      <c r="P1089" s="121"/>
      <c r="Q1089" s="121"/>
      <c r="R1089" s="121"/>
      <c r="S1089" s="121"/>
      <c r="T1089" s="121"/>
      <c r="U1089" s="121"/>
      <c r="V1089" s="121"/>
      <c r="W1089" s="121"/>
      <c r="X1089" s="121"/>
      <c r="Y1089" s="121"/>
      <c r="Z1089" s="121"/>
    </row>
    <row r="1090" spans="1:26" ht="14.25" customHeight="1" x14ac:dyDescent="0.35">
      <c r="A1090" s="48" t="s">
        <v>1235</v>
      </c>
      <c r="B1090" s="120">
        <v>1.8100000000000002E-2</v>
      </c>
      <c r="C1090" s="120">
        <v>2.9999999999999997E-4</v>
      </c>
      <c r="D1090" s="121"/>
      <c r="E1090" s="121"/>
      <c r="F1090" s="121"/>
      <c r="G1090" s="121"/>
      <c r="H1090" s="121"/>
      <c r="I1090" s="121"/>
      <c r="J1090" s="121"/>
      <c r="K1090" s="121"/>
      <c r="L1090" s="121"/>
      <c r="M1090" s="121"/>
      <c r="N1090" s="121"/>
      <c r="O1090" s="121"/>
      <c r="P1090" s="121"/>
      <c r="Q1090" s="121"/>
      <c r="R1090" s="121"/>
      <c r="S1090" s="121"/>
      <c r="T1090" s="121"/>
      <c r="U1090" s="121"/>
      <c r="V1090" s="121"/>
      <c r="W1090" s="121"/>
      <c r="X1090" s="121"/>
      <c r="Y1090" s="121"/>
      <c r="Z1090" s="121"/>
    </row>
    <row r="1091" spans="1:26" ht="14.25" customHeight="1" x14ac:dyDescent="0.35">
      <c r="A1091" s="48" t="s">
        <v>1236</v>
      </c>
      <c r="B1091" s="120">
        <v>1.9400000000000001E-2</v>
      </c>
      <c r="C1091" s="120">
        <v>4.0000000000000002E-4</v>
      </c>
      <c r="D1091" s="121"/>
      <c r="E1091" s="121"/>
      <c r="F1091" s="121"/>
      <c r="G1091" s="121"/>
      <c r="H1091" s="121"/>
      <c r="I1091" s="121"/>
      <c r="J1091" s="121"/>
      <c r="K1091" s="121"/>
      <c r="L1091" s="121"/>
      <c r="M1091" s="121"/>
      <c r="N1091" s="121"/>
      <c r="O1091" s="121"/>
      <c r="P1091" s="121"/>
      <c r="Q1091" s="121"/>
      <c r="R1091" s="121"/>
      <c r="S1091" s="121"/>
      <c r="T1091" s="121"/>
      <c r="U1091" s="121"/>
      <c r="V1091" s="121"/>
      <c r="W1091" s="121"/>
      <c r="X1091" s="121"/>
      <c r="Y1091" s="121"/>
      <c r="Z1091" s="121"/>
    </row>
    <row r="1092" spans="1:26" ht="14.25" customHeight="1" x14ac:dyDescent="0.35">
      <c r="A1092" s="48" t="s">
        <v>1237</v>
      </c>
      <c r="B1092" s="120">
        <v>3.5699999999999996E-2</v>
      </c>
      <c r="C1092" s="120">
        <v>4.0000000000000002E-4</v>
      </c>
      <c r="D1092" s="121"/>
      <c r="E1092" s="121"/>
      <c r="F1092" s="121"/>
      <c r="G1092" s="121"/>
      <c r="H1092" s="121"/>
      <c r="I1092" s="121"/>
      <c r="J1092" s="121"/>
      <c r="K1092" s="121"/>
      <c r="L1092" s="121"/>
      <c r="M1092" s="121"/>
      <c r="N1092" s="121"/>
      <c r="O1092" s="121"/>
      <c r="P1092" s="121"/>
      <c r="Q1092" s="121"/>
      <c r="R1092" s="121"/>
      <c r="S1092" s="121"/>
      <c r="T1092" s="121"/>
      <c r="U1092" s="121"/>
      <c r="V1092" s="121"/>
      <c r="W1092" s="121"/>
      <c r="X1092" s="121"/>
      <c r="Y1092" s="121"/>
      <c r="Z1092" s="121"/>
    </row>
    <row r="1093" spans="1:26" ht="14.25" customHeight="1" x14ac:dyDescent="0.35">
      <c r="A1093" s="48" t="s">
        <v>1238</v>
      </c>
      <c r="B1093" s="120">
        <v>1.7000000000000001E-3</v>
      </c>
      <c r="C1093" s="120">
        <v>2.9999999999999997E-4</v>
      </c>
      <c r="D1093" s="121"/>
      <c r="E1093" s="121"/>
      <c r="F1093" s="121"/>
      <c r="G1093" s="121"/>
      <c r="H1093" s="121"/>
      <c r="I1093" s="121"/>
      <c r="J1093" s="121"/>
      <c r="K1093" s="121"/>
      <c r="L1093" s="121"/>
      <c r="M1093" s="121"/>
      <c r="N1093" s="121"/>
      <c r="O1093" s="121"/>
      <c r="P1093" s="121"/>
      <c r="Q1093" s="121"/>
      <c r="R1093" s="121"/>
      <c r="S1093" s="121"/>
      <c r="T1093" s="121"/>
      <c r="U1093" s="121"/>
      <c r="V1093" s="121"/>
      <c r="W1093" s="121"/>
      <c r="X1093" s="121"/>
      <c r="Y1093" s="121"/>
      <c r="Z1093" s="121"/>
    </row>
    <row r="1094" spans="1:26" ht="14.25" customHeight="1" x14ac:dyDescent="0.35">
      <c r="A1094" s="48" t="s">
        <v>1239</v>
      </c>
      <c r="B1094" s="120">
        <v>1.09E-2</v>
      </c>
      <c r="C1094" s="120">
        <v>5.0000000000000001E-4</v>
      </c>
      <c r="D1094" s="121"/>
      <c r="E1094" s="121"/>
      <c r="F1094" s="121"/>
      <c r="G1094" s="121"/>
      <c r="H1094" s="121"/>
      <c r="I1094" s="121"/>
      <c r="J1094" s="121"/>
      <c r="K1094" s="121"/>
      <c r="L1094" s="121"/>
      <c r="M1094" s="121"/>
      <c r="N1094" s="121"/>
      <c r="O1094" s="121"/>
      <c r="P1094" s="121"/>
      <c r="Q1094" s="121"/>
      <c r="R1094" s="121"/>
      <c r="S1094" s="121"/>
      <c r="T1094" s="121"/>
      <c r="U1094" s="121"/>
      <c r="V1094" s="121"/>
      <c r="W1094" s="121"/>
      <c r="X1094" s="121"/>
      <c r="Y1094" s="121"/>
      <c r="Z1094" s="121"/>
    </row>
    <row r="1095" spans="1:26" ht="14.25" customHeight="1" x14ac:dyDescent="0.35">
      <c r="A1095" s="48" t="s">
        <v>1240</v>
      </c>
      <c r="B1095" s="120">
        <v>1.06E-2</v>
      </c>
      <c r="C1095" s="120">
        <v>5.9999999999999995E-4</v>
      </c>
      <c r="D1095" s="121"/>
      <c r="E1095" s="121"/>
      <c r="F1095" s="121"/>
      <c r="G1095" s="121"/>
      <c r="H1095" s="121"/>
      <c r="I1095" s="121"/>
      <c r="J1095" s="121"/>
      <c r="K1095" s="121"/>
      <c r="L1095" s="121"/>
      <c r="M1095" s="121"/>
      <c r="N1095" s="121"/>
      <c r="O1095" s="121"/>
      <c r="P1095" s="121"/>
      <c r="Q1095" s="121"/>
      <c r="R1095" s="121"/>
      <c r="S1095" s="121"/>
      <c r="T1095" s="121"/>
      <c r="U1095" s="121"/>
      <c r="V1095" s="121"/>
      <c r="W1095" s="121"/>
      <c r="X1095" s="121"/>
      <c r="Y1095" s="121"/>
      <c r="Z1095" s="121"/>
    </row>
    <row r="1096" spans="1:26" ht="14.25" customHeight="1" x14ac:dyDescent="0.35">
      <c r="A1096" s="48" t="s">
        <v>1241</v>
      </c>
      <c r="B1096" s="120">
        <v>7.8000000000000005E-3</v>
      </c>
      <c r="C1096" s="120">
        <v>5.9999999999999995E-4</v>
      </c>
      <c r="D1096" s="121"/>
      <c r="E1096" s="121"/>
      <c r="F1096" s="121"/>
      <c r="G1096" s="121"/>
      <c r="H1096" s="121"/>
      <c r="I1096" s="121"/>
      <c r="J1096" s="121"/>
      <c r="K1096" s="121"/>
      <c r="L1096" s="121"/>
      <c r="M1096" s="121"/>
      <c r="N1096" s="121"/>
      <c r="O1096" s="121"/>
      <c r="P1096" s="121"/>
      <c r="Q1096" s="121"/>
      <c r="R1096" s="121"/>
      <c r="S1096" s="121"/>
      <c r="T1096" s="121"/>
      <c r="U1096" s="121"/>
      <c r="V1096" s="121"/>
      <c r="W1096" s="121"/>
      <c r="X1096" s="121"/>
      <c r="Y1096" s="121"/>
      <c r="Z1096" s="121"/>
    </row>
    <row r="1097" spans="1:26" ht="14.25" customHeight="1" x14ac:dyDescent="0.35">
      <c r="A1097" s="48" t="s">
        <v>1242</v>
      </c>
      <c r="B1097" s="120">
        <v>1.8700000000000001E-2</v>
      </c>
      <c r="C1097" s="120">
        <v>7.000000000000001E-4</v>
      </c>
      <c r="D1097" s="121"/>
      <c r="E1097" s="121"/>
      <c r="F1097" s="121"/>
      <c r="G1097" s="121"/>
      <c r="H1097" s="121"/>
      <c r="I1097" s="121"/>
      <c r="J1097" s="121"/>
      <c r="K1097" s="121"/>
      <c r="L1097" s="121"/>
      <c r="M1097" s="121"/>
      <c r="N1097" s="121"/>
      <c r="O1097" s="121"/>
      <c r="P1097" s="121"/>
      <c r="Q1097" s="121"/>
      <c r="R1097" s="121"/>
      <c r="S1097" s="121"/>
      <c r="T1097" s="121"/>
      <c r="U1097" s="121"/>
      <c r="V1097" s="121"/>
      <c r="W1097" s="121"/>
      <c r="X1097" s="121"/>
      <c r="Y1097" s="121"/>
      <c r="Z1097" s="121"/>
    </row>
    <row r="1098" spans="1:26" ht="14.25" customHeight="1" x14ac:dyDescent="0.35">
      <c r="A1098" s="48" t="s">
        <v>1243</v>
      </c>
      <c r="B1098" s="120">
        <v>1.6000000000000001E-3</v>
      </c>
      <c r="C1098" s="120">
        <v>8.9999999999999998E-4</v>
      </c>
      <c r="D1098" s="121"/>
      <c r="E1098" s="121"/>
      <c r="F1098" s="121"/>
      <c r="G1098" s="121"/>
      <c r="H1098" s="121"/>
      <c r="I1098" s="121"/>
      <c r="J1098" s="121"/>
      <c r="K1098" s="121"/>
      <c r="L1098" s="121"/>
      <c r="M1098" s="121"/>
      <c r="N1098" s="121"/>
      <c r="O1098" s="121"/>
      <c r="P1098" s="121"/>
      <c r="Q1098" s="121"/>
      <c r="R1098" s="121"/>
      <c r="S1098" s="121"/>
      <c r="T1098" s="121"/>
      <c r="U1098" s="121"/>
      <c r="V1098" s="121"/>
      <c r="W1098" s="121"/>
      <c r="X1098" s="121"/>
      <c r="Y1098" s="121"/>
      <c r="Z1098" s="121"/>
    </row>
    <row r="1099" spans="1:26" ht="14.25" customHeight="1" x14ac:dyDescent="0.35">
      <c r="A1099" s="48" t="s">
        <v>1244</v>
      </c>
      <c r="B1099" s="120">
        <v>2.5099999999999997E-2</v>
      </c>
      <c r="C1099" s="120">
        <v>8.9999999999999998E-4</v>
      </c>
      <c r="D1099" s="121"/>
      <c r="E1099" s="121"/>
      <c r="F1099" s="121"/>
      <c r="G1099" s="121"/>
      <c r="H1099" s="121"/>
      <c r="I1099" s="121"/>
      <c r="J1099" s="121"/>
      <c r="K1099" s="121"/>
      <c r="L1099" s="121"/>
      <c r="M1099" s="121"/>
      <c r="N1099" s="121"/>
      <c r="O1099" s="121"/>
      <c r="P1099" s="121"/>
      <c r="Q1099" s="121"/>
      <c r="R1099" s="121"/>
      <c r="S1099" s="121"/>
      <c r="T1099" s="121"/>
      <c r="U1099" s="121"/>
      <c r="V1099" s="121"/>
      <c r="W1099" s="121"/>
      <c r="X1099" s="121"/>
      <c r="Y1099" s="121"/>
      <c r="Z1099" s="121"/>
    </row>
    <row r="1100" spans="1:26" ht="14.25" customHeight="1" x14ac:dyDescent="0.35">
      <c r="A1100" s="48" t="s">
        <v>1245</v>
      </c>
      <c r="B1100" s="120">
        <v>2.2499999999999999E-2</v>
      </c>
      <c r="C1100" s="120">
        <v>8.9999999999999998E-4</v>
      </c>
      <c r="D1100" s="121"/>
      <c r="E1100" s="121"/>
      <c r="F1100" s="121"/>
      <c r="G1100" s="121"/>
      <c r="H1100" s="121"/>
      <c r="I1100" s="121"/>
      <c r="J1100" s="121"/>
      <c r="K1100" s="121"/>
      <c r="L1100" s="121"/>
      <c r="M1100" s="121"/>
      <c r="N1100" s="121"/>
      <c r="O1100" s="121"/>
      <c r="P1100" s="121"/>
      <c r="Q1100" s="121"/>
      <c r="R1100" s="121"/>
      <c r="S1100" s="121"/>
      <c r="T1100" s="121"/>
      <c r="U1100" s="121"/>
      <c r="V1100" s="121"/>
      <c r="W1100" s="121"/>
      <c r="X1100" s="121"/>
      <c r="Y1100" s="121"/>
      <c r="Z1100" s="121"/>
    </row>
    <row r="1101" spans="1:26" ht="14.25" customHeight="1" x14ac:dyDescent="0.35">
      <c r="A1101" s="48" t="s">
        <v>1246</v>
      </c>
      <c r="B1101" s="120">
        <v>3.1200000000000002E-2</v>
      </c>
      <c r="C1101" s="120">
        <v>8.0000000000000004E-4</v>
      </c>
      <c r="D1101" s="121"/>
      <c r="E1101" s="121"/>
      <c r="F1101" s="121"/>
      <c r="G1101" s="121"/>
      <c r="H1101" s="121"/>
      <c r="I1101" s="121"/>
      <c r="J1101" s="121"/>
      <c r="K1101" s="121"/>
      <c r="L1101" s="121"/>
      <c r="M1101" s="121"/>
      <c r="N1101" s="121"/>
      <c r="O1101" s="121"/>
      <c r="P1101" s="121"/>
      <c r="Q1101" s="121"/>
      <c r="R1101" s="121"/>
      <c r="S1101" s="121"/>
      <c r="T1101" s="121"/>
      <c r="U1101" s="121"/>
      <c r="V1101" s="121"/>
      <c r="W1101" s="121"/>
      <c r="X1101" s="121"/>
      <c r="Y1101" s="121"/>
      <c r="Z1101" s="121"/>
    </row>
    <row r="1102" spans="1:26" ht="14.25" customHeight="1" x14ac:dyDescent="0.35">
      <c r="A1102" s="48" t="s">
        <v>1247</v>
      </c>
      <c r="B1102" s="120">
        <v>1.06E-2</v>
      </c>
      <c r="C1102" s="120">
        <v>8.9999999999999998E-4</v>
      </c>
      <c r="D1102" s="121"/>
      <c r="E1102" s="121"/>
      <c r="F1102" s="121"/>
      <c r="G1102" s="121"/>
      <c r="H1102" s="121"/>
      <c r="I1102" s="121"/>
      <c r="J1102" s="121"/>
      <c r="K1102" s="121"/>
      <c r="L1102" s="121"/>
      <c r="M1102" s="121"/>
      <c r="N1102" s="121"/>
      <c r="O1102" s="121"/>
      <c r="P1102" s="121"/>
      <c r="Q1102" s="121"/>
      <c r="R1102" s="121"/>
      <c r="S1102" s="121"/>
      <c r="T1102" s="121"/>
      <c r="U1102" s="121"/>
      <c r="V1102" s="121"/>
      <c r="W1102" s="121"/>
      <c r="X1102" s="121"/>
      <c r="Y1102" s="121"/>
      <c r="Z1102" s="121"/>
    </row>
    <row r="1103" spans="1:26" ht="14.25" customHeight="1" x14ac:dyDescent="0.35">
      <c r="A1103" s="48" t="s">
        <v>1248</v>
      </c>
      <c r="B1103" s="120">
        <v>5.5800000000000002E-2</v>
      </c>
      <c r="C1103" s="120">
        <v>1.1000000000000001E-3</v>
      </c>
      <c r="D1103" s="121"/>
      <c r="E1103" s="121"/>
      <c r="F1103" s="121"/>
      <c r="G1103" s="121"/>
      <c r="H1103" s="121"/>
      <c r="I1103" s="121"/>
      <c r="J1103" s="121"/>
      <c r="K1103" s="121"/>
      <c r="L1103" s="121"/>
      <c r="M1103" s="121"/>
      <c r="N1103" s="121"/>
      <c r="O1103" s="121"/>
      <c r="P1103" s="121"/>
      <c r="Q1103" s="121"/>
      <c r="R1103" s="121"/>
      <c r="S1103" s="121"/>
      <c r="T1103" s="121"/>
      <c r="U1103" s="121"/>
      <c r="V1103" s="121"/>
      <c r="W1103" s="121"/>
      <c r="X1103" s="121"/>
      <c r="Y1103" s="121"/>
      <c r="Z1103" s="121"/>
    </row>
    <row r="1104" spans="1:26" ht="14.25" customHeight="1" x14ac:dyDescent="0.35">
      <c r="A1104" s="48" t="s">
        <v>1249</v>
      </c>
      <c r="B1104" s="120">
        <v>-3.6499999999999998E-2</v>
      </c>
      <c r="C1104" s="120">
        <v>1.1000000000000001E-3</v>
      </c>
      <c r="D1104" s="121"/>
      <c r="E1104" s="121"/>
      <c r="F1104" s="121"/>
      <c r="G1104" s="121"/>
      <c r="H1104" s="121"/>
      <c r="I1104" s="121"/>
      <c r="J1104" s="121"/>
      <c r="K1104" s="121"/>
      <c r="L1104" s="121"/>
      <c r="M1104" s="121"/>
      <c r="N1104" s="121"/>
      <c r="O1104" s="121"/>
      <c r="P1104" s="121"/>
      <c r="Q1104" s="121"/>
      <c r="R1104" s="121"/>
      <c r="S1104" s="121"/>
      <c r="T1104" s="121"/>
      <c r="U1104" s="121"/>
      <c r="V1104" s="121"/>
      <c r="W1104" s="121"/>
      <c r="X1104" s="121"/>
      <c r="Y1104" s="121"/>
      <c r="Z1104" s="121"/>
    </row>
    <row r="1105" spans="1:26" ht="14.25" customHeight="1" x14ac:dyDescent="0.35">
      <c r="A1105" s="48" t="s">
        <v>1250</v>
      </c>
      <c r="B1105" s="120">
        <v>-2.35E-2</v>
      </c>
      <c r="C1105" s="120">
        <v>1.1999999999999999E-3</v>
      </c>
      <c r="D1105" s="121"/>
      <c r="E1105" s="121"/>
      <c r="F1105" s="121"/>
      <c r="G1105" s="121"/>
      <c r="H1105" s="121"/>
      <c r="I1105" s="121"/>
      <c r="J1105" s="121"/>
      <c r="K1105" s="121"/>
      <c r="L1105" s="121"/>
      <c r="M1105" s="121"/>
      <c r="N1105" s="121"/>
      <c r="O1105" s="121"/>
      <c r="P1105" s="121"/>
      <c r="Q1105" s="121"/>
      <c r="R1105" s="121"/>
      <c r="S1105" s="121"/>
      <c r="T1105" s="121"/>
      <c r="U1105" s="121"/>
      <c r="V1105" s="121"/>
      <c r="W1105" s="121"/>
      <c r="X1105" s="121"/>
      <c r="Y1105" s="121"/>
      <c r="Z1105" s="121"/>
    </row>
    <row r="1106" spans="1:26" ht="14.25" customHeight="1" x14ac:dyDescent="0.35">
      <c r="A1106" s="48" t="s">
        <v>1251</v>
      </c>
      <c r="B1106" s="120">
        <v>2.8999999999999998E-3</v>
      </c>
      <c r="C1106" s="120">
        <v>1.4000000000000002E-3</v>
      </c>
      <c r="D1106" s="121"/>
      <c r="E1106" s="121"/>
      <c r="F1106" s="121"/>
      <c r="G1106" s="121"/>
      <c r="H1106" s="121"/>
      <c r="I1106" s="121"/>
      <c r="J1106" s="121"/>
      <c r="K1106" s="121"/>
      <c r="L1106" s="121"/>
      <c r="M1106" s="121"/>
      <c r="N1106" s="121"/>
      <c r="O1106" s="121"/>
      <c r="P1106" s="121"/>
      <c r="Q1106" s="121"/>
      <c r="R1106" s="121"/>
      <c r="S1106" s="121"/>
      <c r="T1106" s="121"/>
      <c r="U1106" s="121"/>
      <c r="V1106" s="121"/>
      <c r="W1106" s="121"/>
      <c r="X1106" s="121"/>
      <c r="Y1106" s="121"/>
      <c r="Z1106" s="121"/>
    </row>
    <row r="1107" spans="1:26" ht="14.25" customHeight="1" x14ac:dyDescent="0.35">
      <c r="A1107" s="48" t="s">
        <v>1252</v>
      </c>
      <c r="B1107" s="120">
        <v>2.6499999999999999E-2</v>
      </c>
      <c r="C1107" s="120">
        <v>1.4000000000000002E-3</v>
      </c>
      <c r="D1107" s="121"/>
      <c r="E1107" s="121"/>
      <c r="F1107" s="121"/>
      <c r="G1107" s="121"/>
      <c r="H1107" s="121"/>
      <c r="I1107" s="121"/>
      <c r="J1107" s="121"/>
      <c r="K1107" s="121"/>
      <c r="L1107" s="121"/>
      <c r="M1107" s="121"/>
      <c r="N1107" s="121"/>
      <c r="O1107" s="121"/>
      <c r="P1107" s="121"/>
      <c r="Q1107" s="121"/>
      <c r="R1107" s="121"/>
      <c r="S1107" s="121"/>
      <c r="T1107" s="121"/>
      <c r="U1107" s="121"/>
      <c r="V1107" s="121"/>
      <c r="W1107" s="121"/>
      <c r="X1107" s="121"/>
      <c r="Y1107" s="121"/>
      <c r="Z1107" s="121"/>
    </row>
    <row r="1108" spans="1:26" ht="14.25" customHeight="1" x14ac:dyDescent="0.35">
      <c r="A1108" s="48" t="s">
        <v>1253</v>
      </c>
      <c r="B1108" s="120">
        <v>4.7999999999999996E-3</v>
      </c>
      <c r="C1108" s="120">
        <v>1.4000000000000002E-3</v>
      </c>
      <c r="D1108" s="121"/>
      <c r="E1108" s="121"/>
      <c r="F1108" s="121"/>
      <c r="G1108" s="121"/>
      <c r="H1108" s="121"/>
      <c r="I1108" s="121"/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</row>
    <row r="1109" spans="1:26" ht="14.25" customHeight="1" x14ac:dyDescent="0.35">
      <c r="A1109" s="48" t="s">
        <v>1254</v>
      </c>
      <c r="B1109" s="120">
        <v>3.1899999999999998E-2</v>
      </c>
      <c r="C1109" s="120">
        <v>1.6000000000000001E-3</v>
      </c>
      <c r="D1109" s="121"/>
      <c r="E1109" s="121"/>
      <c r="F1109" s="121"/>
      <c r="G1109" s="121"/>
      <c r="H1109" s="121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</row>
    <row r="1110" spans="1:26" ht="14.25" customHeight="1" x14ac:dyDescent="0.35">
      <c r="A1110" s="48" t="s">
        <v>1255</v>
      </c>
      <c r="B1110" s="120">
        <v>3.44E-2</v>
      </c>
      <c r="C1110" s="120">
        <v>1.6000000000000001E-3</v>
      </c>
      <c r="D1110" s="121"/>
      <c r="E1110" s="121"/>
      <c r="F1110" s="121"/>
      <c r="G1110" s="121"/>
      <c r="H1110" s="121"/>
      <c r="I1110" s="121"/>
      <c r="J1110" s="121"/>
      <c r="K1110" s="121"/>
      <c r="L1110" s="121"/>
      <c r="M1110" s="121"/>
      <c r="N1110" s="121"/>
      <c r="O1110" s="121"/>
      <c r="P1110" s="121"/>
      <c r="Q1110" s="121"/>
      <c r="R1110" s="121"/>
      <c r="S1110" s="121"/>
      <c r="T1110" s="121"/>
      <c r="U1110" s="121"/>
      <c r="V1110" s="121"/>
      <c r="W1110" s="121"/>
      <c r="X1110" s="121"/>
      <c r="Y1110" s="121"/>
      <c r="Z1110" s="121"/>
    </row>
    <row r="1111" spans="1:26" ht="14.25" customHeight="1" x14ac:dyDescent="0.35">
      <c r="A1111" s="48" t="s">
        <v>1256</v>
      </c>
      <c r="B1111" s="120">
        <v>5.9999999999999995E-4</v>
      </c>
      <c r="C1111" s="120">
        <v>1.5E-3</v>
      </c>
      <c r="D1111" s="121"/>
      <c r="E1111" s="121"/>
      <c r="F1111" s="121"/>
      <c r="G1111" s="121"/>
      <c r="H1111" s="121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</row>
    <row r="1112" spans="1:26" ht="14.25" customHeight="1" x14ac:dyDescent="0.35">
      <c r="A1112" s="48" t="s">
        <v>1257</v>
      </c>
      <c r="B1112" s="120">
        <v>-7.6799999999999993E-2</v>
      </c>
      <c r="C1112" s="120">
        <v>1.9E-3</v>
      </c>
      <c r="D1112" s="121"/>
      <c r="E1112" s="121"/>
      <c r="F1112" s="121"/>
      <c r="G1112" s="121"/>
      <c r="H1112" s="121"/>
      <c r="I1112" s="121"/>
      <c r="J1112" s="121"/>
      <c r="K1112" s="121"/>
      <c r="L1112" s="121"/>
      <c r="M1112" s="121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</row>
    <row r="1113" spans="1:26" ht="14.25" customHeight="1" x14ac:dyDescent="0.35">
      <c r="A1113" s="48" t="s">
        <v>1258</v>
      </c>
      <c r="B1113" s="120">
        <v>1.6899999999999998E-2</v>
      </c>
      <c r="C1113" s="120">
        <v>1.8E-3</v>
      </c>
      <c r="D1113" s="121"/>
      <c r="E1113" s="121"/>
      <c r="F1113" s="121"/>
      <c r="G1113" s="121"/>
      <c r="H1113" s="121"/>
      <c r="I1113" s="121"/>
      <c r="J1113" s="121"/>
      <c r="K1113" s="121"/>
      <c r="L1113" s="121"/>
      <c r="M1113" s="121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</row>
    <row r="1114" spans="1:26" ht="14.25" customHeight="1" x14ac:dyDescent="0.35">
      <c r="A1114" s="48" t="s">
        <v>1259</v>
      </c>
      <c r="B1114" s="120">
        <v>-9.5500000000000002E-2</v>
      </c>
      <c r="C1114" s="120">
        <v>1.9E-3</v>
      </c>
      <c r="D1114" s="121"/>
      <c r="E1114" s="121"/>
      <c r="F1114" s="121"/>
      <c r="G1114" s="121"/>
      <c r="H1114" s="121"/>
      <c r="I1114" s="121"/>
      <c r="J1114" s="121"/>
      <c r="K1114" s="121"/>
      <c r="L1114" s="121"/>
      <c r="M1114" s="121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</row>
    <row r="1115" spans="1:26" ht="14.25" customHeight="1" x14ac:dyDescent="0.35">
      <c r="A1115" s="48" t="s">
        <v>1260</v>
      </c>
      <c r="B1115" s="120">
        <v>8.4100000000000008E-2</v>
      </c>
      <c r="C1115" s="120">
        <v>2.0999999999999999E-3</v>
      </c>
      <c r="D1115" s="121"/>
      <c r="E1115" s="121"/>
      <c r="F1115" s="121"/>
      <c r="G1115" s="121"/>
      <c r="H1115" s="121"/>
      <c r="I1115" s="121"/>
      <c r="J1115" s="121"/>
      <c r="K1115" s="121"/>
      <c r="L1115" s="121"/>
      <c r="M1115" s="121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</row>
    <row r="1116" spans="1:26" ht="14.25" customHeight="1" x14ac:dyDescent="0.35">
      <c r="A1116" s="48" t="s">
        <v>1261</v>
      </c>
      <c r="B1116" s="120">
        <v>3.4000000000000002E-2</v>
      </c>
      <c r="C1116" s="120">
        <v>1.8E-3</v>
      </c>
      <c r="D1116" s="121"/>
      <c r="E1116" s="121"/>
      <c r="F1116" s="121"/>
      <c r="G1116" s="121"/>
      <c r="H1116" s="121"/>
      <c r="I1116" s="121"/>
      <c r="J1116" s="121"/>
      <c r="K1116" s="121"/>
      <c r="L1116" s="121"/>
      <c r="M1116" s="121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</row>
    <row r="1117" spans="1:26" ht="14.25" customHeight="1" x14ac:dyDescent="0.35">
      <c r="A1117" s="48" t="s">
        <v>1262</v>
      </c>
      <c r="B1117" s="120">
        <v>1.1000000000000001E-2</v>
      </c>
      <c r="C1117" s="120">
        <v>1.9E-3</v>
      </c>
      <c r="D1117" s="121"/>
      <c r="E1117" s="121"/>
      <c r="F1117" s="121"/>
      <c r="G1117" s="121"/>
      <c r="H1117" s="121"/>
      <c r="I1117" s="121"/>
      <c r="J1117" s="121"/>
      <c r="K1117" s="121"/>
      <c r="L1117" s="121"/>
      <c r="M1117" s="121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</row>
    <row r="1118" spans="1:26" ht="14.25" customHeight="1" x14ac:dyDescent="0.35">
      <c r="A1118" s="48" t="s">
        <v>1263</v>
      </c>
      <c r="B1118" s="120">
        <v>3.9599999999999996E-2</v>
      </c>
      <c r="C1118" s="120">
        <v>2.0999999999999999E-3</v>
      </c>
      <c r="D1118" s="121"/>
      <c r="E1118" s="121"/>
      <c r="F1118" s="121"/>
      <c r="G1118" s="121"/>
      <c r="H1118" s="121"/>
      <c r="I1118" s="121"/>
      <c r="J1118" s="121"/>
      <c r="K1118" s="121"/>
      <c r="L1118" s="121"/>
      <c r="M1118" s="121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</row>
    <row r="1119" spans="1:26" ht="14.25" customHeight="1" x14ac:dyDescent="0.35">
      <c r="A1119" s="48" t="s">
        <v>1264</v>
      </c>
      <c r="B1119" s="120">
        <v>-6.9400000000000003E-2</v>
      </c>
      <c r="C1119" s="120">
        <v>2.0999999999999999E-3</v>
      </c>
      <c r="D1119" s="121"/>
      <c r="E1119" s="121"/>
      <c r="F1119" s="121"/>
      <c r="G1119" s="121"/>
      <c r="H1119" s="121"/>
      <c r="I1119" s="121"/>
      <c r="J1119" s="121"/>
      <c r="K1119" s="121"/>
      <c r="L1119" s="121"/>
      <c r="M1119" s="121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</row>
    <row r="1120" spans="1:26" ht="14.25" customHeight="1" x14ac:dyDescent="0.35">
      <c r="A1120" s="48" t="s">
        <v>1265</v>
      </c>
      <c r="B1120" s="120">
        <v>6.93E-2</v>
      </c>
      <c r="C1120" s="120">
        <v>1.8E-3</v>
      </c>
      <c r="D1120" s="121"/>
      <c r="E1120" s="121"/>
      <c r="F1120" s="121"/>
      <c r="G1120" s="121"/>
      <c r="H1120" s="121"/>
      <c r="I1120" s="121"/>
      <c r="J1120" s="121"/>
      <c r="K1120" s="121"/>
      <c r="L1120" s="121"/>
      <c r="M1120" s="121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</row>
    <row r="1121" spans="1:26" ht="14.25" customHeight="1" x14ac:dyDescent="0.35">
      <c r="A1121" s="48" t="s">
        <v>1266</v>
      </c>
      <c r="B1121" s="120">
        <v>1.1899999999999999E-2</v>
      </c>
      <c r="C1121" s="120">
        <v>1.9E-3</v>
      </c>
      <c r="D1121" s="121"/>
      <c r="E1121" s="121"/>
      <c r="F1121" s="121"/>
      <c r="G1121" s="121"/>
      <c r="H1121" s="121"/>
      <c r="I1121" s="121"/>
      <c r="J1121" s="121"/>
      <c r="K1121" s="121"/>
      <c r="L1121" s="121"/>
      <c r="M1121" s="121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</row>
    <row r="1122" spans="1:26" ht="14.25" customHeight="1" x14ac:dyDescent="0.35">
      <c r="A1122" s="48" t="s">
        <v>1267</v>
      </c>
      <c r="B1122" s="120">
        <v>-2.58E-2</v>
      </c>
      <c r="C1122" s="120">
        <v>1.6000000000000001E-3</v>
      </c>
      <c r="D1122" s="121"/>
      <c r="E1122" s="121"/>
      <c r="F1122" s="121"/>
      <c r="G1122" s="121"/>
      <c r="H1122" s="121"/>
      <c r="I1122" s="121"/>
      <c r="J1122" s="121"/>
      <c r="K1122" s="121"/>
      <c r="L1122" s="121"/>
      <c r="M1122" s="121"/>
      <c r="N1122" s="121"/>
      <c r="O1122" s="121"/>
      <c r="P1122" s="121"/>
      <c r="Q1122" s="121"/>
      <c r="R1122" s="121"/>
      <c r="S1122" s="121"/>
      <c r="T1122" s="121"/>
      <c r="U1122" s="121"/>
      <c r="V1122" s="121"/>
      <c r="W1122" s="121"/>
      <c r="X1122" s="121"/>
      <c r="Y1122" s="121"/>
      <c r="Z1122" s="121"/>
    </row>
    <row r="1123" spans="1:26" ht="14.25" customHeight="1" x14ac:dyDescent="0.35">
      <c r="A1123" s="48" t="s">
        <v>1268</v>
      </c>
      <c r="B1123" s="120">
        <v>1.43E-2</v>
      </c>
      <c r="C1123" s="120">
        <v>1.8E-3</v>
      </c>
      <c r="D1123" s="121"/>
      <c r="E1123" s="121"/>
      <c r="F1123" s="121"/>
      <c r="G1123" s="121"/>
      <c r="H1123" s="121"/>
      <c r="I1123" s="121"/>
      <c r="J1123" s="121"/>
      <c r="K1123" s="121"/>
      <c r="L1123" s="121"/>
      <c r="M1123" s="121"/>
      <c r="N1123" s="121"/>
      <c r="O1123" s="121"/>
      <c r="P1123" s="121"/>
      <c r="Q1123" s="121"/>
      <c r="R1123" s="121"/>
      <c r="S1123" s="121"/>
      <c r="T1123" s="121"/>
      <c r="U1123" s="121"/>
      <c r="V1123" s="121"/>
      <c r="W1123" s="121"/>
      <c r="X1123" s="121"/>
      <c r="Y1123" s="121"/>
      <c r="Z1123" s="121"/>
    </row>
    <row r="1124" spans="1:26" ht="14.25" customHeight="1" x14ac:dyDescent="0.35">
      <c r="A1124" s="48" t="s">
        <v>1269</v>
      </c>
      <c r="B1124" s="120">
        <v>2.06E-2</v>
      </c>
      <c r="C1124" s="120">
        <v>1.5E-3</v>
      </c>
      <c r="D1124" s="121"/>
      <c r="E1124" s="121"/>
      <c r="F1124" s="121"/>
      <c r="G1124" s="121"/>
      <c r="H1124" s="121"/>
      <c r="I1124" s="121"/>
      <c r="J1124" s="121"/>
      <c r="K1124" s="121"/>
      <c r="L1124" s="121"/>
      <c r="M1124" s="121"/>
      <c r="N1124" s="121"/>
      <c r="O1124" s="121"/>
      <c r="P1124" s="121"/>
      <c r="Q1124" s="121"/>
      <c r="R1124" s="121"/>
      <c r="S1124" s="121"/>
      <c r="T1124" s="121"/>
      <c r="U1124" s="121"/>
      <c r="V1124" s="121"/>
      <c r="W1124" s="121"/>
      <c r="X1124" s="121"/>
      <c r="Y1124" s="121"/>
      <c r="Z1124" s="121"/>
    </row>
    <row r="1125" spans="1:26" ht="14.25" customHeight="1" x14ac:dyDescent="0.35">
      <c r="A1125" s="48" t="s">
        <v>1270</v>
      </c>
      <c r="B1125" s="120">
        <v>3.8699999999999998E-2</v>
      </c>
      <c r="C1125" s="120">
        <v>1.1999999999999999E-3</v>
      </c>
      <c r="D1125" s="121"/>
      <c r="E1125" s="121"/>
      <c r="F1125" s="121"/>
      <c r="G1125" s="121"/>
      <c r="H1125" s="121"/>
      <c r="I1125" s="121"/>
      <c r="J1125" s="121"/>
      <c r="K1125" s="121"/>
      <c r="L1125" s="121"/>
      <c r="M1125" s="121"/>
      <c r="N1125" s="121"/>
      <c r="O1125" s="121"/>
      <c r="P1125" s="121"/>
      <c r="Q1125" s="121"/>
      <c r="R1125" s="121"/>
      <c r="S1125" s="121"/>
      <c r="T1125" s="121"/>
      <c r="U1125" s="121"/>
      <c r="V1125" s="121"/>
      <c r="W1125" s="121"/>
      <c r="X1125" s="121"/>
      <c r="Y1125" s="121"/>
      <c r="Z1125" s="121"/>
    </row>
    <row r="1126" spans="1:26" ht="14.25" customHeight="1" x14ac:dyDescent="0.35">
      <c r="A1126" s="48" t="s">
        <v>1271</v>
      </c>
      <c r="B1126" s="120">
        <v>2.7699999999999999E-2</v>
      </c>
      <c r="C1126" s="120">
        <v>1.4000000000000002E-3</v>
      </c>
      <c r="D1126" s="121"/>
      <c r="E1126" s="121"/>
      <c r="F1126" s="121"/>
      <c r="G1126" s="121"/>
      <c r="H1126" s="121"/>
      <c r="I1126" s="121"/>
      <c r="J1126" s="121"/>
      <c r="K1126" s="121"/>
      <c r="L1126" s="121"/>
      <c r="M1126" s="121"/>
      <c r="N1126" s="121"/>
      <c r="O1126" s="121"/>
      <c r="P1126" s="121"/>
      <c r="Q1126" s="121"/>
      <c r="R1126" s="121"/>
      <c r="S1126" s="121"/>
      <c r="T1126" s="121"/>
      <c r="U1126" s="121"/>
      <c r="V1126" s="121"/>
      <c r="W1126" s="121"/>
      <c r="X1126" s="121"/>
      <c r="Y1126" s="121"/>
      <c r="Z1126" s="121"/>
    </row>
    <row r="1127" spans="1:26" ht="14.25" customHeight="1" x14ac:dyDescent="0.35">
      <c r="A1127" s="48" t="s">
        <v>1272</v>
      </c>
      <c r="B1127" s="120">
        <v>-1.1000000000000001E-3</v>
      </c>
      <c r="C1127" s="120">
        <v>1.2999999999999999E-3</v>
      </c>
      <c r="D1127" s="121"/>
      <c r="E1127" s="121"/>
      <c r="F1127" s="121"/>
      <c r="G1127" s="121"/>
      <c r="H1127" s="121"/>
      <c r="I1127" s="121"/>
      <c r="J1127" s="121"/>
      <c r="K1127" s="121"/>
      <c r="L1127" s="121"/>
      <c r="M1127" s="121"/>
      <c r="N1127" s="121"/>
      <c r="O1127" s="121"/>
      <c r="P1127" s="121"/>
      <c r="Q1127" s="121"/>
      <c r="R1127" s="121"/>
      <c r="S1127" s="121"/>
      <c r="T1127" s="121"/>
      <c r="U1127" s="121"/>
      <c r="V1127" s="121"/>
      <c r="W1127" s="121"/>
      <c r="X1127" s="121"/>
      <c r="Y1127" s="121"/>
      <c r="Z1127" s="121"/>
    </row>
    <row r="1128" spans="1:26" ht="14.25" customHeight="1" x14ac:dyDescent="0.35">
      <c r="A1128" s="48" t="s">
        <v>1273</v>
      </c>
      <c r="B1128" s="120">
        <v>-8.1300000000000011E-2</v>
      </c>
      <c r="C1128" s="120">
        <v>1.1999999999999999E-3</v>
      </c>
      <c r="D1128" s="121"/>
      <c r="E1128" s="121"/>
      <c r="F1128" s="121"/>
      <c r="G1128" s="121"/>
      <c r="H1128" s="121"/>
      <c r="I1128" s="121"/>
      <c r="J1128" s="121"/>
      <c r="K1128" s="121"/>
      <c r="L1128" s="121"/>
      <c r="M1128" s="121"/>
      <c r="N1128" s="121"/>
      <c r="O1128" s="121"/>
      <c r="P1128" s="121"/>
      <c r="Q1128" s="121"/>
      <c r="R1128" s="121"/>
      <c r="S1128" s="121"/>
      <c r="T1128" s="121"/>
      <c r="U1128" s="121"/>
      <c r="V1128" s="121"/>
      <c r="W1128" s="121"/>
      <c r="X1128" s="121"/>
      <c r="Y1128" s="121"/>
      <c r="Z1128" s="121"/>
    </row>
    <row r="1129" spans="1:26" ht="14.25" customHeight="1" x14ac:dyDescent="0.35">
      <c r="A1129" s="48" t="s">
        <v>1274</v>
      </c>
      <c r="B1129" s="120">
        <v>-0.1338</v>
      </c>
      <c r="C1129" s="120">
        <v>1.1999999999999999E-3</v>
      </c>
      <c r="D1129" s="121"/>
      <c r="E1129" s="121"/>
      <c r="F1129" s="121"/>
      <c r="G1129" s="121"/>
      <c r="H1129" s="121"/>
      <c r="I1129" s="121"/>
      <c r="J1129" s="121"/>
      <c r="K1129" s="121"/>
      <c r="L1129" s="121"/>
      <c r="M1129" s="121"/>
      <c r="N1129" s="121"/>
      <c r="O1129" s="121"/>
      <c r="P1129" s="121"/>
      <c r="Q1129" s="121"/>
      <c r="R1129" s="121"/>
      <c r="S1129" s="121"/>
      <c r="T1129" s="121"/>
      <c r="U1129" s="121"/>
      <c r="V1129" s="121"/>
      <c r="W1129" s="121"/>
      <c r="X1129" s="121"/>
      <c r="Y1129" s="121"/>
      <c r="Z1129" s="121"/>
    </row>
    <row r="1130" spans="1:26" ht="14.25" customHeight="1" x14ac:dyDescent="0.35">
      <c r="A1130" s="48" t="s">
        <v>1275</v>
      </c>
      <c r="B1130" s="120">
        <v>0.13650000000000001</v>
      </c>
      <c r="C1130" s="120">
        <v>0</v>
      </c>
      <c r="D1130" s="121"/>
      <c r="E1130" s="121"/>
      <c r="F1130" s="121"/>
      <c r="G1130" s="121"/>
      <c r="H1130" s="121"/>
      <c r="I1130" s="121"/>
      <c r="J1130" s="121"/>
      <c r="K1130" s="121"/>
      <c r="L1130" s="121"/>
      <c r="M1130" s="121"/>
      <c r="N1130" s="121"/>
      <c r="O1130" s="121"/>
      <c r="P1130" s="121"/>
      <c r="Q1130" s="121"/>
      <c r="R1130" s="121"/>
      <c r="S1130" s="121"/>
      <c r="T1130" s="121"/>
      <c r="U1130" s="121"/>
      <c r="V1130" s="121"/>
      <c r="W1130" s="121"/>
      <c r="X1130" s="121"/>
      <c r="Y1130" s="121"/>
      <c r="Z1130" s="121"/>
    </row>
    <row r="1131" spans="1:26" ht="14.25" customHeight="1" x14ac:dyDescent="0.35">
      <c r="A1131" s="48" t="s">
        <v>1276</v>
      </c>
      <c r="B1131" s="120">
        <v>5.5800000000000002E-2</v>
      </c>
      <c r="C1131" s="120">
        <v>1E-4</v>
      </c>
      <c r="D1131" s="121"/>
      <c r="E1131" s="121"/>
      <c r="F1131" s="121"/>
      <c r="G1131" s="121"/>
      <c r="H1131" s="121"/>
      <c r="I1131" s="121"/>
      <c r="J1131" s="121"/>
      <c r="K1131" s="121"/>
      <c r="L1131" s="121"/>
      <c r="M1131" s="121"/>
      <c r="N1131" s="121"/>
      <c r="O1131" s="121"/>
      <c r="P1131" s="121"/>
      <c r="Q1131" s="121"/>
      <c r="R1131" s="121"/>
      <c r="S1131" s="121"/>
      <c r="T1131" s="121"/>
      <c r="U1131" s="121"/>
      <c r="V1131" s="121"/>
      <c r="W1131" s="121"/>
      <c r="X1131" s="121"/>
      <c r="Y1131" s="121"/>
      <c r="Z1131" s="121"/>
    </row>
    <row r="1132" spans="1:26" ht="14.25" customHeight="1" x14ac:dyDescent="0.35">
      <c r="A1132" s="48" t="s">
        <v>1277</v>
      </c>
      <c r="B1132" s="120">
        <v>2.46E-2</v>
      </c>
      <c r="C1132" s="120">
        <v>1E-4</v>
      </c>
      <c r="D1132" s="121"/>
      <c r="E1132" s="121"/>
      <c r="F1132" s="121"/>
      <c r="G1132" s="121"/>
      <c r="H1132" s="121"/>
      <c r="I1132" s="121"/>
      <c r="J1132" s="121"/>
      <c r="K1132" s="121"/>
      <c r="L1132" s="121"/>
      <c r="M1132" s="121"/>
      <c r="N1132" s="121"/>
      <c r="O1132" s="121"/>
      <c r="P1132" s="121"/>
      <c r="Q1132" s="121"/>
      <c r="R1132" s="121"/>
      <c r="S1132" s="121"/>
      <c r="T1132" s="121"/>
      <c r="U1132" s="121"/>
      <c r="V1132" s="121"/>
      <c r="W1132" s="121"/>
      <c r="X1132" s="121"/>
      <c r="Y1132" s="121"/>
      <c r="Z1132" s="121"/>
    </row>
    <row r="1133" spans="1:26" ht="14.25" customHeight="1" x14ac:dyDescent="0.35">
      <c r="A1133" s="48" t="s">
        <v>1278</v>
      </c>
      <c r="B1133" s="120">
        <v>5.7699999999999994E-2</v>
      </c>
      <c r="C1133" s="120">
        <v>1E-4</v>
      </c>
      <c r="D1133" s="121"/>
      <c r="E1133" s="121"/>
      <c r="F1133" s="121"/>
      <c r="G1133" s="121"/>
      <c r="H1133" s="121"/>
      <c r="I1133" s="121"/>
      <c r="J1133" s="121"/>
      <c r="K1133" s="121"/>
      <c r="L1133" s="121"/>
      <c r="M1133" s="121"/>
      <c r="N1133" s="121"/>
      <c r="O1133" s="121"/>
      <c r="P1133" s="121"/>
      <c r="Q1133" s="121"/>
      <c r="R1133" s="121"/>
      <c r="S1133" s="121"/>
      <c r="T1133" s="121"/>
      <c r="U1133" s="121"/>
      <c r="V1133" s="121"/>
      <c r="W1133" s="121"/>
      <c r="X1133" s="121"/>
      <c r="Y1133" s="121"/>
      <c r="Z1133" s="121"/>
    </row>
    <row r="1134" spans="1:26" ht="14.25" customHeight="1" x14ac:dyDescent="0.35">
      <c r="A1134" s="48" t="s">
        <v>1279</v>
      </c>
      <c r="B1134" s="120">
        <v>7.6299999999999993E-2</v>
      </c>
      <c r="C1134" s="120">
        <v>1E-4</v>
      </c>
      <c r="D1134" s="121"/>
      <c r="E1134" s="121"/>
      <c r="F1134" s="121"/>
      <c r="G1134" s="121"/>
      <c r="H1134" s="121"/>
      <c r="I1134" s="121"/>
      <c r="J1134" s="121"/>
      <c r="K1134" s="121"/>
      <c r="L1134" s="121"/>
      <c r="M1134" s="121"/>
      <c r="N1134" s="121"/>
      <c r="O1134" s="121"/>
      <c r="P1134" s="121"/>
      <c r="Q1134" s="121"/>
      <c r="R1134" s="121"/>
      <c r="S1134" s="121"/>
      <c r="T1134" s="121"/>
      <c r="U1134" s="121"/>
      <c r="V1134" s="121"/>
      <c r="W1134" s="121"/>
      <c r="X1134" s="121"/>
      <c r="Y1134" s="121"/>
      <c r="Z1134" s="121"/>
    </row>
    <row r="1135" spans="1:26" ht="14.25" customHeight="1" x14ac:dyDescent="0.35">
      <c r="A1135" s="48" t="s">
        <v>1280</v>
      </c>
      <c r="B1135" s="120">
        <v>-3.6299999999999999E-2</v>
      </c>
      <c r="C1135" s="120">
        <v>1E-4</v>
      </c>
      <c r="D1135" s="121"/>
      <c r="E1135" s="121"/>
      <c r="F1135" s="121"/>
      <c r="G1135" s="121"/>
      <c r="H1135" s="121"/>
      <c r="I1135" s="121"/>
      <c r="J1135" s="121"/>
      <c r="K1135" s="121"/>
      <c r="L1135" s="121"/>
      <c r="M1135" s="121"/>
      <c r="N1135" s="121"/>
      <c r="O1135" s="121"/>
      <c r="P1135" s="121"/>
      <c r="Q1135" s="121"/>
      <c r="R1135" s="121"/>
      <c r="S1135" s="121"/>
      <c r="T1135" s="121"/>
      <c r="U1135" s="121"/>
      <c r="V1135" s="121"/>
      <c r="W1135" s="121"/>
      <c r="X1135" s="121"/>
      <c r="Y1135" s="121"/>
      <c r="Z1135" s="121"/>
    </row>
    <row r="1136" spans="1:26" ht="14.25" customHeight="1" x14ac:dyDescent="0.35">
      <c r="A1136" s="48" t="s">
        <v>1281</v>
      </c>
      <c r="B1136" s="120">
        <v>-2.1000000000000001E-2</v>
      </c>
      <c r="C1136" s="120">
        <v>1E-4</v>
      </c>
      <c r="D1136" s="121"/>
      <c r="E1136" s="121"/>
      <c r="F1136" s="121"/>
      <c r="G1136" s="121"/>
      <c r="H1136" s="121"/>
      <c r="I1136" s="121"/>
      <c r="J1136" s="121"/>
      <c r="K1136" s="121"/>
      <c r="L1136" s="121"/>
      <c r="M1136" s="121"/>
      <c r="N1136" s="121"/>
      <c r="O1136" s="121"/>
      <c r="P1136" s="121"/>
      <c r="Q1136" s="121"/>
      <c r="R1136" s="121"/>
      <c r="S1136" s="121"/>
      <c r="T1136" s="121"/>
      <c r="U1136" s="121"/>
      <c r="V1136" s="121"/>
      <c r="W1136" s="121"/>
      <c r="X1136" s="121"/>
      <c r="Y1136" s="121"/>
      <c r="Z1136" s="121"/>
    </row>
    <row r="1137" spans="1:26" ht="14.25" customHeight="1" x14ac:dyDescent="0.35">
      <c r="A1137" s="48" t="s">
        <v>1282</v>
      </c>
      <c r="B1137" s="120">
        <v>0.12470000000000001</v>
      </c>
      <c r="C1137" s="120">
        <v>1E-4</v>
      </c>
      <c r="D1137" s="121"/>
      <c r="E1137" s="121"/>
      <c r="F1137" s="121"/>
      <c r="G1137" s="121"/>
      <c r="H1137" s="121"/>
      <c r="I1137" s="121"/>
      <c r="J1137" s="121"/>
      <c r="K1137" s="121"/>
      <c r="L1137" s="121"/>
      <c r="M1137" s="121"/>
      <c r="N1137" s="121"/>
      <c r="O1137" s="121"/>
      <c r="P1137" s="121"/>
      <c r="Q1137" s="121"/>
      <c r="R1137" s="121"/>
      <c r="S1137" s="121"/>
      <c r="T1137" s="121"/>
      <c r="U1137" s="121"/>
      <c r="V1137" s="121"/>
      <c r="W1137" s="121"/>
      <c r="X1137" s="121"/>
      <c r="Y1137" s="121"/>
      <c r="Z1137" s="121"/>
    </row>
    <row r="1138" spans="1:26" ht="14.25" customHeight="1" x14ac:dyDescent="0.35">
      <c r="A1138" s="48" t="s">
        <v>1283</v>
      </c>
      <c r="B1138" s="120">
        <v>4.6300000000000001E-2</v>
      </c>
      <c r="C1138" s="120">
        <v>1E-4</v>
      </c>
      <c r="D1138" s="121"/>
      <c r="E1138" s="121"/>
      <c r="F1138" s="121"/>
      <c r="G1138" s="121"/>
      <c r="H1138" s="121"/>
      <c r="I1138" s="121"/>
      <c r="J1138" s="121"/>
      <c r="K1138" s="121"/>
      <c r="L1138" s="121"/>
      <c r="M1138" s="121"/>
      <c r="N1138" s="121"/>
      <c r="O1138" s="121"/>
      <c r="P1138" s="121"/>
      <c r="Q1138" s="121"/>
      <c r="R1138" s="121"/>
      <c r="S1138" s="121"/>
      <c r="T1138" s="121"/>
      <c r="U1138" s="121"/>
      <c r="V1138" s="121"/>
      <c r="W1138" s="121"/>
      <c r="X1138" s="121"/>
      <c r="Y1138" s="121"/>
      <c r="Z1138" s="121"/>
    </row>
    <row r="1139" spans="1:26" ht="14.25" customHeight="1" x14ac:dyDescent="0.35">
      <c r="A1139" s="48" t="s">
        <v>1284</v>
      </c>
      <c r="B1139" s="120">
        <v>-2.9999999999999997E-4</v>
      </c>
      <c r="C1139" s="120">
        <v>0</v>
      </c>
      <c r="D1139" s="121"/>
      <c r="E1139" s="121"/>
      <c r="F1139" s="121"/>
      <c r="G1139" s="121"/>
      <c r="H1139" s="121"/>
      <c r="I1139" s="121"/>
      <c r="J1139" s="121"/>
      <c r="K1139" s="121"/>
      <c r="L1139" s="121"/>
      <c r="M1139" s="121"/>
      <c r="N1139" s="121"/>
      <c r="O1139" s="121"/>
      <c r="P1139" s="121"/>
      <c r="Q1139" s="121"/>
      <c r="R1139" s="121"/>
      <c r="S1139" s="121"/>
      <c r="T1139" s="121"/>
      <c r="U1139" s="121"/>
      <c r="V1139" s="121"/>
      <c r="W1139" s="121"/>
      <c r="X1139" s="121"/>
      <c r="Y1139" s="121"/>
      <c r="Z1139" s="121"/>
    </row>
    <row r="1140" spans="1:26" ht="14.25" customHeight="1" x14ac:dyDescent="0.35">
      <c r="A1140" s="48" t="s">
        <v>1285</v>
      </c>
      <c r="B1140" s="120">
        <v>2.7799999999999998E-2</v>
      </c>
      <c r="C1140" s="120">
        <v>0</v>
      </c>
      <c r="D1140" s="121"/>
      <c r="E1140" s="121"/>
      <c r="F1140" s="121"/>
      <c r="G1140" s="121"/>
      <c r="H1140" s="121"/>
      <c r="I1140" s="121"/>
      <c r="J1140" s="121"/>
      <c r="K1140" s="121"/>
      <c r="L1140" s="121"/>
      <c r="M1140" s="121"/>
      <c r="N1140" s="121"/>
      <c r="O1140" s="121"/>
      <c r="P1140" s="121"/>
      <c r="Q1140" s="121"/>
      <c r="R1140" s="121"/>
      <c r="S1140" s="121"/>
      <c r="T1140" s="121"/>
      <c r="U1140" s="121"/>
      <c r="V1140" s="121"/>
      <c r="W1140" s="121"/>
      <c r="X1140" s="121"/>
      <c r="Y1140" s="121"/>
      <c r="Z1140" s="121"/>
    </row>
    <row r="1141" spans="1:26" ht="14.25" customHeight="1" x14ac:dyDescent="0.35">
      <c r="A1141" s="48" t="s">
        <v>1286</v>
      </c>
      <c r="B1141" s="120">
        <v>3.0800000000000001E-2</v>
      </c>
      <c r="C1141" s="120">
        <v>0</v>
      </c>
      <c r="D1141" s="121"/>
      <c r="E1141" s="121"/>
      <c r="F1141" s="121"/>
      <c r="G1141" s="121"/>
      <c r="H1141" s="121"/>
      <c r="I1141" s="121"/>
      <c r="J1141" s="121"/>
      <c r="K1141" s="121"/>
      <c r="L1141" s="121"/>
      <c r="M1141" s="121"/>
      <c r="N1141" s="121"/>
      <c r="O1141" s="121"/>
      <c r="P1141" s="121"/>
      <c r="Q1141" s="121"/>
      <c r="R1141" s="121"/>
      <c r="S1141" s="121"/>
      <c r="T1141" s="121"/>
      <c r="U1141" s="121"/>
      <c r="V1141" s="121"/>
      <c r="W1141" s="121"/>
      <c r="X1141" s="121"/>
      <c r="Y1141" s="121"/>
      <c r="Z1141" s="121"/>
    </row>
    <row r="1142" spans="1:26" ht="14.25" customHeight="1" x14ac:dyDescent="0.35">
      <c r="A1142" s="48" t="s">
        <v>1287</v>
      </c>
      <c r="B1142" s="120">
        <v>4.9299999999999997E-2</v>
      </c>
      <c r="C1142" s="120">
        <v>0</v>
      </c>
      <c r="D1142" s="121"/>
      <c r="E1142" s="121"/>
      <c r="F1142" s="121"/>
      <c r="G1142" s="121"/>
      <c r="H1142" s="121"/>
      <c r="I1142" s="121"/>
      <c r="J1142" s="121"/>
      <c r="K1142" s="121"/>
      <c r="L1142" s="121"/>
      <c r="M1142" s="121"/>
      <c r="N1142" s="121"/>
      <c r="O1142" s="121"/>
      <c r="P1142" s="121"/>
      <c r="Q1142" s="121"/>
      <c r="R1142" s="121"/>
      <c r="S1142" s="121"/>
      <c r="T1142" s="121"/>
      <c r="U1142" s="121"/>
      <c r="V1142" s="121"/>
      <c r="W1142" s="121"/>
      <c r="X1142" s="121"/>
      <c r="Y1142" s="121"/>
      <c r="Z1142" s="121"/>
    </row>
    <row r="1143" spans="1:26" ht="14.25" customHeight="1" x14ac:dyDescent="0.35">
      <c r="A1143" s="48" t="s">
        <v>1288</v>
      </c>
      <c r="B1143" s="120">
        <v>2.8999999999999998E-3</v>
      </c>
      <c r="C1143" s="120">
        <v>0</v>
      </c>
      <c r="D1143" s="121"/>
      <c r="E1143" s="121"/>
      <c r="F1143" s="121"/>
      <c r="G1143" s="121"/>
      <c r="H1143" s="121"/>
      <c r="I1143" s="121"/>
      <c r="J1143" s="121"/>
      <c r="K1143" s="121"/>
      <c r="L1143" s="121"/>
      <c r="M1143" s="121"/>
      <c r="N1143" s="121"/>
      <c r="O1143" s="121"/>
      <c r="P1143" s="121"/>
      <c r="Q1143" s="121"/>
      <c r="R1143" s="121"/>
      <c r="S1143" s="121"/>
      <c r="T1143" s="121"/>
      <c r="U1143" s="121"/>
      <c r="V1143" s="121"/>
      <c r="W1143" s="121"/>
      <c r="X1143" s="121"/>
      <c r="Y1143" s="121"/>
      <c r="Z1143" s="121"/>
    </row>
    <row r="1144" spans="1:26" ht="14.25" customHeight="1" x14ac:dyDescent="0.35">
      <c r="A1144" s="48" t="s">
        <v>1289</v>
      </c>
      <c r="B1144" s="120">
        <v>2.75E-2</v>
      </c>
      <c r="C1144" s="120">
        <v>0</v>
      </c>
      <c r="D1144" s="121"/>
      <c r="E1144" s="121"/>
      <c r="F1144" s="121"/>
      <c r="G1144" s="121"/>
      <c r="H1144" s="121"/>
      <c r="I1144" s="121"/>
      <c r="J1144" s="121"/>
      <c r="K1144" s="121"/>
      <c r="L1144" s="121"/>
      <c r="M1144" s="121"/>
      <c r="N1144" s="121"/>
      <c r="O1144" s="121"/>
      <c r="P1144" s="121"/>
      <c r="Q1144" s="121"/>
      <c r="R1144" s="121"/>
      <c r="S1144" s="121"/>
      <c r="T1144" s="121"/>
      <c r="U1144" s="121"/>
      <c r="V1144" s="121"/>
      <c r="W1144" s="121"/>
      <c r="X1144" s="121"/>
      <c r="Y1144" s="121"/>
      <c r="Z1144" s="121"/>
    </row>
    <row r="1145" spans="1:26" ht="14.25" customHeight="1" x14ac:dyDescent="0.35">
      <c r="A1145" s="48" t="s">
        <v>1290</v>
      </c>
      <c r="B1145" s="120">
        <v>1.2699999999999999E-2</v>
      </c>
      <c r="C1145" s="120">
        <v>0</v>
      </c>
      <c r="D1145" s="121"/>
      <c r="E1145" s="121"/>
      <c r="F1145" s="121"/>
      <c r="G1145" s="121"/>
      <c r="H1145" s="121"/>
      <c r="I1145" s="121"/>
      <c r="J1145" s="121"/>
      <c r="K1145" s="121"/>
      <c r="L1145" s="121"/>
      <c r="M1145" s="121"/>
      <c r="N1145" s="121"/>
      <c r="O1145" s="121"/>
      <c r="P1145" s="121"/>
      <c r="Q1145" s="121"/>
      <c r="R1145" s="121"/>
      <c r="S1145" s="121"/>
      <c r="T1145" s="121"/>
      <c r="U1145" s="121"/>
      <c r="V1145" s="121"/>
      <c r="W1145" s="121"/>
      <c r="X1145" s="121"/>
      <c r="Y1145" s="121"/>
      <c r="Z1145" s="121"/>
    </row>
    <row r="1146" spans="1:26" ht="14.25" customHeight="1" x14ac:dyDescent="0.35">
      <c r="A1146" s="48" t="s">
        <v>1291</v>
      </c>
      <c r="B1146" s="120">
        <v>2.8999999999999998E-2</v>
      </c>
      <c r="C1146" s="120">
        <v>0</v>
      </c>
      <c r="D1146" s="121"/>
      <c r="E1146" s="121"/>
      <c r="F1146" s="121"/>
      <c r="G1146" s="121"/>
      <c r="H1146" s="121"/>
      <c r="I1146" s="121"/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</row>
    <row r="1147" spans="1:26" ht="14.25" customHeight="1" x14ac:dyDescent="0.35">
      <c r="A1147" s="48" t="s">
        <v>1292</v>
      </c>
      <c r="B1147" s="120">
        <v>-4.3700000000000003E-2</v>
      </c>
      <c r="C1147" s="120">
        <v>0</v>
      </c>
      <c r="D1147" s="121"/>
      <c r="E1147" s="121"/>
      <c r="F1147" s="121"/>
      <c r="G1147" s="121"/>
      <c r="H1147" s="121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</row>
    <row r="1148" spans="1:26" ht="14.25" customHeight="1" x14ac:dyDescent="0.35">
      <c r="A1148" s="48" t="s">
        <v>1293</v>
      </c>
      <c r="B1148" s="120">
        <v>6.6500000000000004E-2</v>
      </c>
      <c r="C1148" s="120">
        <v>0</v>
      </c>
      <c r="D1148" s="121"/>
      <c r="E1148" s="121"/>
      <c r="F1148" s="121"/>
      <c r="G1148" s="121"/>
      <c r="H1148" s="121"/>
      <c r="I1148" s="121"/>
      <c r="J1148" s="121"/>
      <c r="K1148" s="121"/>
      <c r="L1148" s="121"/>
      <c r="M1148" s="121"/>
      <c r="N1148" s="121"/>
      <c r="O1148" s="121"/>
      <c r="P1148" s="121"/>
      <c r="Q1148" s="121"/>
      <c r="R1148" s="121"/>
      <c r="S1148" s="121"/>
      <c r="T1148" s="121"/>
      <c r="U1148" s="121"/>
      <c r="V1148" s="121"/>
      <c r="W1148" s="121"/>
      <c r="X1148" s="121"/>
      <c r="Y1148" s="121"/>
      <c r="Z1148" s="121"/>
    </row>
    <row r="1149" spans="1:26" ht="14.25" customHeight="1" x14ac:dyDescent="0.35">
      <c r="A1149" s="48" t="s">
        <v>1294</v>
      </c>
      <c r="B1149" s="120">
        <v>-1.55E-2</v>
      </c>
      <c r="C1149" s="120">
        <v>0</v>
      </c>
      <c r="D1149" s="121"/>
      <c r="E1149" s="121"/>
      <c r="F1149" s="121"/>
      <c r="G1149" s="121"/>
      <c r="H1149" s="121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</row>
    <row r="1150" spans="1:26" ht="14.25" customHeight="1" x14ac:dyDescent="0.35">
      <c r="A1150" s="48" t="s">
        <v>1295</v>
      </c>
      <c r="B1150" s="120">
        <v>3.1E-2</v>
      </c>
      <c r="C1150" s="120">
        <v>1E-4</v>
      </c>
      <c r="D1150" s="121"/>
      <c r="E1150" s="121"/>
      <c r="F1150" s="121"/>
      <c r="G1150" s="121"/>
      <c r="H1150" s="121"/>
      <c r="I1150" s="121"/>
      <c r="J1150" s="121"/>
      <c r="K1150" s="121"/>
      <c r="L1150" s="121"/>
      <c r="M1150" s="121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</row>
    <row r="1151" spans="1:26" ht="14.25" customHeight="1" x14ac:dyDescent="0.35">
      <c r="A1151" s="124" t="s">
        <v>1296</v>
      </c>
      <c r="B1151" s="120">
        <v>-6.25E-2</v>
      </c>
      <c r="C1151" s="120">
        <v>0</v>
      </c>
      <c r="D1151" s="121"/>
      <c r="E1151" s="121"/>
      <c r="F1151" s="121"/>
      <c r="G1151" s="121"/>
      <c r="H1151" s="121"/>
      <c r="I1151" s="121"/>
      <c r="J1151" s="121"/>
      <c r="K1151" s="121"/>
      <c r="L1151" s="121"/>
      <c r="M1151" s="121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</row>
    <row r="1152" spans="1:26" ht="14.25" customHeight="1" x14ac:dyDescent="0.35">
      <c r="A1152" s="124" t="s">
        <v>1297</v>
      </c>
      <c r="B1152" s="120">
        <v>-2.29E-2</v>
      </c>
      <c r="C1152" s="120">
        <v>0</v>
      </c>
      <c r="D1152" s="121"/>
      <c r="E1152" s="121"/>
      <c r="F1152" s="121"/>
      <c r="G1152" s="121"/>
      <c r="H1152" s="121"/>
      <c r="I1152" s="121"/>
      <c r="J1152" s="121"/>
      <c r="K1152" s="121"/>
      <c r="L1152" s="121"/>
      <c r="M1152" s="121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</row>
    <row r="1153" spans="1:26" ht="14.25" customHeight="1" x14ac:dyDescent="0.35">
      <c r="A1153" s="124" t="s">
        <v>1298</v>
      </c>
      <c r="B1153" s="120">
        <v>3.0499999999999999E-2</v>
      </c>
      <c r="C1153" s="120">
        <v>1E-4</v>
      </c>
      <c r="D1153" s="121"/>
      <c r="E1153" s="121"/>
      <c r="F1153" s="121"/>
      <c r="G1153" s="121"/>
      <c r="H1153" s="121"/>
      <c r="I1153" s="121"/>
      <c r="J1153" s="121"/>
      <c r="K1153" s="121"/>
      <c r="L1153" s="121"/>
      <c r="M1153" s="121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</row>
    <row r="1154" spans="1:26" ht="14.25" customHeight="1" x14ac:dyDescent="0.35">
      <c r="A1154" s="124" t="s">
        <v>1299</v>
      </c>
      <c r="B1154" s="120">
        <v>-9.4600000000000004E-2</v>
      </c>
      <c r="C1154" s="120">
        <v>1E-4</v>
      </c>
      <c r="D1154" s="121"/>
      <c r="E1154" s="121"/>
      <c r="F1154" s="121"/>
      <c r="G1154" s="121"/>
      <c r="H1154" s="121"/>
      <c r="I1154" s="121"/>
      <c r="J1154" s="121"/>
      <c r="K1154" s="121"/>
      <c r="L1154" s="121"/>
      <c r="M1154" s="121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</row>
    <row r="1155" spans="1:26" ht="14.25" customHeight="1" x14ac:dyDescent="0.35">
      <c r="A1155" s="124" t="s">
        <v>1300</v>
      </c>
      <c r="B1155" s="120">
        <v>-3.4000000000000002E-3</v>
      </c>
      <c r="C1155" s="120">
        <v>2.9999999999999997E-4</v>
      </c>
      <c r="D1155" s="121"/>
      <c r="E1155" s="121"/>
      <c r="F1155" s="121"/>
      <c r="G1155" s="121"/>
      <c r="H1155" s="121"/>
      <c r="I1155" s="121"/>
      <c r="J1155" s="121"/>
      <c r="K1155" s="121"/>
      <c r="L1155" s="121"/>
      <c r="M1155" s="121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</row>
    <row r="1156" spans="1:26" ht="14.25" customHeight="1" x14ac:dyDescent="0.35">
      <c r="A1156" s="124" t="s">
        <v>1301</v>
      </c>
      <c r="B1156" s="120">
        <v>-8.43E-2</v>
      </c>
      <c r="C1156" s="120">
        <v>5.9999999999999995E-4</v>
      </c>
      <c r="D1156" s="121"/>
      <c r="E1156" s="121"/>
      <c r="F1156" s="121"/>
      <c r="G1156" s="121"/>
      <c r="H1156" s="121"/>
      <c r="I1156" s="121"/>
      <c r="J1156" s="121"/>
      <c r="K1156" s="121"/>
      <c r="L1156" s="121"/>
      <c r="M1156" s="121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</row>
    <row r="1157" spans="1:26" ht="14.25" customHeight="1" x14ac:dyDescent="0.35">
      <c r="A1157" s="124" t="s">
        <v>1302</v>
      </c>
      <c r="B1157" s="120">
        <v>9.5700000000000007E-2</v>
      </c>
      <c r="C1157" s="120">
        <v>8.0000000000000004E-4</v>
      </c>
      <c r="D1157" s="121"/>
      <c r="E1157" s="121"/>
      <c r="F1157" s="121"/>
      <c r="G1157" s="121"/>
      <c r="H1157" s="121"/>
      <c r="I1157" s="121"/>
      <c r="J1157" s="121"/>
      <c r="K1157" s="121"/>
      <c r="L1157" s="121"/>
      <c r="M1157" s="121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</row>
    <row r="1158" spans="1:26" ht="14.25" customHeight="1" x14ac:dyDescent="0.35">
      <c r="A1158" s="124" t="s">
        <v>1303</v>
      </c>
      <c r="B1158" s="120">
        <v>-3.7699999999999997E-2</v>
      </c>
      <c r="C1158" s="120">
        <v>1.9E-3</v>
      </c>
      <c r="D1158" s="121"/>
      <c r="E1158" s="121"/>
      <c r="F1158" s="121"/>
      <c r="G1158" s="121"/>
      <c r="H1158" s="121"/>
      <c r="I1158" s="121"/>
      <c r="J1158" s="121"/>
      <c r="K1158" s="121"/>
      <c r="L1158" s="121"/>
      <c r="M1158" s="121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</row>
    <row r="1159" spans="1:26" ht="14.25" customHeight="1" x14ac:dyDescent="0.35">
      <c r="A1159" s="124" t="s">
        <v>1304</v>
      </c>
      <c r="B1159" s="120">
        <v>-9.35E-2</v>
      </c>
      <c r="C1159" s="120">
        <v>1.9E-3</v>
      </c>
      <c r="D1159" s="121"/>
      <c r="E1159" s="121"/>
      <c r="F1159" s="121"/>
      <c r="G1159" s="121"/>
      <c r="H1159" s="121"/>
      <c r="I1159" s="121"/>
      <c r="J1159" s="121"/>
      <c r="K1159" s="121"/>
      <c r="L1159" s="121"/>
      <c r="M1159" s="121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</row>
    <row r="1160" spans="1:26" ht="14.25" customHeight="1" x14ac:dyDescent="0.35">
      <c r="A1160" s="124" t="s">
        <v>1305</v>
      </c>
      <c r="B1160" s="120">
        <v>7.8299999999999995E-2</v>
      </c>
      <c r="C1160" s="120">
        <v>2.3E-3</v>
      </c>
      <c r="D1160" s="121"/>
      <c r="E1160" s="121"/>
      <c r="F1160" s="121"/>
      <c r="G1160" s="121"/>
      <c r="H1160" s="121"/>
      <c r="I1160" s="121"/>
      <c r="J1160" s="121"/>
      <c r="K1160" s="121"/>
      <c r="L1160" s="121"/>
      <c r="M1160" s="121"/>
      <c r="N1160" s="121"/>
      <c r="O1160" s="121"/>
      <c r="P1160" s="121"/>
      <c r="Q1160" s="121"/>
      <c r="R1160" s="121"/>
      <c r="S1160" s="121"/>
      <c r="T1160" s="121"/>
      <c r="U1160" s="121"/>
      <c r="V1160" s="121"/>
      <c r="W1160" s="121"/>
      <c r="X1160" s="121"/>
      <c r="Y1160" s="121"/>
      <c r="Z1160" s="121"/>
    </row>
    <row r="1161" spans="1:26" ht="14.25" customHeight="1" x14ac:dyDescent="0.35">
      <c r="A1161" s="124" t="s">
        <v>1306</v>
      </c>
      <c r="B1161" s="120">
        <v>4.5999999999999999E-2</v>
      </c>
      <c r="C1161" s="120">
        <v>2.8999999999999998E-3</v>
      </c>
      <c r="D1161" s="121"/>
      <c r="E1161" s="121"/>
      <c r="F1161" s="121"/>
      <c r="G1161" s="121"/>
      <c r="H1161" s="121"/>
      <c r="I1161" s="121"/>
      <c r="J1161" s="121"/>
      <c r="K1161" s="121"/>
      <c r="L1161" s="121"/>
      <c r="M1161" s="121"/>
      <c r="N1161" s="121"/>
      <c r="O1161" s="121"/>
      <c r="P1161" s="121"/>
      <c r="Q1161" s="121"/>
      <c r="R1161" s="121"/>
      <c r="S1161" s="121"/>
      <c r="T1161" s="121"/>
      <c r="U1161" s="121"/>
      <c r="V1161" s="121"/>
      <c r="W1161" s="121"/>
      <c r="X1161" s="121"/>
      <c r="Y1161" s="121"/>
      <c r="Z1161" s="121"/>
    </row>
    <row r="1162" spans="1:26" ht="14.25" customHeight="1" x14ac:dyDescent="0.35">
      <c r="A1162" s="124" t="s">
        <v>1307</v>
      </c>
      <c r="B1162" s="120">
        <v>-6.4100000000000004E-2</v>
      </c>
      <c r="C1162" s="120">
        <v>3.3E-3</v>
      </c>
      <c r="D1162" s="121"/>
      <c r="E1162" s="121"/>
      <c r="F1162" s="121"/>
      <c r="G1162" s="121"/>
      <c r="H1162" s="121"/>
      <c r="I1162" s="121"/>
      <c r="J1162" s="121"/>
      <c r="K1162" s="121"/>
      <c r="L1162" s="121"/>
      <c r="M1162" s="121"/>
      <c r="N1162" s="121"/>
      <c r="O1162" s="121"/>
      <c r="P1162" s="121"/>
      <c r="Q1162" s="121"/>
      <c r="R1162" s="121"/>
      <c r="S1162" s="121"/>
      <c r="T1162" s="121"/>
      <c r="U1162" s="121"/>
      <c r="V1162" s="121"/>
      <c r="W1162" s="121"/>
      <c r="X1162" s="121"/>
      <c r="Y1162" s="121"/>
      <c r="Z1162" s="121"/>
    </row>
    <row r="1163" spans="1:26" ht="14.25" customHeight="1" x14ac:dyDescent="0.35">
      <c r="A1163" s="124" t="s">
        <v>1308</v>
      </c>
      <c r="B1163" s="120">
        <v>6.6500000000000004E-2</v>
      </c>
      <c r="C1163" s="120">
        <v>3.4999999999999996E-3</v>
      </c>
      <c r="D1163" s="63"/>
      <c r="E1163" s="121"/>
      <c r="F1163" s="121"/>
      <c r="G1163" s="121"/>
      <c r="H1163" s="121"/>
      <c r="I1163" s="121"/>
      <c r="J1163" s="121"/>
      <c r="K1163" s="121"/>
      <c r="L1163" s="121"/>
      <c r="M1163" s="121"/>
      <c r="N1163" s="121"/>
      <c r="O1163" s="121"/>
      <c r="P1163" s="121"/>
      <c r="Q1163" s="121"/>
      <c r="R1163" s="121"/>
      <c r="S1163" s="121"/>
      <c r="T1163" s="121"/>
      <c r="U1163" s="121"/>
      <c r="V1163" s="121"/>
      <c r="W1163" s="121"/>
      <c r="X1163" s="121"/>
      <c r="Y1163" s="121"/>
      <c r="Z1163" s="121"/>
    </row>
    <row r="1164" spans="1:26" ht="14.25" customHeight="1" x14ac:dyDescent="0.35">
      <c r="A1164" s="124" t="s">
        <v>1309</v>
      </c>
      <c r="B1164" s="120">
        <v>-2.58E-2</v>
      </c>
      <c r="C1164" s="120">
        <v>3.4000000000000002E-3</v>
      </c>
      <c r="D1164" s="63"/>
      <c r="E1164" s="121"/>
      <c r="F1164" s="121"/>
      <c r="G1164" s="121"/>
      <c r="H1164" s="121"/>
      <c r="I1164" s="121"/>
      <c r="J1164" s="121"/>
      <c r="K1164" s="121"/>
      <c r="L1164" s="121"/>
      <c r="M1164" s="121"/>
      <c r="N1164" s="121"/>
      <c r="O1164" s="121"/>
      <c r="P1164" s="121"/>
      <c r="Q1164" s="121"/>
      <c r="R1164" s="121"/>
      <c r="S1164" s="121"/>
      <c r="T1164" s="121"/>
      <c r="U1164" s="121"/>
      <c r="V1164" s="121"/>
      <c r="W1164" s="121"/>
      <c r="X1164" s="121"/>
      <c r="Y1164" s="121"/>
      <c r="Z1164" s="121"/>
    </row>
    <row r="1165" spans="1:26" ht="14.25" customHeight="1" x14ac:dyDescent="0.35">
      <c r="A1165" s="124" t="s">
        <v>1310</v>
      </c>
      <c r="B1165" s="120">
        <v>2.5099999999999997E-2</v>
      </c>
      <c r="C1165" s="120">
        <v>3.5999999999999999E-3</v>
      </c>
      <c r="D1165" s="63"/>
      <c r="E1165" s="121"/>
      <c r="F1165" s="121"/>
      <c r="G1165" s="121"/>
      <c r="H1165" s="121"/>
      <c r="I1165" s="121"/>
      <c r="J1165" s="121"/>
      <c r="K1165" s="121"/>
      <c r="L1165" s="121"/>
      <c r="M1165" s="121"/>
      <c r="N1165" s="121"/>
      <c r="O1165" s="121"/>
      <c r="P1165" s="121"/>
      <c r="Q1165" s="121"/>
      <c r="R1165" s="121"/>
      <c r="S1165" s="121"/>
      <c r="T1165" s="121"/>
      <c r="U1165" s="121"/>
      <c r="V1165" s="121"/>
      <c r="W1165" s="121"/>
      <c r="X1165" s="121"/>
      <c r="Y1165" s="121"/>
      <c r="Z1165" s="121"/>
    </row>
    <row r="1166" spans="1:26" ht="14.25" customHeight="1" x14ac:dyDescent="0.35">
      <c r="A1166" s="124" t="s">
        <v>1311</v>
      </c>
      <c r="B1166" s="120">
        <v>6.0999999999999995E-3</v>
      </c>
      <c r="C1166" s="120">
        <v>3.4999999999999996E-3</v>
      </c>
      <c r="D1166" s="63"/>
      <c r="E1166" s="121"/>
      <c r="F1166" s="121"/>
      <c r="G1166" s="121"/>
      <c r="H1166" s="121"/>
      <c r="I1166" s="121"/>
      <c r="J1166" s="121"/>
      <c r="K1166" s="121"/>
      <c r="L1166" s="121"/>
      <c r="M1166" s="121"/>
      <c r="N1166" s="121"/>
      <c r="O1166" s="121"/>
      <c r="P1166" s="121"/>
      <c r="Q1166" s="121"/>
      <c r="R1166" s="121"/>
      <c r="S1166" s="121"/>
      <c r="T1166" s="121"/>
      <c r="U1166" s="121"/>
      <c r="V1166" s="121"/>
      <c r="W1166" s="121"/>
      <c r="X1166" s="121"/>
      <c r="Y1166" s="121"/>
      <c r="Z1166" s="121"/>
    </row>
    <row r="1167" spans="1:26" ht="14.25" customHeight="1" x14ac:dyDescent="0.35">
      <c r="A1167" s="124" t="s">
        <v>1312</v>
      </c>
      <c r="B1167" s="120">
        <v>3.4999999999999996E-3</v>
      </c>
      <c r="C1167" s="120">
        <v>3.5999999999999999E-3</v>
      </c>
      <c r="D1167" s="63"/>
      <c r="E1167" s="121"/>
      <c r="F1167" s="121"/>
      <c r="G1167" s="121"/>
      <c r="H1167" s="121"/>
      <c r="I1167" s="121"/>
      <c r="J1167" s="121"/>
      <c r="K1167" s="121"/>
      <c r="L1167" s="121"/>
      <c r="M1167" s="121"/>
      <c r="N1167" s="121"/>
      <c r="O1167" s="121"/>
      <c r="P1167" s="121"/>
      <c r="Q1167" s="121"/>
      <c r="R1167" s="121"/>
      <c r="S1167" s="121"/>
      <c r="T1167" s="121"/>
      <c r="U1167" s="121"/>
      <c r="V1167" s="121"/>
      <c r="W1167" s="121"/>
      <c r="X1167" s="121"/>
      <c r="Y1167" s="121"/>
      <c r="Z1167" s="121"/>
    </row>
    <row r="1168" spans="1:26" ht="14.25" customHeight="1" x14ac:dyDescent="0.35">
      <c r="A1168" s="124" t="s">
        <v>1313</v>
      </c>
      <c r="B1168" s="120">
        <v>6.4600000000000005E-2</v>
      </c>
      <c r="C1168" s="120">
        <v>4.0000000000000001E-3</v>
      </c>
      <c r="D1168" s="63"/>
      <c r="E1168" s="121"/>
      <c r="F1168" s="121"/>
      <c r="G1168" s="121"/>
      <c r="H1168" s="121"/>
      <c r="I1168" s="121"/>
      <c r="J1168" s="121"/>
      <c r="K1168" s="121"/>
      <c r="L1168" s="121"/>
      <c r="M1168" s="121"/>
      <c r="N1168" s="121"/>
      <c r="O1168" s="121"/>
      <c r="P1168" s="121"/>
      <c r="Q1168" s="121"/>
      <c r="R1168" s="121"/>
      <c r="S1168" s="121"/>
      <c r="T1168" s="121"/>
      <c r="U1168" s="121"/>
      <c r="V1168" s="121"/>
      <c r="W1168" s="121"/>
      <c r="X1168" s="121"/>
      <c r="Y1168" s="121"/>
      <c r="Z1168" s="121"/>
    </row>
    <row r="1169" spans="1:26" ht="14.25" customHeight="1" x14ac:dyDescent="0.35">
      <c r="A1169" s="124" t="s">
        <v>1314</v>
      </c>
      <c r="B1169" s="120">
        <v>3.2099999999999997E-2</v>
      </c>
      <c r="C1169" s="120">
        <v>4.5000000000000005E-3</v>
      </c>
      <c r="D1169" s="63"/>
      <c r="E1169" s="121"/>
      <c r="F1169" s="121"/>
      <c r="G1169" s="121"/>
      <c r="H1169" s="121"/>
      <c r="I1169" s="121"/>
      <c r="J1169" s="121"/>
      <c r="K1169" s="121"/>
      <c r="L1169" s="121"/>
      <c r="M1169" s="121"/>
      <c r="N1169" s="121"/>
      <c r="O1169" s="121"/>
      <c r="P1169" s="121"/>
      <c r="Q1169" s="121"/>
      <c r="R1169" s="121"/>
      <c r="S1169" s="121"/>
      <c r="T1169" s="121"/>
      <c r="U1169" s="121"/>
      <c r="V1169" s="121"/>
      <c r="W1169" s="121"/>
      <c r="X1169" s="121"/>
      <c r="Y1169" s="121"/>
      <c r="Z1169" s="121"/>
    </row>
    <row r="1170" spans="1:26" ht="14.25" customHeight="1" x14ac:dyDescent="0.35">
      <c r="A1170" s="124" t="s">
        <v>1315</v>
      </c>
      <c r="B1170" s="120">
        <v>-2.3900000000000001E-2</v>
      </c>
      <c r="C1170" s="120">
        <v>4.5000000000000005E-3</v>
      </c>
      <c r="D1170" s="63"/>
      <c r="E1170" s="121"/>
      <c r="F1170" s="121"/>
      <c r="G1170" s="121"/>
      <c r="H1170" s="121"/>
      <c r="I1170" s="121"/>
      <c r="J1170" s="121"/>
      <c r="K1170" s="121"/>
      <c r="L1170" s="121"/>
      <c r="M1170" s="121"/>
      <c r="N1170" s="121"/>
      <c r="O1170" s="121"/>
      <c r="P1170" s="121"/>
      <c r="Q1170" s="121"/>
      <c r="R1170" s="121"/>
      <c r="S1170" s="121"/>
      <c r="T1170" s="121"/>
      <c r="U1170" s="121"/>
      <c r="V1170" s="121"/>
      <c r="W1170" s="121"/>
      <c r="X1170" s="121"/>
      <c r="Y1170" s="121"/>
      <c r="Z1170" s="121"/>
    </row>
    <row r="1171" spans="1:26" ht="14.25" customHeight="1" x14ac:dyDescent="0.35">
      <c r="A1171" s="124" t="s">
        <v>1316</v>
      </c>
      <c r="B1171" s="120">
        <v>-5.2400000000000002E-2</v>
      </c>
      <c r="C1171" s="120">
        <v>4.3E-3</v>
      </c>
      <c r="D1171" s="63"/>
      <c r="E1171" s="121"/>
      <c r="F1171" s="121"/>
      <c r="G1171" s="121"/>
      <c r="H1171" s="121"/>
      <c r="I1171" s="121"/>
      <c r="J1171" s="121"/>
      <c r="K1171" s="121"/>
      <c r="L1171" s="121"/>
      <c r="M1171" s="121"/>
      <c r="N1171" s="121"/>
      <c r="O1171" s="121"/>
      <c r="P1171" s="121"/>
      <c r="Q1171" s="121"/>
      <c r="R1171" s="121"/>
      <c r="S1171" s="121"/>
      <c r="T1171" s="121"/>
      <c r="U1171" s="121"/>
      <c r="V1171" s="121"/>
      <c r="W1171" s="121"/>
      <c r="X1171" s="121"/>
      <c r="Y1171" s="121"/>
      <c r="Z1171" s="121"/>
    </row>
    <row r="1172" spans="1:26" ht="14.25" customHeight="1" x14ac:dyDescent="0.35">
      <c r="A1172" s="124" t="s">
        <v>1317</v>
      </c>
      <c r="B1172" s="120">
        <v>-3.1899999999999998E-2</v>
      </c>
      <c r="C1172" s="120">
        <v>4.6999999999999993E-3</v>
      </c>
      <c r="D1172" s="63"/>
      <c r="E1172" s="121"/>
      <c r="F1172" s="121"/>
      <c r="G1172" s="121"/>
      <c r="H1172" s="121"/>
      <c r="I1172" s="121"/>
      <c r="J1172" s="121"/>
      <c r="K1172" s="121"/>
      <c r="L1172" s="121"/>
      <c r="M1172" s="121"/>
      <c r="N1172" s="121"/>
      <c r="O1172" s="121"/>
      <c r="P1172" s="121"/>
      <c r="Q1172" s="121"/>
      <c r="R1172" s="121"/>
      <c r="S1172" s="121"/>
      <c r="T1172" s="121"/>
      <c r="U1172" s="121"/>
      <c r="V1172" s="121"/>
      <c r="W1172" s="121"/>
      <c r="X1172" s="121"/>
      <c r="Y1172" s="121"/>
      <c r="Z1172" s="121"/>
    </row>
    <row r="1173" spans="1:26" ht="14.25" customHeight="1" x14ac:dyDescent="0.35">
      <c r="A1173" s="124" t="s">
        <v>1318</v>
      </c>
      <c r="B1173" s="120">
        <v>8.8399999999999992E-2</v>
      </c>
      <c r="C1173" s="120">
        <v>4.4000000000000003E-3</v>
      </c>
      <c r="D1173" s="63"/>
      <c r="E1173" s="121"/>
      <c r="F1173" s="121"/>
      <c r="G1173" s="121"/>
      <c r="H1173" s="121"/>
      <c r="I1173" s="121"/>
      <c r="J1173" s="121"/>
      <c r="K1173" s="121"/>
      <c r="L1173" s="121"/>
      <c r="M1173" s="121"/>
      <c r="N1173" s="121"/>
      <c r="O1173" s="121"/>
      <c r="P1173" s="121"/>
      <c r="Q1173" s="121"/>
      <c r="R1173" s="121"/>
      <c r="S1173" s="121"/>
      <c r="T1173" s="121"/>
      <c r="U1173" s="121"/>
      <c r="V1173" s="121"/>
      <c r="W1173" s="121"/>
      <c r="X1173" s="121"/>
      <c r="Y1173" s="121"/>
      <c r="Z1173" s="121"/>
    </row>
    <row r="1174" spans="1:26" ht="14.25" customHeight="1" x14ac:dyDescent="0.35">
      <c r="A1174" s="124" t="s">
        <v>1319</v>
      </c>
      <c r="B1174" s="120">
        <v>4.87E-2</v>
      </c>
      <c r="C1174" s="120">
        <v>4.3E-3</v>
      </c>
      <c r="D1174" s="63"/>
      <c r="E1174" s="121"/>
      <c r="F1174" s="121"/>
      <c r="G1174" s="121"/>
      <c r="H1174" s="121"/>
      <c r="I1174" s="121"/>
      <c r="J1174" s="121"/>
      <c r="K1174" s="121"/>
      <c r="L1174" s="121"/>
      <c r="M1174" s="121"/>
      <c r="N1174" s="121"/>
      <c r="O1174" s="121"/>
      <c r="P1174" s="121"/>
      <c r="Q1174" s="121"/>
      <c r="R1174" s="121"/>
      <c r="S1174" s="121"/>
      <c r="T1174" s="121"/>
      <c r="U1174" s="121"/>
      <c r="V1174" s="121"/>
      <c r="W1174" s="121"/>
      <c r="X1174" s="121"/>
      <c r="Y1174" s="121"/>
      <c r="Z1174" s="121"/>
    </row>
    <row r="1175" spans="1:26" ht="14.25" customHeight="1" x14ac:dyDescent="0.35">
      <c r="A1175" s="124" t="s">
        <v>1320</v>
      </c>
      <c r="B1175" s="120">
        <v>6.9999999999999993E-3</v>
      </c>
      <c r="C1175" s="120">
        <v>4.6999999999999993E-3</v>
      </c>
      <c r="D1175" s="63"/>
      <c r="E1175" s="121"/>
      <c r="F1175" s="121"/>
      <c r="G1175" s="121"/>
      <c r="H1175" s="121"/>
      <c r="I1175" s="121"/>
      <c r="J1175" s="121"/>
      <c r="K1175" s="121"/>
      <c r="L1175" s="121"/>
      <c r="M1175" s="121"/>
      <c r="N1175" s="121"/>
      <c r="O1175" s="121"/>
      <c r="P1175" s="121"/>
      <c r="Q1175" s="121"/>
      <c r="R1175" s="121"/>
      <c r="S1175" s="121"/>
      <c r="T1175" s="121"/>
      <c r="U1175" s="121"/>
      <c r="V1175" s="121"/>
      <c r="W1175" s="121"/>
      <c r="X1175" s="121"/>
      <c r="Y1175" s="121"/>
      <c r="Z1175" s="121"/>
    </row>
    <row r="1176" spans="1:26" ht="14.25" customHeight="1" x14ac:dyDescent="0.35">
      <c r="A1176" s="124" t="s">
        <v>1321</v>
      </c>
      <c r="B1176" s="120">
        <v>5.0700000000000002E-2</v>
      </c>
      <c r="C1176" s="120">
        <v>4.1999999999999997E-3</v>
      </c>
      <c r="D1176" s="63"/>
      <c r="E1176" s="121"/>
      <c r="F1176" s="121"/>
      <c r="G1176" s="121"/>
      <c r="H1176" s="121"/>
      <c r="I1176" s="121"/>
      <c r="J1176" s="121"/>
      <c r="K1176" s="121"/>
      <c r="L1176" s="121"/>
      <c r="M1176" s="121"/>
      <c r="N1176" s="121"/>
      <c r="O1176" s="121"/>
      <c r="P1176" s="121"/>
      <c r="Q1176" s="121"/>
      <c r="R1176" s="121"/>
      <c r="S1176" s="121"/>
      <c r="T1176" s="121"/>
      <c r="U1176" s="121"/>
      <c r="V1176" s="121"/>
      <c r="W1176" s="121"/>
      <c r="X1176" s="121"/>
      <c r="Y1176" s="121"/>
      <c r="Z1176" s="121"/>
    </row>
    <row r="1177" spans="1:26" ht="14.25" customHeight="1" x14ac:dyDescent="0.35">
      <c r="A1177" s="124" t="s">
        <v>1322</v>
      </c>
      <c r="B1177" s="120">
        <v>2.8300000000000002E-2</v>
      </c>
      <c r="C1177" s="120">
        <v>4.3E-3</v>
      </c>
      <c r="D1177" s="63"/>
      <c r="E1177" s="121"/>
      <c r="F1177" s="121"/>
      <c r="G1177" s="121"/>
      <c r="H1177" s="121"/>
      <c r="I1177" s="121"/>
      <c r="J1177" s="121"/>
      <c r="K1177" s="121"/>
      <c r="L1177" s="121"/>
      <c r="M1177" s="121"/>
      <c r="N1177" s="121"/>
      <c r="O1177" s="121"/>
      <c r="P1177" s="121"/>
      <c r="Q1177" s="121"/>
      <c r="R1177" s="121"/>
      <c r="S1177" s="121"/>
      <c r="T1177" s="121"/>
      <c r="U1177" s="121"/>
      <c r="V1177" s="121"/>
      <c r="W1177" s="121"/>
      <c r="X1177" s="121"/>
      <c r="Y1177" s="121"/>
      <c r="Z1177" s="121"/>
    </row>
    <row r="1178" spans="1:26" ht="14.25" customHeight="1" x14ac:dyDescent="0.35">
      <c r="A1178" s="124" t="s">
        <v>1323</v>
      </c>
      <c r="B1178" s="120">
        <v>-4.6699999999999998E-2</v>
      </c>
      <c r="C1178" s="120">
        <v>4.6999999999999993E-3</v>
      </c>
      <c r="D1178" s="63"/>
      <c r="E1178" s="121"/>
      <c r="F1178" s="121"/>
      <c r="G1178" s="121"/>
      <c r="H1178" s="121"/>
      <c r="I1178" s="121"/>
      <c r="J1178" s="121"/>
      <c r="K1178" s="121"/>
      <c r="L1178" s="121"/>
      <c r="M1178" s="121"/>
      <c r="N1178" s="121"/>
      <c r="O1178" s="121"/>
      <c r="P1178" s="121"/>
      <c r="Q1178" s="121"/>
      <c r="R1178" s="121"/>
      <c r="S1178" s="121"/>
      <c r="T1178" s="121"/>
      <c r="U1178" s="121"/>
      <c r="V1178" s="121"/>
      <c r="W1178" s="121"/>
      <c r="X1178" s="121"/>
      <c r="Y1178" s="121"/>
      <c r="Z1178" s="121"/>
    </row>
    <row r="1179" spans="1:26" ht="14.25" customHeight="1" x14ac:dyDescent="0.35">
      <c r="A1179" s="124" t="s">
        <v>1324</v>
      </c>
      <c r="B1179" s="120">
        <v>4.3400000000000001E-2</v>
      </c>
      <c r="C1179" s="120">
        <v>4.4000000000000003E-3</v>
      </c>
      <c r="D1179" s="63"/>
      <c r="E1179" s="121"/>
      <c r="F1179" s="121"/>
      <c r="G1179" s="121"/>
      <c r="H1179" s="121"/>
      <c r="I1179" s="121"/>
      <c r="J1179" s="121"/>
      <c r="K1179" s="121"/>
      <c r="L1179" s="121"/>
      <c r="M1179" s="121"/>
      <c r="N1179" s="121"/>
      <c r="O1179" s="121"/>
      <c r="P1179" s="121"/>
      <c r="Q1179" s="121"/>
      <c r="R1179" s="121"/>
      <c r="S1179" s="121"/>
      <c r="T1179" s="121"/>
      <c r="U1179" s="121"/>
      <c r="V1179" s="121"/>
      <c r="W1179" s="121"/>
      <c r="X1179" s="121"/>
      <c r="Y1179" s="121"/>
      <c r="Z1179" s="121"/>
    </row>
    <row r="1180" spans="1:26" ht="14.25" customHeight="1" x14ac:dyDescent="0.35">
      <c r="A1180" s="124" t="s">
        <v>1325</v>
      </c>
      <c r="B1180" s="120">
        <v>2.7699999999999999E-2</v>
      </c>
      <c r="C1180" s="120">
        <v>4.0999999999999995E-3</v>
      </c>
      <c r="D1180" s="63"/>
      <c r="E1180" s="121"/>
      <c r="F1180" s="121"/>
      <c r="G1180" s="121"/>
      <c r="H1180" s="121"/>
      <c r="I1180" s="121"/>
      <c r="J1180" s="121"/>
      <c r="K1180" s="121"/>
      <c r="L1180" s="121"/>
      <c r="M1180" s="121"/>
      <c r="N1180" s="121"/>
      <c r="O1180" s="121"/>
      <c r="P1180" s="121"/>
      <c r="Q1180" s="121"/>
      <c r="R1180" s="121"/>
      <c r="S1180" s="121"/>
      <c r="T1180" s="121"/>
      <c r="U1180" s="121"/>
      <c r="V1180" s="121"/>
      <c r="W1180" s="121"/>
      <c r="X1180" s="121"/>
      <c r="Y1180" s="121"/>
      <c r="Z1180" s="121"/>
    </row>
    <row r="1181" spans="1:26" ht="14.25" customHeight="1" x14ac:dyDescent="0.35">
      <c r="A1181" s="124" t="s">
        <v>1326</v>
      </c>
      <c r="B1181" s="120">
        <v>1.24E-2</v>
      </c>
      <c r="C1181" s="120">
        <v>4.5000000000000005E-3</v>
      </c>
      <c r="D1181" s="63"/>
      <c r="E1181" s="121"/>
      <c r="F1181" s="121"/>
      <c r="G1181" s="121"/>
      <c r="H1181" s="121"/>
      <c r="I1181" s="121"/>
      <c r="J1181" s="121"/>
      <c r="K1181" s="121"/>
      <c r="L1181" s="121"/>
      <c r="M1181" s="121"/>
      <c r="N1181" s="121"/>
      <c r="O1181" s="121"/>
      <c r="P1181" s="121"/>
      <c r="Q1181" s="121"/>
      <c r="R1181" s="121"/>
      <c r="S1181" s="121"/>
      <c r="T1181" s="121"/>
      <c r="U1181" s="121"/>
      <c r="V1181" s="121"/>
      <c r="W1181" s="121"/>
      <c r="X1181" s="121"/>
      <c r="Y1181" s="121"/>
      <c r="Z1181" s="121"/>
    </row>
    <row r="1182" spans="1:26" ht="14.25" customHeight="1" x14ac:dyDescent="0.35">
      <c r="A1182" s="124" t="s">
        <v>1327</v>
      </c>
      <c r="B1182" s="120">
        <v>1.61E-2</v>
      </c>
      <c r="C1182" s="120">
        <v>4.7999999999999996E-3</v>
      </c>
      <c r="D1182" s="63"/>
      <c r="E1182" s="121"/>
      <c r="F1182" s="121"/>
      <c r="G1182" s="121"/>
      <c r="H1182" s="121"/>
      <c r="I1182" s="121"/>
      <c r="J1182" s="121"/>
      <c r="K1182" s="121"/>
      <c r="L1182" s="121"/>
      <c r="M1182" s="121"/>
      <c r="N1182" s="121"/>
      <c r="O1182" s="121"/>
      <c r="P1182" s="121"/>
      <c r="Q1182" s="121"/>
      <c r="R1182" s="121"/>
      <c r="S1182" s="121"/>
      <c r="T1182" s="121"/>
      <c r="U1182" s="121"/>
      <c r="V1182" s="121"/>
      <c r="W1182" s="121"/>
      <c r="X1182" s="121"/>
      <c r="Y1182" s="121"/>
      <c r="Z1182" s="121"/>
    </row>
    <row r="1183" spans="1:26" ht="14.25" customHeight="1" x14ac:dyDescent="0.35">
      <c r="A1183" s="124" t="s">
        <v>1328</v>
      </c>
      <c r="B1183" s="120">
        <v>1.7399999999999999E-2</v>
      </c>
      <c r="C1183" s="120">
        <v>4.0000000000000001E-3</v>
      </c>
      <c r="D1183" s="63"/>
      <c r="E1183" s="121"/>
      <c r="F1183" s="121"/>
      <c r="G1183" s="121"/>
      <c r="H1183" s="121"/>
      <c r="I1183" s="121"/>
      <c r="J1183" s="121"/>
      <c r="K1183" s="121"/>
      <c r="L1183" s="121"/>
      <c r="M1183" s="121"/>
      <c r="N1183" s="121"/>
      <c r="O1183" s="121"/>
      <c r="P1183" s="121"/>
      <c r="Q1183" s="121"/>
      <c r="R1183" s="121"/>
      <c r="S1183" s="121"/>
      <c r="T1183" s="121"/>
      <c r="U1183" s="121"/>
      <c r="V1183" s="121"/>
      <c r="W1183" s="121"/>
      <c r="X1183" s="121"/>
      <c r="Y1183" s="121"/>
      <c r="Z1183" s="121"/>
    </row>
    <row r="1184" spans="1:26" ht="14.25" customHeight="1" x14ac:dyDescent="0.35">
      <c r="A1184" s="124" t="s">
        <v>1329</v>
      </c>
      <c r="B1184" s="120">
        <v>-9.7000000000000003E-3</v>
      </c>
      <c r="C1184" s="120">
        <v>3.9000000000000003E-3</v>
      </c>
      <c r="D1184" s="63"/>
      <c r="E1184" s="121"/>
      <c r="F1184" s="121"/>
      <c r="G1184" s="121"/>
      <c r="H1184" s="121"/>
      <c r="I1184" s="121"/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</row>
    <row r="1185" spans="1:26" ht="14.25" customHeight="1" x14ac:dyDescent="0.35">
      <c r="A1185" s="124" t="s">
        <v>1330</v>
      </c>
      <c r="B1185" s="120">
        <v>6.5099999999999991E-2</v>
      </c>
      <c r="C1185" s="120">
        <v>4.0000000000000001E-3</v>
      </c>
      <c r="D1185" s="63"/>
      <c r="E1185" s="121"/>
      <c r="F1185" s="121"/>
      <c r="G1185" s="121"/>
      <c r="H1185" s="121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</row>
    <row r="1186" spans="1:26" ht="14.25" customHeight="1" x14ac:dyDescent="0.35">
      <c r="A1186" s="124" t="s">
        <v>1331</v>
      </c>
      <c r="B1186" s="120">
        <v>-3.1699999999999999E-2</v>
      </c>
      <c r="C1186" s="120">
        <v>3.7000000000000002E-3</v>
      </c>
      <c r="D1186" s="63"/>
      <c r="E1186" s="121"/>
      <c r="F1186" s="121"/>
      <c r="G1186" s="121"/>
      <c r="H1186" s="121"/>
      <c r="I1186" s="121"/>
      <c r="J1186" s="121"/>
      <c r="K1186" s="121"/>
      <c r="L1186" s="121"/>
      <c r="M1186" s="121"/>
      <c r="N1186" s="121"/>
      <c r="O1186" s="121"/>
      <c r="P1186" s="121"/>
      <c r="Q1186" s="121"/>
      <c r="R1186" s="121"/>
      <c r="S1186" s="121"/>
      <c r="T1186" s="121"/>
      <c r="U1186" s="121"/>
      <c r="V1186" s="121"/>
      <c r="W1186" s="121"/>
      <c r="X1186" s="121"/>
      <c r="Y1186" s="121"/>
      <c r="Z1186" s="121"/>
    </row>
    <row r="1187" spans="1:26" ht="14.25" customHeight="1" x14ac:dyDescent="0.35">
      <c r="A1187" s="124" t="s">
        <v>1332</v>
      </c>
      <c r="B1187" s="120">
        <v>2.7999999999999997E-2</v>
      </c>
      <c r="C1187" s="120">
        <v>-1.9699999999999999E-2</v>
      </c>
      <c r="D1187" s="121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</row>
    <row r="1188" spans="1:26" ht="14.25" customHeight="1" x14ac:dyDescent="0.35">
      <c r="A1188" s="124" t="s">
        <v>1333</v>
      </c>
      <c r="B1188" s="120">
        <v>-2.4399999999999998E-2</v>
      </c>
      <c r="C1188" s="120">
        <v>-5.79E-2</v>
      </c>
      <c r="D1188" s="121"/>
      <c r="I1188" s="121"/>
      <c r="J1188" s="121"/>
      <c r="K1188" s="121"/>
      <c r="L1188" s="121"/>
      <c r="M1188" s="121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</row>
    <row r="1189" spans="1:26" ht="14.25" customHeight="1" x14ac:dyDescent="0.35">
      <c r="A1189" s="124" t="s">
        <v>1334</v>
      </c>
      <c r="B1189" s="120">
        <v>-6.3899999999999998E-2</v>
      </c>
      <c r="C1189" s="120">
        <v>-2.76E-2</v>
      </c>
      <c r="D1189" s="121"/>
      <c r="I1189" s="121"/>
      <c r="J1189" s="121"/>
      <c r="K1189" s="121"/>
      <c r="L1189" s="121"/>
      <c r="M1189" s="121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</row>
    <row r="1190" spans="1:26" ht="14.25" customHeight="1" x14ac:dyDescent="0.35">
      <c r="A1190" s="124" t="s">
        <v>1335</v>
      </c>
      <c r="B1190" s="120">
        <v>-8.3999999999999995E-3</v>
      </c>
      <c r="C1190" s="120">
        <v>-5.8999999999999999E-3</v>
      </c>
      <c r="D1190" s="121"/>
      <c r="I1190" s="121"/>
      <c r="J1190" s="121"/>
      <c r="K1190" s="121"/>
      <c r="L1190" s="121"/>
      <c r="M1190" s="121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</row>
    <row r="1191" spans="1:26" ht="14.25" customHeight="1" x14ac:dyDescent="0.35">
      <c r="A1191" s="124" t="s">
        <v>1336</v>
      </c>
      <c r="B1191" s="120">
        <v>6.0599999999999994E-2</v>
      </c>
      <c r="C1191" s="120">
        <v>6.9999999999999993E-3</v>
      </c>
      <c r="D1191" s="121"/>
      <c r="I1191" s="121"/>
      <c r="J1191" s="121"/>
      <c r="K1191" s="121"/>
      <c r="L1191" s="121"/>
      <c r="M1191" s="121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</row>
    <row r="1192" spans="1:26" ht="14.25" customHeight="1" x14ac:dyDescent="0.35">
      <c r="A1192" s="124" t="s">
        <v>1337</v>
      </c>
      <c r="B1192" s="120">
        <v>4.8600000000000004E-2</v>
      </c>
      <c r="C1192" s="120">
        <v>8.3000000000000001E-3</v>
      </c>
      <c r="D1192" s="121"/>
      <c r="I1192" s="121"/>
      <c r="J1192" s="121"/>
      <c r="K1192" s="121"/>
      <c r="L1192" s="121"/>
      <c r="M1192" s="121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</row>
    <row r="1193" spans="1:26" ht="14.25" customHeight="1" x14ac:dyDescent="0.35">
      <c r="A1193" s="124" t="s">
        <v>1338</v>
      </c>
      <c r="B1193" s="120">
        <v>1.9799999999999998E-2</v>
      </c>
      <c r="C1193" s="120">
        <v>2.7000000000000001E-3</v>
      </c>
      <c r="D1193" s="121"/>
      <c r="I1193" s="121"/>
      <c r="J1193" s="121"/>
      <c r="K1193" s="121"/>
      <c r="L1193" s="121"/>
      <c r="M1193" s="121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</row>
    <row r="1194" spans="1:26" ht="14.25" customHeight="1" x14ac:dyDescent="0.35">
      <c r="A1194" s="124" t="s">
        <v>1339</v>
      </c>
      <c r="B1194" s="120">
        <v>1.84E-2</v>
      </c>
      <c r="C1194" s="120">
        <v>3.8699999999999998E-2</v>
      </c>
      <c r="D1194" s="121"/>
      <c r="I1194" s="121"/>
      <c r="J1194" s="121"/>
      <c r="K1194" s="121"/>
      <c r="L1194" s="121"/>
      <c r="M1194" s="121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</row>
    <row r="1195" spans="1:26" ht="14.25" customHeight="1" x14ac:dyDescent="0.35">
      <c r="A1195" s="124" t="s">
        <v>1340</v>
      </c>
      <c r="B1195" s="120">
        <v>3.39E-2</v>
      </c>
      <c r="C1195" s="120">
        <v>-1.8500000000000003E-2</v>
      </c>
      <c r="D1195" s="121"/>
      <c r="I1195" s="121"/>
      <c r="J1195" s="121"/>
      <c r="K1195" s="121"/>
      <c r="L1195" s="121"/>
      <c r="M1195" s="121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</row>
    <row r="1196" spans="1:26" ht="14.25" customHeight="1" x14ac:dyDescent="0.35">
      <c r="A1196" s="124" t="s">
        <v>1341</v>
      </c>
      <c r="B1196" s="120">
        <v>1.9599999999999999E-2</v>
      </c>
      <c r="C1196" s="120">
        <v>-5.5000000000000005E-3</v>
      </c>
      <c r="D1196" s="121"/>
      <c r="I1196" s="121"/>
      <c r="J1196" s="121"/>
      <c r="K1196" s="121"/>
      <c r="L1196" s="121"/>
      <c r="M1196" s="121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</row>
    <row r="1197" spans="1:26" ht="14.25" customHeight="1" x14ac:dyDescent="0.35">
      <c r="A1197" s="124" t="s">
        <v>1342</v>
      </c>
      <c r="B1197" s="120">
        <v>-1.2999999999999999E-3</v>
      </c>
      <c r="C1197" s="120">
        <v>3.8E-3</v>
      </c>
      <c r="D1197" s="121"/>
      <c r="I1197" s="121"/>
      <c r="J1197" s="121"/>
      <c r="K1197" s="121"/>
      <c r="L1197" s="121"/>
      <c r="M1197" s="121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</row>
    <row r="1198" spans="1:26" ht="14.25" customHeight="1" x14ac:dyDescent="0.35">
      <c r="A1198" s="124" t="s">
        <v>1343</v>
      </c>
      <c r="B1198" s="120">
        <v>-3.5999999999999999E-3</v>
      </c>
      <c r="C1198" s="120">
        <v>-1.06E-2</v>
      </c>
      <c r="D1198" s="121"/>
      <c r="I1198" s="121"/>
      <c r="J1198" s="121"/>
      <c r="K1198" s="121"/>
      <c r="L1198" s="121"/>
      <c r="M1198" s="121"/>
      <c r="N1198" s="121"/>
      <c r="O1198" s="121"/>
      <c r="P1198" s="121"/>
      <c r="Q1198" s="121"/>
      <c r="R1198" s="121"/>
      <c r="S1198" s="121"/>
      <c r="T1198" s="121"/>
      <c r="U1198" s="121"/>
      <c r="V1198" s="121"/>
      <c r="W1198" s="121"/>
      <c r="X1198" s="121"/>
      <c r="Y1198" s="121"/>
      <c r="Z1198" s="121"/>
    </row>
    <row r="1199" spans="1:26" ht="14.25" customHeight="1" x14ac:dyDescent="0.35">
      <c r="A1199" s="13" t="s">
        <v>1344</v>
      </c>
      <c r="B1199" s="120"/>
      <c r="C1199" s="120"/>
      <c r="D1199" s="121"/>
      <c r="E1199" s="121"/>
      <c r="F1199" s="121"/>
      <c r="G1199" s="121"/>
      <c r="H1199" s="121"/>
      <c r="I1199" s="121"/>
      <c r="J1199" s="121"/>
      <c r="K1199" s="121"/>
      <c r="L1199" s="121"/>
      <c r="M1199" s="121"/>
      <c r="N1199" s="121"/>
      <c r="O1199" s="121"/>
      <c r="P1199" s="121"/>
      <c r="Q1199" s="121"/>
      <c r="R1199" s="121"/>
      <c r="S1199" s="121"/>
      <c r="T1199" s="121"/>
      <c r="U1199" s="121"/>
      <c r="V1199" s="121"/>
      <c r="W1199" s="121"/>
      <c r="X1199" s="121"/>
      <c r="Y1199" s="121"/>
      <c r="Z1199" s="121"/>
    </row>
    <row r="1200" spans="1:26" ht="14.25" customHeight="1" x14ac:dyDescent="0.35">
      <c r="A1200" s="13"/>
      <c r="B1200" s="120"/>
      <c r="C1200" s="120"/>
      <c r="D1200" s="121"/>
      <c r="E1200" s="121"/>
      <c r="F1200" s="121"/>
      <c r="G1200" s="121"/>
      <c r="H1200" s="121"/>
      <c r="I1200" s="121"/>
      <c r="J1200" s="121"/>
      <c r="K1200" s="121"/>
      <c r="L1200" s="121"/>
      <c r="M1200" s="121"/>
      <c r="N1200" s="121"/>
      <c r="O1200" s="121"/>
      <c r="P1200" s="121"/>
      <c r="Q1200" s="121"/>
      <c r="R1200" s="121"/>
      <c r="S1200" s="121"/>
      <c r="T1200" s="121"/>
      <c r="U1200" s="121"/>
      <c r="V1200" s="121"/>
      <c r="W1200" s="121"/>
      <c r="X1200" s="121"/>
      <c r="Y1200" s="121"/>
      <c r="Z1200" s="121"/>
    </row>
    <row r="1201" spans="1:26" ht="14.25" customHeight="1" x14ac:dyDescent="0.35">
      <c r="A1201" s="56" t="s">
        <v>1345</v>
      </c>
      <c r="B1201" s="122" t="s">
        <v>66</v>
      </c>
      <c r="C1201" s="122" t="s">
        <v>67</v>
      </c>
      <c r="D1201" s="121"/>
      <c r="E1201" s="121"/>
      <c r="F1201" s="121"/>
      <c r="G1201" s="121"/>
      <c r="H1201" s="121"/>
      <c r="I1201" s="121"/>
      <c r="J1201" s="121"/>
      <c r="K1201" s="121"/>
      <c r="L1201" s="121"/>
      <c r="M1201" s="121"/>
      <c r="N1201" s="121"/>
      <c r="O1201" s="121"/>
      <c r="P1201" s="121"/>
      <c r="Q1201" s="121"/>
      <c r="R1201" s="121"/>
      <c r="S1201" s="121"/>
      <c r="T1201" s="121"/>
      <c r="U1201" s="121"/>
      <c r="V1201" s="121"/>
      <c r="W1201" s="121"/>
      <c r="X1201" s="121"/>
      <c r="Y1201" s="121"/>
      <c r="Z1201" s="121"/>
    </row>
    <row r="1202" spans="1:26" ht="14.25" customHeight="1" x14ac:dyDescent="0.35">
      <c r="A1202" s="48">
        <v>1927</v>
      </c>
      <c r="B1202" s="120">
        <v>0.29469999999999996</v>
      </c>
      <c r="C1202" s="120">
        <v>3.1200000000000002E-2</v>
      </c>
      <c r="D1202" s="121"/>
      <c r="E1202" s="121"/>
      <c r="F1202" s="121"/>
      <c r="G1202" s="121"/>
      <c r="H1202" s="121"/>
      <c r="I1202" s="121"/>
      <c r="J1202" s="121"/>
      <c r="K1202" s="121"/>
      <c r="L1202" s="121"/>
      <c r="M1202" s="121"/>
      <c r="N1202" s="121"/>
      <c r="O1202" s="121"/>
      <c r="P1202" s="121"/>
      <c r="Q1202" s="121"/>
      <c r="R1202" s="121"/>
      <c r="S1202" s="121"/>
      <c r="T1202" s="121"/>
      <c r="U1202" s="121"/>
      <c r="V1202" s="121"/>
      <c r="W1202" s="121"/>
      <c r="X1202" s="121"/>
      <c r="Y1202" s="121"/>
      <c r="Z1202" s="121"/>
    </row>
    <row r="1203" spans="1:26" ht="14.25" customHeight="1" x14ac:dyDescent="0.35">
      <c r="A1203" s="48">
        <v>1928</v>
      </c>
      <c r="B1203" s="120">
        <v>0.35389999999999999</v>
      </c>
      <c r="C1203" s="120">
        <v>3.56E-2</v>
      </c>
      <c r="D1203" s="121"/>
      <c r="E1203" s="121"/>
      <c r="F1203" s="121"/>
      <c r="G1203" s="121"/>
      <c r="H1203" s="121"/>
      <c r="I1203" s="121"/>
      <c r="J1203" s="121"/>
      <c r="K1203" s="121"/>
      <c r="L1203" s="121"/>
      <c r="M1203" s="121"/>
      <c r="N1203" s="121"/>
      <c r="O1203" s="121"/>
      <c r="P1203" s="121"/>
      <c r="Q1203" s="121"/>
      <c r="R1203" s="121"/>
      <c r="S1203" s="121"/>
      <c r="T1203" s="121"/>
      <c r="U1203" s="121"/>
      <c r="V1203" s="121"/>
      <c r="W1203" s="121"/>
      <c r="X1203" s="121"/>
      <c r="Y1203" s="121"/>
      <c r="Z1203" s="121"/>
    </row>
    <row r="1204" spans="1:26" ht="14.25" customHeight="1" x14ac:dyDescent="0.35">
      <c r="A1204" s="48">
        <v>1929</v>
      </c>
      <c r="B1204" s="120">
        <v>-0.19539999999999999</v>
      </c>
      <c r="C1204" s="120">
        <v>4.7500000000000001E-2</v>
      </c>
      <c r="D1204" s="121"/>
      <c r="E1204" s="121"/>
      <c r="F1204" s="121"/>
      <c r="G1204" s="121"/>
      <c r="H1204" s="121"/>
      <c r="I1204" s="121"/>
      <c r="J1204" s="121"/>
      <c r="K1204" s="121"/>
      <c r="L1204" s="121"/>
      <c r="M1204" s="121"/>
      <c r="N1204" s="121"/>
      <c r="O1204" s="121"/>
      <c r="P1204" s="121"/>
      <c r="Q1204" s="121"/>
      <c r="R1204" s="121"/>
      <c r="S1204" s="121"/>
      <c r="T1204" s="121"/>
      <c r="U1204" s="121"/>
      <c r="V1204" s="121"/>
      <c r="W1204" s="121"/>
      <c r="X1204" s="121"/>
      <c r="Y1204" s="121"/>
      <c r="Z1204" s="121"/>
    </row>
    <row r="1205" spans="1:26" ht="14.25" customHeight="1" x14ac:dyDescent="0.35">
      <c r="A1205" s="48">
        <v>1930</v>
      </c>
      <c r="B1205" s="120">
        <v>-0.31230000000000002</v>
      </c>
      <c r="C1205" s="120">
        <v>2.41E-2</v>
      </c>
      <c r="D1205" s="121"/>
      <c r="E1205" s="121"/>
      <c r="F1205" s="121"/>
      <c r="G1205" s="121"/>
      <c r="H1205" s="121"/>
      <c r="I1205" s="121"/>
      <c r="J1205" s="121"/>
      <c r="K1205" s="121"/>
      <c r="L1205" s="121"/>
      <c r="M1205" s="121"/>
      <c r="N1205" s="121"/>
      <c r="O1205" s="121"/>
      <c r="P1205" s="121"/>
      <c r="Q1205" s="121"/>
      <c r="R1205" s="121"/>
      <c r="S1205" s="121"/>
      <c r="T1205" s="121"/>
      <c r="U1205" s="121"/>
      <c r="V1205" s="121"/>
      <c r="W1205" s="121"/>
      <c r="X1205" s="121"/>
      <c r="Y1205" s="121"/>
      <c r="Z1205" s="121"/>
    </row>
    <row r="1206" spans="1:26" ht="14.25" customHeight="1" x14ac:dyDescent="0.35">
      <c r="A1206" s="48">
        <v>1931</v>
      </c>
      <c r="B1206" s="120">
        <v>-0.4511</v>
      </c>
      <c r="C1206" s="120">
        <v>1.0700000000000001E-2</v>
      </c>
      <c r="D1206" s="121"/>
      <c r="E1206" s="121"/>
      <c r="F1206" s="121"/>
      <c r="G1206" s="121"/>
      <c r="H1206" s="121"/>
      <c r="I1206" s="121"/>
      <c r="J1206" s="121"/>
      <c r="K1206" s="121"/>
      <c r="L1206" s="121"/>
      <c r="M1206" s="121"/>
      <c r="N1206" s="121"/>
      <c r="O1206" s="121"/>
      <c r="P1206" s="121"/>
      <c r="Q1206" s="121"/>
      <c r="R1206" s="121"/>
      <c r="S1206" s="121"/>
      <c r="T1206" s="121"/>
      <c r="U1206" s="121"/>
      <c r="V1206" s="121"/>
      <c r="W1206" s="121"/>
      <c r="X1206" s="121"/>
      <c r="Y1206" s="121"/>
      <c r="Z1206" s="121"/>
    </row>
    <row r="1207" spans="1:26" ht="14.25" customHeight="1" x14ac:dyDescent="0.35">
      <c r="A1207" s="48">
        <v>1932</v>
      </c>
      <c r="B1207" s="120">
        <v>-9.3900000000000011E-2</v>
      </c>
      <c r="C1207" s="120">
        <v>9.5999999999999992E-3</v>
      </c>
      <c r="D1207" s="121"/>
      <c r="E1207" s="121"/>
      <c r="F1207" s="121"/>
      <c r="G1207" s="121"/>
      <c r="H1207" s="121"/>
      <c r="I1207" s="121"/>
      <c r="J1207" s="121"/>
      <c r="K1207" s="121"/>
      <c r="L1207" s="121"/>
      <c r="M1207" s="121"/>
      <c r="N1207" s="121"/>
      <c r="O1207" s="121"/>
      <c r="P1207" s="121"/>
      <c r="Q1207" s="121"/>
      <c r="R1207" s="121"/>
      <c r="S1207" s="121"/>
      <c r="T1207" s="121"/>
      <c r="U1207" s="121"/>
      <c r="V1207" s="121"/>
      <c r="W1207" s="121"/>
      <c r="X1207" s="121"/>
      <c r="Y1207" s="121"/>
      <c r="Z1207" s="121"/>
    </row>
    <row r="1208" spans="1:26" ht="14.25" customHeight="1" x14ac:dyDescent="0.35">
      <c r="A1208" s="48">
        <v>1933</v>
      </c>
      <c r="B1208" s="120">
        <v>0.57050000000000001</v>
      </c>
      <c r="C1208" s="120">
        <v>3.0000000000000001E-3</v>
      </c>
      <c r="D1208" s="121"/>
      <c r="E1208" s="121"/>
      <c r="F1208" s="121"/>
      <c r="G1208" s="121"/>
      <c r="H1208" s="121"/>
      <c r="I1208" s="121"/>
      <c r="J1208" s="121"/>
      <c r="K1208" s="121"/>
      <c r="L1208" s="121"/>
      <c r="M1208" s="121"/>
      <c r="N1208" s="121"/>
      <c r="O1208" s="121"/>
      <c r="P1208" s="121"/>
      <c r="Q1208" s="121"/>
      <c r="R1208" s="121"/>
      <c r="S1208" s="121"/>
      <c r="T1208" s="121"/>
      <c r="U1208" s="121"/>
      <c r="V1208" s="121"/>
      <c r="W1208" s="121"/>
      <c r="X1208" s="121"/>
      <c r="Y1208" s="121"/>
      <c r="Z1208" s="121"/>
    </row>
    <row r="1209" spans="1:26" ht="14.25" customHeight="1" x14ac:dyDescent="0.35">
      <c r="A1209" s="48">
        <v>1934</v>
      </c>
      <c r="B1209" s="120">
        <v>3.0200000000000001E-2</v>
      </c>
      <c r="C1209" s="120">
        <v>1.6000000000000001E-3</v>
      </c>
      <c r="D1209" s="121"/>
      <c r="E1209" s="121"/>
      <c r="F1209" s="121"/>
      <c r="G1209" s="121"/>
      <c r="H1209" s="121"/>
      <c r="I1209" s="121"/>
      <c r="J1209" s="121"/>
      <c r="K1209" s="121"/>
      <c r="L1209" s="121"/>
      <c r="M1209" s="121"/>
      <c r="N1209" s="121"/>
      <c r="O1209" s="121"/>
      <c r="P1209" s="121"/>
      <c r="Q1209" s="121"/>
      <c r="R1209" s="121"/>
      <c r="S1209" s="121"/>
      <c r="T1209" s="121"/>
      <c r="U1209" s="121"/>
      <c r="V1209" s="121"/>
      <c r="W1209" s="121"/>
      <c r="X1209" s="121"/>
      <c r="Y1209" s="121"/>
      <c r="Z1209" s="121"/>
    </row>
    <row r="1210" spans="1:26" ht="14.25" customHeight="1" x14ac:dyDescent="0.35">
      <c r="A1210" s="48">
        <v>1935</v>
      </c>
      <c r="B1210" s="120">
        <v>0.4496</v>
      </c>
      <c r="C1210" s="120">
        <v>1.7000000000000001E-3</v>
      </c>
      <c r="D1210" s="121"/>
      <c r="E1210" s="121"/>
      <c r="F1210" s="121"/>
      <c r="G1210" s="121"/>
      <c r="H1210" s="121"/>
      <c r="I1210" s="121"/>
      <c r="J1210" s="121"/>
      <c r="K1210" s="121"/>
      <c r="L1210" s="121"/>
      <c r="M1210" s="121"/>
      <c r="N1210" s="121"/>
      <c r="O1210" s="121"/>
      <c r="P1210" s="121"/>
      <c r="Q1210" s="121"/>
      <c r="R1210" s="121"/>
      <c r="S1210" s="121"/>
      <c r="T1210" s="121"/>
      <c r="U1210" s="121"/>
      <c r="V1210" s="121"/>
      <c r="W1210" s="121"/>
      <c r="X1210" s="121"/>
      <c r="Y1210" s="121"/>
      <c r="Z1210" s="121"/>
    </row>
    <row r="1211" spans="1:26" ht="14.25" customHeight="1" x14ac:dyDescent="0.35">
      <c r="A1211" s="48">
        <v>1936</v>
      </c>
      <c r="B1211" s="120">
        <v>0.32069999999999999</v>
      </c>
      <c r="C1211" s="120">
        <v>1.8E-3</v>
      </c>
      <c r="D1211" s="121"/>
      <c r="E1211" s="121"/>
      <c r="F1211" s="121"/>
      <c r="G1211" s="121"/>
      <c r="H1211" s="121"/>
      <c r="I1211" s="121"/>
      <c r="J1211" s="121"/>
      <c r="K1211" s="121"/>
      <c r="L1211" s="121"/>
      <c r="M1211" s="121"/>
      <c r="N1211" s="121"/>
      <c r="O1211" s="121"/>
      <c r="P1211" s="121"/>
      <c r="Q1211" s="121"/>
      <c r="R1211" s="121"/>
      <c r="S1211" s="121"/>
      <c r="T1211" s="121"/>
      <c r="U1211" s="121"/>
      <c r="V1211" s="121"/>
      <c r="W1211" s="121"/>
      <c r="X1211" s="121"/>
      <c r="Y1211" s="121"/>
      <c r="Z1211" s="121"/>
    </row>
    <row r="1212" spans="1:26" ht="14.25" customHeight="1" x14ac:dyDescent="0.35">
      <c r="A1212" s="48">
        <v>1937</v>
      </c>
      <c r="B1212" s="120">
        <v>-0.34960000000000002</v>
      </c>
      <c r="C1212" s="120">
        <v>3.0999999999999999E-3</v>
      </c>
      <c r="D1212" s="121"/>
      <c r="E1212" s="121"/>
      <c r="F1212" s="121"/>
      <c r="G1212" s="121"/>
      <c r="H1212" s="121"/>
      <c r="I1212" s="121"/>
      <c r="J1212" s="121"/>
      <c r="K1212" s="121"/>
      <c r="L1212" s="121"/>
      <c r="M1212" s="121"/>
      <c r="N1212" s="121"/>
      <c r="O1212" s="121"/>
      <c r="P1212" s="121"/>
      <c r="Q1212" s="121"/>
      <c r="R1212" s="121"/>
      <c r="S1212" s="121"/>
      <c r="T1212" s="121"/>
      <c r="U1212" s="121"/>
      <c r="V1212" s="121"/>
      <c r="W1212" s="121"/>
      <c r="X1212" s="121"/>
      <c r="Y1212" s="121"/>
      <c r="Z1212" s="121"/>
    </row>
    <row r="1213" spans="1:26" ht="14.25" customHeight="1" x14ac:dyDescent="0.35">
      <c r="A1213" s="48">
        <v>1938</v>
      </c>
      <c r="B1213" s="120">
        <v>0.2848</v>
      </c>
      <c r="C1213" s="120">
        <v>-2.0000000000000001E-4</v>
      </c>
      <c r="D1213" s="121"/>
      <c r="E1213" s="121"/>
      <c r="F1213" s="121"/>
      <c r="G1213" s="121"/>
      <c r="H1213" s="121"/>
      <c r="I1213" s="121"/>
      <c r="J1213" s="121"/>
      <c r="K1213" s="121"/>
      <c r="L1213" s="121"/>
      <c r="M1213" s="121"/>
      <c r="N1213" s="121"/>
      <c r="O1213" s="121"/>
      <c r="P1213" s="121"/>
      <c r="Q1213" s="121"/>
      <c r="R1213" s="121"/>
      <c r="S1213" s="121"/>
      <c r="T1213" s="121"/>
      <c r="U1213" s="121"/>
      <c r="V1213" s="121"/>
      <c r="W1213" s="121"/>
      <c r="X1213" s="121"/>
      <c r="Y1213" s="121"/>
      <c r="Z1213" s="121"/>
    </row>
    <row r="1214" spans="1:26" ht="14.25" customHeight="1" x14ac:dyDescent="0.35">
      <c r="A1214" s="48">
        <v>1939</v>
      </c>
      <c r="B1214" s="120">
        <v>2.7000000000000003E-2</v>
      </c>
      <c r="C1214" s="120">
        <v>2.0000000000000001E-4</v>
      </c>
      <c r="D1214" s="121"/>
      <c r="E1214" s="121"/>
      <c r="F1214" s="121"/>
      <c r="G1214" s="121"/>
      <c r="H1214" s="121"/>
      <c r="I1214" s="121"/>
      <c r="J1214" s="121"/>
      <c r="K1214" s="121"/>
      <c r="L1214" s="121"/>
      <c r="M1214" s="121"/>
      <c r="N1214" s="121"/>
      <c r="O1214" s="121"/>
      <c r="P1214" s="121"/>
      <c r="Q1214" s="121"/>
      <c r="R1214" s="121"/>
      <c r="S1214" s="121"/>
      <c r="T1214" s="121"/>
      <c r="U1214" s="121"/>
      <c r="V1214" s="121"/>
      <c r="W1214" s="121"/>
      <c r="X1214" s="121"/>
      <c r="Y1214" s="121"/>
      <c r="Z1214" s="121"/>
    </row>
    <row r="1215" spans="1:26" ht="14.25" customHeight="1" x14ac:dyDescent="0.35">
      <c r="A1215" s="48">
        <v>1940</v>
      </c>
      <c r="B1215" s="120">
        <v>-7.1399999999999991E-2</v>
      </c>
      <c r="C1215" s="120">
        <v>0</v>
      </c>
      <c r="D1215" s="121"/>
      <c r="E1215" s="121"/>
      <c r="F1215" s="121"/>
      <c r="G1215" s="121"/>
      <c r="H1215" s="121"/>
      <c r="I1215" s="121"/>
      <c r="J1215" s="121"/>
      <c r="K1215" s="121"/>
      <c r="L1215" s="121"/>
      <c r="M1215" s="121"/>
      <c r="N1215" s="121"/>
      <c r="O1215" s="121"/>
      <c r="P1215" s="121"/>
      <c r="Q1215" s="121"/>
      <c r="R1215" s="121"/>
      <c r="S1215" s="121"/>
      <c r="T1215" s="121"/>
      <c r="U1215" s="121"/>
      <c r="V1215" s="121"/>
      <c r="W1215" s="121"/>
      <c r="X1215" s="121"/>
      <c r="Y1215" s="121"/>
      <c r="Z1215" s="121"/>
    </row>
    <row r="1216" spans="1:26" ht="14.25" customHeight="1" x14ac:dyDescent="0.35">
      <c r="A1216" s="48">
        <v>1941</v>
      </c>
      <c r="B1216" s="120">
        <v>-0.10529999999999999</v>
      </c>
      <c r="C1216" s="120">
        <v>5.9999999999999995E-4</v>
      </c>
      <c r="D1216" s="121"/>
      <c r="E1216" s="121"/>
      <c r="F1216" s="121"/>
      <c r="G1216" s="121"/>
      <c r="H1216" s="121"/>
      <c r="I1216" s="121"/>
      <c r="J1216" s="121"/>
      <c r="K1216" s="121"/>
      <c r="L1216" s="121"/>
      <c r="M1216" s="121"/>
      <c r="N1216" s="121"/>
      <c r="O1216" s="121"/>
      <c r="P1216" s="121"/>
      <c r="Q1216" s="121"/>
      <c r="R1216" s="121"/>
      <c r="S1216" s="121"/>
      <c r="T1216" s="121"/>
      <c r="U1216" s="121"/>
      <c r="V1216" s="121"/>
      <c r="W1216" s="121"/>
      <c r="X1216" s="121"/>
      <c r="Y1216" s="121"/>
      <c r="Z1216" s="121"/>
    </row>
    <row r="1217" spans="1:26" ht="14.25" customHeight="1" x14ac:dyDescent="0.35">
      <c r="A1217" s="48">
        <v>1942</v>
      </c>
      <c r="B1217" s="120">
        <v>0.16200000000000001</v>
      </c>
      <c r="C1217" s="120">
        <v>2.7000000000000001E-3</v>
      </c>
      <c r="D1217" s="121"/>
      <c r="E1217" s="121"/>
      <c r="F1217" s="121"/>
      <c r="G1217" s="121"/>
      <c r="H1217" s="121"/>
      <c r="I1217" s="121"/>
      <c r="J1217" s="121"/>
      <c r="K1217" s="121"/>
      <c r="L1217" s="121"/>
      <c r="M1217" s="121"/>
      <c r="N1217" s="121"/>
      <c r="O1217" s="121"/>
      <c r="P1217" s="121"/>
      <c r="Q1217" s="121"/>
      <c r="R1217" s="121"/>
      <c r="S1217" s="121"/>
      <c r="T1217" s="121"/>
      <c r="U1217" s="121"/>
      <c r="V1217" s="121"/>
      <c r="W1217" s="121"/>
      <c r="X1217" s="121"/>
      <c r="Y1217" s="121"/>
      <c r="Z1217" s="121"/>
    </row>
    <row r="1218" spans="1:26" ht="14.25" customHeight="1" x14ac:dyDescent="0.35">
      <c r="A1218" s="48">
        <v>1943</v>
      </c>
      <c r="B1218" s="120">
        <v>0.27960000000000002</v>
      </c>
      <c r="C1218" s="120">
        <v>3.4999999999999996E-3</v>
      </c>
      <c r="D1218" s="121"/>
      <c r="E1218" s="121"/>
      <c r="F1218" s="121"/>
      <c r="G1218" s="121"/>
      <c r="H1218" s="121"/>
      <c r="I1218" s="121"/>
      <c r="J1218" s="121"/>
      <c r="K1218" s="121"/>
      <c r="L1218" s="121"/>
      <c r="M1218" s="121"/>
      <c r="N1218" s="121"/>
      <c r="O1218" s="121"/>
      <c r="P1218" s="121"/>
      <c r="Q1218" s="121"/>
      <c r="R1218" s="121"/>
      <c r="S1218" s="121"/>
      <c r="T1218" s="121"/>
      <c r="U1218" s="121"/>
      <c r="V1218" s="121"/>
      <c r="W1218" s="121"/>
      <c r="X1218" s="121"/>
      <c r="Y1218" s="121"/>
      <c r="Z1218" s="121"/>
    </row>
    <row r="1219" spans="1:26" ht="14.25" customHeight="1" x14ac:dyDescent="0.35">
      <c r="A1219" s="48">
        <v>1944</v>
      </c>
      <c r="B1219" s="120">
        <v>0.2097</v>
      </c>
      <c r="C1219" s="120">
        <v>3.3E-3</v>
      </c>
      <c r="D1219" s="121"/>
      <c r="E1219" s="121"/>
      <c r="F1219" s="121"/>
      <c r="G1219" s="121"/>
      <c r="H1219" s="121"/>
      <c r="I1219" s="121"/>
      <c r="J1219" s="121"/>
      <c r="K1219" s="121"/>
      <c r="L1219" s="121"/>
      <c r="M1219" s="121"/>
      <c r="N1219" s="121"/>
      <c r="O1219" s="121"/>
      <c r="P1219" s="121"/>
      <c r="Q1219" s="121"/>
      <c r="R1219" s="121"/>
      <c r="S1219" s="121"/>
      <c r="T1219" s="121"/>
      <c r="U1219" s="121"/>
      <c r="V1219" s="121"/>
      <c r="W1219" s="121"/>
      <c r="X1219" s="121"/>
      <c r="Y1219" s="121"/>
      <c r="Z1219" s="121"/>
    </row>
    <row r="1220" spans="1:26" ht="14.25" customHeight="1" x14ac:dyDescent="0.35">
      <c r="A1220" s="48">
        <v>1945</v>
      </c>
      <c r="B1220" s="120">
        <v>0.38380000000000003</v>
      </c>
      <c r="C1220" s="120">
        <v>3.3E-3</v>
      </c>
      <c r="D1220" s="121"/>
      <c r="E1220" s="121"/>
      <c r="F1220" s="121"/>
      <c r="G1220" s="121"/>
      <c r="H1220" s="121"/>
      <c r="I1220" s="121"/>
      <c r="J1220" s="121"/>
      <c r="K1220" s="121"/>
      <c r="L1220" s="121"/>
      <c r="M1220" s="121"/>
      <c r="N1220" s="121"/>
      <c r="O1220" s="121"/>
      <c r="P1220" s="121"/>
      <c r="Q1220" s="121"/>
      <c r="R1220" s="121"/>
      <c r="S1220" s="121"/>
      <c r="T1220" s="121"/>
      <c r="U1220" s="121"/>
      <c r="V1220" s="121"/>
      <c r="W1220" s="121"/>
      <c r="X1220" s="121"/>
      <c r="Y1220" s="121"/>
      <c r="Z1220" s="121"/>
    </row>
    <row r="1221" spans="1:26" ht="14.25" customHeight="1" x14ac:dyDescent="0.35">
      <c r="A1221" s="48">
        <v>1946</v>
      </c>
      <c r="B1221" s="120">
        <v>-6.7299999999999999E-2</v>
      </c>
      <c r="C1221" s="120">
        <v>3.4999999999999996E-3</v>
      </c>
      <c r="D1221" s="121"/>
      <c r="E1221" s="121"/>
      <c r="F1221" s="121"/>
      <c r="G1221" s="121"/>
      <c r="H1221" s="121"/>
      <c r="I1221" s="121"/>
      <c r="J1221" s="121"/>
      <c r="K1221" s="121"/>
      <c r="L1221" s="121"/>
      <c r="M1221" s="121"/>
      <c r="N1221" s="121"/>
      <c r="O1221" s="121"/>
      <c r="P1221" s="121"/>
      <c r="Q1221" s="121"/>
      <c r="R1221" s="121"/>
      <c r="S1221" s="121"/>
      <c r="T1221" s="121"/>
      <c r="U1221" s="121"/>
      <c r="V1221" s="121"/>
      <c r="W1221" s="121"/>
      <c r="X1221" s="121"/>
      <c r="Y1221" s="121"/>
      <c r="Z1221" s="121"/>
    </row>
    <row r="1222" spans="1:26" ht="14.25" customHeight="1" x14ac:dyDescent="0.35">
      <c r="A1222" s="48">
        <v>1947</v>
      </c>
      <c r="B1222" s="120">
        <v>2.9500000000000002E-2</v>
      </c>
      <c r="C1222" s="120">
        <v>5.0000000000000001E-3</v>
      </c>
      <c r="D1222" s="121"/>
      <c r="E1222" s="121"/>
      <c r="F1222" s="121"/>
      <c r="G1222" s="121"/>
      <c r="H1222" s="121"/>
      <c r="I1222" s="121"/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</row>
    <row r="1223" spans="1:26" ht="14.25" customHeight="1" x14ac:dyDescent="0.35">
      <c r="A1223" s="48">
        <v>1948</v>
      </c>
      <c r="B1223" s="120">
        <v>1.0700000000000001E-2</v>
      </c>
      <c r="C1223" s="120">
        <v>8.1000000000000013E-3</v>
      </c>
      <c r="D1223" s="121"/>
      <c r="E1223" s="121"/>
      <c r="F1223" s="121"/>
      <c r="G1223" s="121"/>
      <c r="H1223" s="121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</row>
    <row r="1224" spans="1:26" ht="14.25" customHeight="1" x14ac:dyDescent="0.35">
      <c r="A1224" s="48">
        <v>1949</v>
      </c>
      <c r="B1224" s="120">
        <v>0.19120000000000001</v>
      </c>
      <c r="C1224" s="120">
        <v>1.1000000000000001E-2</v>
      </c>
      <c r="D1224" s="121"/>
      <c r="E1224" s="121"/>
      <c r="F1224" s="121"/>
      <c r="G1224" s="121"/>
      <c r="H1224" s="121"/>
      <c r="I1224" s="121"/>
      <c r="J1224" s="121"/>
      <c r="K1224" s="121"/>
      <c r="L1224" s="121"/>
      <c r="M1224" s="121"/>
      <c r="N1224" s="121"/>
      <c r="O1224" s="121"/>
      <c r="P1224" s="121"/>
      <c r="Q1224" s="121"/>
      <c r="R1224" s="121"/>
      <c r="S1224" s="121"/>
      <c r="T1224" s="121"/>
      <c r="U1224" s="121"/>
      <c r="V1224" s="121"/>
      <c r="W1224" s="121"/>
      <c r="X1224" s="121"/>
      <c r="Y1224" s="121"/>
      <c r="Z1224" s="121"/>
    </row>
    <row r="1225" spans="1:26" ht="14.25" customHeight="1" x14ac:dyDescent="0.35">
      <c r="A1225" s="48">
        <v>1950</v>
      </c>
      <c r="B1225" s="120">
        <v>0.28820000000000001</v>
      </c>
      <c r="C1225" s="120">
        <v>1.2E-2</v>
      </c>
      <c r="D1225" s="121"/>
      <c r="E1225" s="121"/>
      <c r="F1225" s="121"/>
      <c r="G1225" s="121"/>
      <c r="H1225" s="121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</row>
    <row r="1226" spans="1:26" ht="14.25" customHeight="1" x14ac:dyDescent="0.35">
      <c r="A1226" s="48">
        <v>1951</v>
      </c>
      <c r="B1226" s="120">
        <v>0.19219999999999998</v>
      </c>
      <c r="C1226" s="120">
        <v>1.49E-2</v>
      </c>
      <c r="D1226" s="121"/>
      <c r="E1226" s="121"/>
      <c r="F1226" s="121"/>
      <c r="G1226" s="121"/>
      <c r="H1226" s="121"/>
      <c r="I1226" s="121"/>
      <c r="J1226" s="121"/>
      <c r="K1226" s="121"/>
      <c r="L1226" s="121"/>
      <c r="M1226" s="121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</row>
    <row r="1227" spans="1:26" ht="14.25" customHeight="1" x14ac:dyDescent="0.35">
      <c r="A1227" s="48">
        <v>1952</v>
      </c>
      <c r="B1227" s="120">
        <v>0.11800000000000001</v>
      </c>
      <c r="C1227" s="120">
        <v>1.66E-2</v>
      </c>
      <c r="D1227" s="121"/>
      <c r="E1227" s="121"/>
      <c r="F1227" s="121"/>
      <c r="G1227" s="121"/>
      <c r="H1227" s="121"/>
      <c r="I1227" s="121"/>
      <c r="J1227" s="121"/>
      <c r="K1227" s="121"/>
      <c r="L1227" s="121"/>
      <c r="M1227" s="121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</row>
    <row r="1228" spans="1:26" ht="14.25" customHeight="1" x14ac:dyDescent="0.35">
      <c r="A1228" s="48">
        <v>1953</v>
      </c>
      <c r="B1228" s="120">
        <v>-1.0500000000000001E-2</v>
      </c>
      <c r="C1228" s="120">
        <v>1.8200000000000001E-2</v>
      </c>
      <c r="D1228" s="121"/>
      <c r="E1228" s="121"/>
      <c r="F1228" s="121"/>
      <c r="G1228" s="121"/>
      <c r="H1228" s="121"/>
      <c r="I1228" s="121"/>
      <c r="J1228" s="121"/>
      <c r="K1228" s="121"/>
      <c r="L1228" s="121"/>
      <c r="M1228" s="121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</row>
    <row r="1229" spans="1:26" ht="14.25" customHeight="1" x14ac:dyDescent="0.35">
      <c r="A1229" s="48">
        <v>1954</v>
      </c>
      <c r="B1229" s="120">
        <v>0.49349999999999999</v>
      </c>
      <c r="C1229" s="120">
        <v>8.6E-3</v>
      </c>
      <c r="D1229" s="121"/>
      <c r="E1229" s="121"/>
      <c r="F1229" s="121"/>
      <c r="G1229" s="121"/>
      <c r="H1229" s="121"/>
      <c r="I1229" s="121"/>
      <c r="J1229" s="121"/>
      <c r="K1229" s="121"/>
      <c r="L1229" s="121"/>
      <c r="M1229" s="121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</row>
    <row r="1230" spans="1:26" ht="14.25" customHeight="1" x14ac:dyDescent="0.35">
      <c r="A1230" s="48">
        <v>1955</v>
      </c>
      <c r="B1230" s="120">
        <v>0.23749999999999999</v>
      </c>
      <c r="C1230" s="120">
        <v>1.5700000000000002E-2</v>
      </c>
      <c r="D1230" s="121"/>
      <c r="E1230" s="121"/>
      <c r="F1230" s="121"/>
      <c r="G1230" s="121"/>
      <c r="H1230" s="121"/>
      <c r="I1230" s="121"/>
      <c r="J1230" s="121"/>
      <c r="K1230" s="121"/>
      <c r="L1230" s="121"/>
      <c r="M1230" s="121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</row>
    <row r="1231" spans="1:26" ht="14.25" customHeight="1" x14ac:dyDescent="0.35">
      <c r="A1231" s="48">
        <v>1956</v>
      </c>
      <c r="B1231" s="120">
        <v>5.9000000000000004E-2</v>
      </c>
      <c r="C1231" s="120">
        <v>2.46E-2</v>
      </c>
      <c r="D1231" s="121"/>
      <c r="E1231" s="121"/>
      <c r="F1231" s="121"/>
      <c r="G1231" s="121"/>
      <c r="H1231" s="121"/>
      <c r="I1231" s="121"/>
      <c r="J1231" s="121"/>
      <c r="K1231" s="121"/>
      <c r="L1231" s="121"/>
      <c r="M1231" s="121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</row>
    <row r="1232" spans="1:26" ht="14.25" customHeight="1" x14ac:dyDescent="0.35">
      <c r="A1232" s="48">
        <v>1957</v>
      </c>
      <c r="B1232" s="120">
        <v>-0.13159999999999999</v>
      </c>
      <c r="C1232" s="120">
        <v>3.1400000000000004E-2</v>
      </c>
      <c r="D1232" s="121"/>
      <c r="E1232" s="121"/>
      <c r="F1232" s="121"/>
      <c r="G1232" s="121"/>
      <c r="H1232" s="121"/>
      <c r="I1232" s="121"/>
      <c r="J1232" s="121"/>
      <c r="K1232" s="121"/>
      <c r="L1232" s="121"/>
      <c r="M1232" s="121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</row>
    <row r="1233" spans="1:26" ht="14.25" customHeight="1" x14ac:dyDescent="0.35">
      <c r="A1233" s="48">
        <v>1958</v>
      </c>
      <c r="B1233" s="120">
        <v>0.43450000000000005</v>
      </c>
      <c r="C1233" s="120">
        <v>1.54E-2</v>
      </c>
      <c r="D1233" s="121"/>
      <c r="E1233" s="121"/>
      <c r="F1233" s="121"/>
      <c r="G1233" s="121"/>
      <c r="H1233" s="121"/>
      <c r="I1233" s="121"/>
      <c r="J1233" s="121"/>
      <c r="K1233" s="121"/>
      <c r="L1233" s="121"/>
      <c r="M1233" s="121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</row>
    <row r="1234" spans="1:26" ht="14.25" customHeight="1" x14ac:dyDescent="0.35">
      <c r="A1234" s="48">
        <v>1959</v>
      </c>
      <c r="B1234" s="120">
        <v>9.7599999999999992E-2</v>
      </c>
      <c r="C1234" s="120">
        <v>2.9500000000000002E-2</v>
      </c>
      <c r="D1234" s="121"/>
      <c r="E1234" s="121"/>
      <c r="F1234" s="121"/>
      <c r="G1234" s="121"/>
      <c r="H1234" s="121"/>
      <c r="I1234" s="121"/>
      <c r="J1234" s="121"/>
      <c r="K1234" s="121"/>
      <c r="L1234" s="121"/>
      <c r="M1234" s="121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</row>
    <row r="1235" spans="1:26" ht="14.25" customHeight="1" x14ac:dyDescent="0.35">
      <c r="A1235" s="48">
        <v>1960</v>
      </c>
      <c r="B1235" s="120">
        <v>-1.46E-2</v>
      </c>
      <c r="C1235" s="120">
        <v>2.6600000000000002E-2</v>
      </c>
      <c r="D1235" s="121"/>
      <c r="E1235" s="121"/>
      <c r="F1235" s="121"/>
      <c r="G1235" s="121"/>
      <c r="H1235" s="121"/>
      <c r="I1235" s="121"/>
      <c r="J1235" s="121"/>
      <c r="K1235" s="121"/>
      <c r="L1235" s="121"/>
      <c r="M1235" s="121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</row>
    <row r="1236" spans="1:26" ht="14.25" customHeight="1" x14ac:dyDescent="0.35">
      <c r="A1236" s="48">
        <v>1961</v>
      </c>
      <c r="B1236" s="120">
        <v>0.24809999999999999</v>
      </c>
      <c r="C1236" s="120">
        <v>2.1299999999999999E-2</v>
      </c>
      <c r="D1236" s="121"/>
      <c r="E1236" s="121"/>
      <c r="F1236" s="121"/>
      <c r="G1236" s="121"/>
      <c r="H1236" s="121"/>
      <c r="I1236" s="121"/>
      <c r="J1236" s="121"/>
      <c r="K1236" s="121"/>
      <c r="L1236" s="121"/>
      <c r="M1236" s="121"/>
      <c r="N1236" s="121"/>
      <c r="O1236" s="121"/>
      <c r="P1236" s="121"/>
      <c r="Q1236" s="121"/>
      <c r="R1236" s="121"/>
      <c r="S1236" s="121"/>
      <c r="T1236" s="121"/>
      <c r="U1236" s="121"/>
      <c r="V1236" s="121"/>
      <c r="W1236" s="121"/>
      <c r="X1236" s="121"/>
      <c r="Y1236" s="121"/>
      <c r="Z1236" s="121"/>
    </row>
    <row r="1237" spans="1:26" ht="14.25" customHeight="1" x14ac:dyDescent="0.35">
      <c r="A1237" s="48">
        <v>1962</v>
      </c>
      <c r="B1237" s="120">
        <v>-0.129</v>
      </c>
      <c r="C1237" s="120">
        <v>2.7300000000000001E-2</v>
      </c>
      <c r="D1237" s="121"/>
      <c r="E1237" s="121"/>
      <c r="F1237" s="121"/>
      <c r="G1237" s="121"/>
      <c r="H1237" s="121"/>
      <c r="I1237" s="121"/>
      <c r="J1237" s="121"/>
      <c r="K1237" s="121"/>
      <c r="L1237" s="121"/>
      <c r="M1237" s="121"/>
      <c r="N1237" s="121"/>
      <c r="O1237" s="121"/>
      <c r="P1237" s="121"/>
      <c r="Q1237" s="121"/>
      <c r="R1237" s="121"/>
      <c r="S1237" s="121"/>
      <c r="T1237" s="121"/>
      <c r="U1237" s="121"/>
      <c r="V1237" s="121"/>
      <c r="W1237" s="121"/>
      <c r="X1237" s="121"/>
      <c r="Y1237" s="121"/>
      <c r="Z1237" s="121"/>
    </row>
    <row r="1238" spans="1:26" ht="14.25" customHeight="1" x14ac:dyDescent="0.35">
      <c r="A1238" s="48">
        <v>1963</v>
      </c>
      <c r="B1238" s="120">
        <v>0.1784</v>
      </c>
      <c r="C1238" s="120">
        <v>3.1200000000000002E-2</v>
      </c>
      <c r="D1238" s="121"/>
      <c r="E1238" s="121"/>
      <c r="F1238" s="121"/>
      <c r="G1238" s="121"/>
      <c r="H1238" s="121"/>
      <c r="I1238" s="121"/>
      <c r="J1238" s="121"/>
      <c r="K1238" s="121"/>
      <c r="L1238" s="121"/>
      <c r="M1238" s="121"/>
      <c r="N1238" s="121"/>
      <c r="O1238" s="121"/>
      <c r="P1238" s="121"/>
      <c r="Q1238" s="121"/>
      <c r="R1238" s="121"/>
      <c r="S1238" s="121"/>
      <c r="T1238" s="121"/>
      <c r="U1238" s="121"/>
      <c r="V1238" s="121"/>
      <c r="W1238" s="121"/>
      <c r="X1238" s="121"/>
      <c r="Y1238" s="121"/>
      <c r="Z1238" s="121"/>
    </row>
    <row r="1239" spans="1:26" ht="14.25" customHeight="1" x14ac:dyDescent="0.35">
      <c r="A1239" s="48">
        <v>1964</v>
      </c>
      <c r="B1239" s="120">
        <v>0.12539999999999998</v>
      </c>
      <c r="C1239" s="120">
        <v>3.5400000000000001E-2</v>
      </c>
      <c r="D1239" s="121"/>
      <c r="E1239" s="121"/>
      <c r="F1239" s="121"/>
      <c r="G1239" s="121"/>
      <c r="H1239" s="121"/>
      <c r="I1239" s="121"/>
      <c r="J1239" s="121"/>
      <c r="K1239" s="121"/>
      <c r="L1239" s="121"/>
      <c r="M1239" s="121"/>
      <c r="N1239" s="121"/>
      <c r="O1239" s="121"/>
      <c r="P1239" s="121"/>
      <c r="Q1239" s="121"/>
      <c r="R1239" s="121"/>
      <c r="S1239" s="121"/>
      <c r="T1239" s="121"/>
      <c r="U1239" s="121"/>
      <c r="V1239" s="121"/>
      <c r="W1239" s="121"/>
      <c r="X1239" s="121"/>
      <c r="Y1239" s="121"/>
      <c r="Z1239" s="121"/>
    </row>
    <row r="1240" spans="1:26" ht="14.25" customHeight="1" x14ac:dyDescent="0.35">
      <c r="A1240" s="48">
        <v>1965</v>
      </c>
      <c r="B1240" s="120">
        <v>0.1052</v>
      </c>
      <c r="C1240" s="120">
        <v>3.9300000000000002E-2</v>
      </c>
      <c r="D1240" s="121"/>
      <c r="E1240" s="121"/>
      <c r="F1240" s="121"/>
      <c r="G1240" s="121"/>
      <c r="H1240" s="121"/>
      <c r="I1240" s="121"/>
      <c r="J1240" s="121"/>
      <c r="K1240" s="121"/>
      <c r="L1240" s="121"/>
      <c r="M1240" s="121"/>
      <c r="N1240" s="121"/>
      <c r="O1240" s="121"/>
      <c r="P1240" s="121"/>
      <c r="Q1240" s="121"/>
      <c r="R1240" s="121"/>
      <c r="S1240" s="121"/>
      <c r="T1240" s="121"/>
      <c r="U1240" s="121"/>
      <c r="V1240" s="121"/>
      <c r="W1240" s="121"/>
      <c r="X1240" s="121"/>
      <c r="Y1240" s="121"/>
      <c r="Z1240" s="121"/>
    </row>
    <row r="1241" spans="1:26" ht="14.25" customHeight="1" x14ac:dyDescent="0.35">
      <c r="A1241" s="48">
        <v>1966</v>
      </c>
      <c r="B1241" s="120">
        <v>-0.1351</v>
      </c>
      <c r="C1241" s="120">
        <v>4.7599999999999996E-2</v>
      </c>
      <c r="D1241" s="121"/>
      <c r="E1241" s="121"/>
      <c r="F1241" s="121"/>
      <c r="G1241" s="121"/>
      <c r="H1241" s="121"/>
      <c r="I1241" s="121"/>
      <c r="J1241" s="121"/>
      <c r="K1241" s="121"/>
      <c r="L1241" s="121"/>
      <c r="M1241" s="121"/>
      <c r="N1241" s="121"/>
      <c r="O1241" s="121"/>
      <c r="P1241" s="121"/>
      <c r="Q1241" s="121"/>
      <c r="R1241" s="121"/>
      <c r="S1241" s="121"/>
      <c r="T1241" s="121"/>
      <c r="U1241" s="121"/>
      <c r="V1241" s="121"/>
      <c r="W1241" s="121"/>
      <c r="X1241" s="121"/>
      <c r="Y1241" s="121"/>
      <c r="Z1241" s="121"/>
    </row>
    <row r="1242" spans="1:26" ht="14.25" customHeight="1" x14ac:dyDescent="0.35">
      <c r="A1242" s="48">
        <v>1967</v>
      </c>
      <c r="B1242" s="120">
        <v>0.24489999999999998</v>
      </c>
      <c r="C1242" s="120">
        <v>4.2099999999999999E-2</v>
      </c>
      <c r="D1242" s="121"/>
      <c r="E1242" s="121"/>
      <c r="F1242" s="121"/>
      <c r="G1242" s="121"/>
      <c r="H1242" s="121"/>
      <c r="I1242" s="121"/>
      <c r="J1242" s="121"/>
      <c r="K1242" s="121"/>
      <c r="L1242" s="121"/>
      <c r="M1242" s="121"/>
      <c r="N1242" s="121"/>
      <c r="O1242" s="121"/>
      <c r="P1242" s="121"/>
      <c r="Q1242" s="121"/>
      <c r="R1242" s="121"/>
      <c r="S1242" s="121"/>
      <c r="T1242" s="121"/>
      <c r="U1242" s="121"/>
      <c r="V1242" s="121"/>
      <c r="W1242" s="121"/>
      <c r="X1242" s="121"/>
      <c r="Y1242" s="121"/>
      <c r="Z1242" s="121"/>
    </row>
    <row r="1243" spans="1:26" ht="14.25" customHeight="1" x14ac:dyDescent="0.35">
      <c r="A1243" s="48">
        <v>1968</v>
      </c>
      <c r="B1243" s="120">
        <v>8.7899999999999992E-2</v>
      </c>
      <c r="C1243" s="120">
        <v>5.21E-2</v>
      </c>
      <c r="D1243" s="121"/>
      <c r="E1243" s="121"/>
      <c r="F1243" s="121"/>
      <c r="G1243" s="121"/>
      <c r="H1243" s="121"/>
      <c r="I1243" s="121"/>
      <c r="J1243" s="121"/>
      <c r="K1243" s="121"/>
      <c r="L1243" s="121"/>
      <c r="M1243" s="121"/>
      <c r="N1243" s="121"/>
      <c r="O1243" s="121"/>
      <c r="P1243" s="121"/>
      <c r="Q1243" s="121"/>
      <c r="R1243" s="121"/>
      <c r="S1243" s="121"/>
      <c r="T1243" s="121"/>
      <c r="U1243" s="121"/>
      <c r="V1243" s="121"/>
      <c r="W1243" s="121"/>
      <c r="X1243" s="121"/>
      <c r="Y1243" s="121"/>
      <c r="Z1243" s="121"/>
    </row>
    <row r="1244" spans="1:26" ht="14.25" customHeight="1" x14ac:dyDescent="0.35">
      <c r="A1244" s="48">
        <v>1969</v>
      </c>
      <c r="B1244" s="120">
        <v>-0.1754</v>
      </c>
      <c r="C1244" s="120">
        <v>6.5799999999999997E-2</v>
      </c>
      <c r="D1244" s="121"/>
      <c r="E1244" s="121"/>
      <c r="F1244" s="121"/>
      <c r="G1244" s="121"/>
      <c r="H1244" s="121"/>
      <c r="I1244" s="121"/>
      <c r="J1244" s="121"/>
      <c r="K1244" s="121"/>
      <c r="L1244" s="121"/>
      <c r="M1244" s="121"/>
      <c r="N1244" s="121"/>
      <c r="O1244" s="121"/>
      <c r="P1244" s="121"/>
      <c r="Q1244" s="121"/>
      <c r="R1244" s="121"/>
      <c r="S1244" s="121"/>
      <c r="T1244" s="121"/>
      <c r="U1244" s="121"/>
      <c r="V1244" s="121"/>
      <c r="W1244" s="121"/>
      <c r="X1244" s="121"/>
      <c r="Y1244" s="121"/>
      <c r="Z1244" s="121"/>
    </row>
    <row r="1245" spans="1:26" ht="14.25" customHeight="1" x14ac:dyDescent="0.35">
      <c r="A1245" s="48">
        <v>1970</v>
      </c>
      <c r="B1245" s="120">
        <v>-6.4899999999999999E-2</v>
      </c>
      <c r="C1245" s="120">
        <v>6.5199999999999994E-2</v>
      </c>
      <c r="D1245" s="121"/>
      <c r="E1245" s="121"/>
      <c r="F1245" s="121"/>
      <c r="G1245" s="121"/>
      <c r="H1245" s="121"/>
      <c r="I1245" s="121"/>
      <c r="J1245" s="121"/>
      <c r="K1245" s="121"/>
      <c r="L1245" s="121"/>
      <c r="M1245" s="121"/>
      <c r="N1245" s="121"/>
      <c r="O1245" s="121"/>
      <c r="P1245" s="121"/>
      <c r="Q1245" s="121"/>
      <c r="R1245" s="121"/>
      <c r="S1245" s="121"/>
      <c r="T1245" s="121"/>
      <c r="U1245" s="121"/>
      <c r="V1245" s="121"/>
      <c r="W1245" s="121"/>
      <c r="X1245" s="121"/>
      <c r="Y1245" s="121"/>
      <c r="Z1245" s="121"/>
    </row>
    <row r="1246" spans="1:26" ht="14.25" customHeight="1" x14ac:dyDescent="0.35">
      <c r="A1246" s="48">
        <v>1971</v>
      </c>
      <c r="B1246" s="120">
        <v>0.11779999999999999</v>
      </c>
      <c r="C1246" s="120">
        <v>4.3899999999999995E-2</v>
      </c>
      <c r="D1246" s="121"/>
      <c r="E1246" s="121"/>
      <c r="F1246" s="121"/>
      <c r="G1246" s="121"/>
      <c r="H1246" s="121"/>
      <c r="I1246" s="121"/>
      <c r="J1246" s="121"/>
      <c r="K1246" s="121"/>
      <c r="L1246" s="121"/>
      <c r="M1246" s="121"/>
      <c r="N1246" s="121"/>
      <c r="O1246" s="121"/>
      <c r="P1246" s="121"/>
      <c r="Q1246" s="121"/>
      <c r="R1246" s="121"/>
      <c r="S1246" s="121"/>
      <c r="T1246" s="121"/>
      <c r="U1246" s="121"/>
      <c r="V1246" s="121"/>
      <c r="W1246" s="121"/>
      <c r="X1246" s="121"/>
      <c r="Y1246" s="121"/>
      <c r="Z1246" s="121"/>
    </row>
    <row r="1247" spans="1:26" ht="14.25" customHeight="1" x14ac:dyDescent="0.35">
      <c r="A1247" s="48">
        <v>1972</v>
      </c>
      <c r="B1247" s="120">
        <v>0.1305</v>
      </c>
      <c r="C1247" s="120">
        <v>3.8399999999999997E-2</v>
      </c>
      <c r="D1247" s="121"/>
      <c r="E1247" s="121"/>
      <c r="F1247" s="121"/>
      <c r="G1247" s="121"/>
      <c r="H1247" s="121"/>
      <c r="I1247" s="121"/>
      <c r="J1247" s="121"/>
      <c r="K1247" s="121"/>
      <c r="L1247" s="121"/>
      <c r="M1247" s="121"/>
      <c r="N1247" s="121"/>
      <c r="O1247" s="121"/>
      <c r="P1247" s="121"/>
      <c r="Q1247" s="121"/>
      <c r="R1247" s="121"/>
      <c r="S1247" s="121"/>
      <c r="T1247" s="121"/>
      <c r="U1247" s="121"/>
      <c r="V1247" s="121"/>
      <c r="W1247" s="121"/>
      <c r="X1247" s="121"/>
      <c r="Y1247" s="121"/>
      <c r="Z1247" s="121"/>
    </row>
    <row r="1248" spans="1:26" ht="14.25" customHeight="1" x14ac:dyDescent="0.35">
      <c r="A1248" s="48">
        <v>1973</v>
      </c>
      <c r="B1248" s="120">
        <v>-0.26179999999999998</v>
      </c>
      <c r="C1248" s="120">
        <v>6.93E-2</v>
      </c>
      <c r="D1248" s="121"/>
      <c r="E1248" s="121"/>
      <c r="F1248" s="121"/>
      <c r="G1248" s="121"/>
      <c r="H1248" s="121"/>
      <c r="I1248" s="121"/>
      <c r="J1248" s="121"/>
      <c r="K1248" s="121"/>
      <c r="L1248" s="121"/>
      <c r="M1248" s="121"/>
      <c r="N1248" s="121"/>
      <c r="O1248" s="121"/>
      <c r="P1248" s="121"/>
      <c r="Q1248" s="121"/>
      <c r="R1248" s="121"/>
      <c r="S1248" s="121"/>
      <c r="T1248" s="121"/>
      <c r="U1248" s="121"/>
      <c r="V1248" s="121"/>
      <c r="W1248" s="121"/>
      <c r="X1248" s="121"/>
      <c r="Y1248" s="121"/>
      <c r="Z1248" s="121"/>
    </row>
    <row r="1249" spans="1:26" ht="14.25" customHeight="1" x14ac:dyDescent="0.35">
      <c r="A1249" s="48">
        <v>1974</v>
      </c>
      <c r="B1249" s="120">
        <v>-0.35749999999999998</v>
      </c>
      <c r="C1249" s="120">
        <v>0.08</v>
      </c>
      <c r="D1249" s="121"/>
      <c r="E1249" s="121"/>
      <c r="F1249" s="121"/>
      <c r="G1249" s="121"/>
      <c r="H1249" s="121"/>
      <c r="I1249" s="121"/>
      <c r="J1249" s="121"/>
      <c r="K1249" s="121"/>
      <c r="L1249" s="121"/>
      <c r="M1249" s="121"/>
      <c r="N1249" s="121"/>
      <c r="O1249" s="121"/>
      <c r="P1249" s="121"/>
      <c r="Q1249" s="121"/>
      <c r="R1249" s="121"/>
      <c r="S1249" s="121"/>
      <c r="T1249" s="121"/>
      <c r="U1249" s="121"/>
      <c r="V1249" s="121"/>
      <c r="W1249" s="121"/>
      <c r="X1249" s="121"/>
      <c r="Y1249" s="121"/>
      <c r="Z1249" s="121"/>
    </row>
    <row r="1250" spans="1:26" ht="14.25" customHeight="1" x14ac:dyDescent="0.35">
      <c r="A1250" s="48">
        <v>1975</v>
      </c>
      <c r="B1250" s="120">
        <v>0.32439999999999997</v>
      </c>
      <c r="C1250" s="120">
        <v>5.7999999999999996E-2</v>
      </c>
      <c r="D1250" s="121"/>
      <c r="E1250" s="121"/>
      <c r="F1250" s="121"/>
      <c r="G1250" s="121"/>
      <c r="H1250" s="121"/>
      <c r="I1250" s="121"/>
      <c r="J1250" s="121"/>
      <c r="K1250" s="121"/>
      <c r="L1250" s="121"/>
      <c r="M1250" s="121"/>
      <c r="N1250" s="121"/>
      <c r="O1250" s="121"/>
      <c r="P1250" s="121"/>
      <c r="Q1250" s="121"/>
      <c r="R1250" s="121"/>
      <c r="S1250" s="121"/>
      <c r="T1250" s="121"/>
      <c r="U1250" s="121"/>
      <c r="V1250" s="121"/>
      <c r="W1250" s="121"/>
      <c r="X1250" s="121"/>
      <c r="Y1250" s="121"/>
      <c r="Z1250" s="121"/>
    </row>
    <row r="1251" spans="1:26" ht="14.25" customHeight="1" x14ac:dyDescent="0.35">
      <c r="A1251" s="48">
        <v>1976</v>
      </c>
      <c r="B1251" s="120">
        <v>0.21909999999999999</v>
      </c>
      <c r="C1251" s="120">
        <v>5.0799999999999998E-2</v>
      </c>
      <c r="D1251" s="121"/>
      <c r="E1251" s="121"/>
      <c r="F1251" s="121"/>
      <c r="G1251" s="121"/>
      <c r="H1251" s="121"/>
      <c r="I1251" s="121"/>
      <c r="J1251" s="121"/>
      <c r="K1251" s="121"/>
      <c r="L1251" s="121"/>
      <c r="M1251" s="121"/>
      <c r="N1251" s="121"/>
      <c r="O1251" s="121"/>
      <c r="P1251" s="121"/>
      <c r="Q1251" s="121"/>
      <c r="R1251" s="121"/>
      <c r="S1251" s="121"/>
      <c r="T1251" s="121"/>
      <c r="U1251" s="121"/>
      <c r="V1251" s="121"/>
      <c r="W1251" s="121"/>
      <c r="X1251" s="121"/>
      <c r="Y1251" s="121"/>
      <c r="Z1251" s="121"/>
    </row>
    <row r="1252" spans="1:26" ht="14.25" customHeight="1" x14ac:dyDescent="0.35">
      <c r="A1252" s="48">
        <v>1977</v>
      </c>
      <c r="B1252" s="120">
        <v>-8.2599999999999993E-2</v>
      </c>
      <c r="C1252" s="120">
        <v>5.1200000000000002E-2</v>
      </c>
      <c r="D1252" s="121"/>
      <c r="E1252" s="121"/>
      <c r="F1252" s="121"/>
      <c r="G1252" s="121"/>
      <c r="H1252" s="121"/>
      <c r="I1252" s="121"/>
      <c r="J1252" s="121"/>
      <c r="K1252" s="121"/>
      <c r="L1252" s="121"/>
      <c r="M1252" s="121"/>
      <c r="N1252" s="121"/>
      <c r="O1252" s="121"/>
      <c r="P1252" s="121"/>
      <c r="Q1252" s="121"/>
      <c r="R1252" s="121"/>
      <c r="S1252" s="121"/>
      <c r="T1252" s="121"/>
      <c r="U1252" s="121"/>
      <c r="V1252" s="121"/>
      <c r="W1252" s="121"/>
      <c r="X1252" s="121"/>
      <c r="Y1252" s="121"/>
      <c r="Z1252" s="121"/>
    </row>
    <row r="1253" spans="1:26" ht="14.25" customHeight="1" x14ac:dyDescent="0.35">
      <c r="A1253" s="48">
        <v>1978</v>
      </c>
      <c r="B1253" s="120">
        <v>1.03E-2</v>
      </c>
      <c r="C1253" s="120">
        <v>7.1800000000000003E-2</v>
      </c>
      <c r="D1253" s="121"/>
      <c r="E1253" s="121"/>
      <c r="F1253" s="121"/>
      <c r="G1253" s="121"/>
      <c r="H1253" s="121"/>
      <c r="I1253" s="121"/>
      <c r="J1253" s="121"/>
      <c r="K1253" s="121"/>
      <c r="L1253" s="121"/>
      <c r="M1253" s="121"/>
      <c r="N1253" s="121"/>
      <c r="O1253" s="121"/>
      <c r="P1253" s="121"/>
      <c r="Q1253" s="121"/>
      <c r="R1253" s="121"/>
      <c r="S1253" s="121"/>
      <c r="T1253" s="121"/>
      <c r="U1253" s="121"/>
      <c r="V1253" s="121"/>
      <c r="W1253" s="121"/>
      <c r="X1253" s="121"/>
      <c r="Y1253" s="121"/>
      <c r="Z1253" s="121"/>
    </row>
    <row r="1254" spans="1:26" ht="14.25" customHeight="1" x14ac:dyDescent="0.35">
      <c r="A1254" s="48">
        <v>1979</v>
      </c>
      <c r="B1254" s="120">
        <v>0.13089999999999999</v>
      </c>
      <c r="C1254" s="120">
        <v>0.1038</v>
      </c>
      <c r="D1254" s="121"/>
      <c r="E1254" s="121"/>
      <c r="F1254" s="121"/>
      <c r="G1254" s="121"/>
      <c r="H1254" s="121"/>
      <c r="I1254" s="121"/>
      <c r="J1254" s="121"/>
      <c r="K1254" s="121"/>
      <c r="L1254" s="121"/>
      <c r="M1254" s="121"/>
      <c r="N1254" s="121"/>
      <c r="O1254" s="121"/>
      <c r="P1254" s="121"/>
      <c r="Q1254" s="121"/>
      <c r="R1254" s="121"/>
      <c r="S1254" s="121"/>
      <c r="T1254" s="121"/>
      <c r="U1254" s="121"/>
      <c r="V1254" s="121"/>
      <c r="W1254" s="121"/>
      <c r="X1254" s="121"/>
      <c r="Y1254" s="121"/>
      <c r="Z1254" s="121"/>
    </row>
    <row r="1255" spans="1:26" ht="14.25" customHeight="1" x14ac:dyDescent="0.35">
      <c r="A1255" s="48">
        <v>1980</v>
      </c>
      <c r="B1255" s="120">
        <v>0.2213</v>
      </c>
      <c r="C1255" s="120">
        <v>0.1124</v>
      </c>
      <c r="D1255" s="121"/>
      <c r="E1255" s="121"/>
      <c r="F1255" s="121"/>
      <c r="G1255" s="121"/>
      <c r="H1255" s="121"/>
      <c r="I1255" s="121"/>
      <c r="J1255" s="121"/>
      <c r="K1255" s="121"/>
      <c r="L1255" s="121"/>
      <c r="M1255" s="121"/>
      <c r="N1255" s="121"/>
      <c r="O1255" s="121"/>
      <c r="P1255" s="121"/>
      <c r="Q1255" s="121"/>
      <c r="R1255" s="121"/>
      <c r="S1255" s="121"/>
      <c r="T1255" s="121"/>
      <c r="U1255" s="121"/>
      <c r="V1255" s="121"/>
      <c r="W1255" s="121"/>
      <c r="X1255" s="121"/>
      <c r="Y1255" s="121"/>
      <c r="Z1255" s="121"/>
    </row>
    <row r="1256" spans="1:26" ht="14.25" customHeight="1" x14ac:dyDescent="0.35">
      <c r="A1256" s="48">
        <v>1981</v>
      </c>
      <c r="B1256" s="120">
        <v>-0.18129999999999999</v>
      </c>
      <c r="C1256" s="120">
        <v>0.14710000000000001</v>
      </c>
      <c r="D1256" s="121"/>
      <c r="E1256" s="121"/>
      <c r="F1256" s="121"/>
      <c r="G1256" s="121"/>
      <c r="H1256" s="121"/>
      <c r="I1256" s="121"/>
      <c r="J1256" s="121"/>
      <c r="K1256" s="121"/>
      <c r="L1256" s="121"/>
      <c r="M1256" s="121"/>
      <c r="N1256" s="121"/>
      <c r="O1256" s="121"/>
      <c r="P1256" s="121"/>
      <c r="Q1256" s="121"/>
      <c r="R1256" s="121"/>
      <c r="S1256" s="121"/>
      <c r="T1256" s="121"/>
      <c r="U1256" s="121"/>
      <c r="V1256" s="121"/>
      <c r="W1256" s="121"/>
      <c r="X1256" s="121"/>
      <c r="Y1256" s="121"/>
      <c r="Z1256" s="121"/>
    </row>
    <row r="1257" spans="1:26" ht="14.25" customHeight="1" x14ac:dyDescent="0.35">
      <c r="A1257" s="48">
        <v>1982</v>
      </c>
      <c r="B1257" s="120">
        <v>0.1066</v>
      </c>
      <c r="C1257" s="120">
        <v>0.10539999999999999</v>
      </c>
      <c r="D1257" s="121"/>
      <c r="E1257" s="121"/>
      <c r="F1257" s="121"/>
      <c r="G1257" s="121"/>
      <c r="H1257" s="121"/>
      <c r="I1257" s="121"/>
      <c r="J1257" s="121"/>
      <c r="K1257" s="121"/>
      <c r="L1257" s="121"/>
      <c r="M1257" s="121"/>
      <c r="N1257" s="121"/>
      <c r="O1257" s="121"/>
      <c r="P1257" s="121"/>
      <c r="Q1257" s="121"/>
      <c r="R1257" s="121"/>
      <c r="S1257" s="121"/>
      <c r="T1257" s="121"/>
      <c r="U1257" s="121"/>
      <c r="V1257" s="121"/>
      <c r="W1257" s="121"/>
      <c r="X1257" s="121"/>
      <c r="Y1257" s="121"/>
      <c r="Z1257" s="121"/>
    </row>
    <row r="1258" spans="1:26" ht="14.25" customHeight="1" x14ac:dyDescent="0.35">
      <c r="A1258" s="48">
        <v>1983</v>
      </c>
      <c r="B1258" s="120">
        <v>0.13739999999999999</v>
      </c>
      <c r="C1258" s="120">
        <v>8.8000000000000009E-2</v>
      </c>
      <c r="D1258" s="121"/>
      <c r="E1258" s="121"/>
      <c r="F1258" s="121"/>
      <c r="G1258" s="121"/>
      <c r="H1258" s="121"/>
      <c r="I1258" s="121"/>
      <c r="J1258" s="121"/>
      <c r="K1258" s="121"/>
      <c r="L1258" s="121"/>
      <c r="M1258" s="121"/>
      <c r="N1258" s="121"/>
      <c r="O1258" s="121"/>
      <c r="P1258" s="121"/>
      <c r="Q1258" s="121"/>
      <c r="R1258" s="121"/>
      <c r="S1258" s="121"/>
      <c r="T1258" s="121"/>
      <c r="U1258" s="121"/>
      <c r="V1258" s="121"/>
      <c r="W1258" s="121"/>
      <c r="X1258" s="121"/>
      <c r="Y1258" s="121"/>
      <c r="Z1258" s="121"/>
    </row>
    <row r="1259" spans="1:26" ht="14.25" customHeight="1" x14ac:dyDescent="0.35">
      <c r="A1259" s="48">
        <v>1984</v>
      </c>
      <c r="B1259" s="120">
        <v>-6.0499999999999998E-2</v>
      </c>
      <c r="C1259" s="120">
        <v>9.849999999999999E-2</v>
      </c>
      <c r="D1259" s="121"/>
      <c r="E1259" s="121"/>
      <c r="F1259" s="121"/>
      <c r="G1259" s="121"/>
      <c r="H1259" s="121"/>
      <c r="I1259" s="121"/>
      <c r="J1259" s="121"/>
      <c r="K1259" s="121"/>
      <c r="L1259" s="121"/>
      <c r="M1259" s="121"/>
      <c r="N1259" s="121"/>
      <c r="O1259" s="121"/>
      <c r="P1259" s="121"/>
      <c r="Q1259" s="121"/>
      <c r="R1259" s="121"/>
      <c r="S1259" s="121"/>
      <c r="T1259" s="121"/>
      <c r="U1259" s="121"/>
      <c r="V1259" s="121"/>
      <c r="W1259" s="121"/>
      <c r="X1259" s="121"/>
      <c r="Y1259" s="121"/>
      <c r="Z1259" s="121"/>
    </row>
    <row r="1260" spans="1:26" ht="14.25" customHeight="1" x14ac:dyDescent="0.35">
      <c r="A1260" s="48">
        <v>1985</v>
      </c>
      <c r="B1260" s="120">
        <v>0.24909999999999999</v>
      </c>
      <c r="C1260" s="120">
        <v>7.7199999999999991E-2</v>
      </c>
      <c r="D1260" s="121"/>
      <c r="E1260" s="121"/>
      <c r="F1260" s="121"/>
      <c r="G1260" s="121"/>
      <c r="H1260" s="121"/>
      <c r="I1260" s="121"/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</row>
    <row r="1261" spans="1:26" ht="14.25" customHeight="1" x14ac:dyDescent="0.35">
      <c r="A1261" s="48">
        <v>1986</v>
      </c>
      <c r="B1261" s="120">
        <v>0.1012</v>
      </c>
      <c r="C1261" s="120">
        <v>6.1600000000000002E-2</v>
      </c>
      <c r="D1261" s="121"/>
      <c r="E1261" s="121"/>
      <c r="F1261" s="121"/>
      <c r="G1261" s="121"/>
      <c r="H1261" s="121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</row>
    <row r="1262" spans="1:26" ht="14.25" customHeight="1" x14ac:dyDescent="0.35">
      <c r="A1262" s="48">
        <v>1987</v>
      </c>
      <c r="B1262" s="120">
        <v>-3.8699999999999998E-2</v>
      </c>
      <c r="C1262" s="120">
        <v>5.4699999999999999E-2</v>
      </c>
      <c r="D1262" s="121"/>
      <c r="E1262" s="121"/>
      <c r="F1262" s="121"/>
      <c r="G1262" s="121"/>
      <c r="H1262" s="121"/>
      <c r="I1262" s="121"/>
      <c r="J1262" s="121"/>
      <c r="K1262" s="121"/>
      <c r="L1262" s="121"/>
      <c r="M1262" s="121"/>
      <c r="N1262" s="121"/>
      <c r="O1262" s="121"/>
      <c r="P1262" s="121"/>
      <c r="Q1262" s="121"/>
      <c r="R1262" s="121"/>
      <c r="S1262" s="121"/>
      <c r="T1262" s="121"/>
      <c r="U1262" s="121"/>
      <c r="V1262" s="121"/>
      <c r="W1262" s="121"/>
      <c r="X1262" s="121"/>
      <c r="Y1262" s="121"/>
      <c r="Z1262" s="121"/>
    </row>
    <row r="1263" spans="1:26" ht="14.25" customHeight="1" x14ac:dyDescent="0.35">
      <c r="A1263" s="48">
        <v>1988</v>
      </c>
      <c r="B1263" s="120">
        <v>0.11550000000000001</v>
      </c>
      <c r="C1263" s="120">
        <v>6.3500000000000001E-2</v>
      </c>
      <c r="D1263" s="121"/>
      <c r="E1263" s="121"/>
      <c r="F1263" s="121"/>
      <c r="G1263" s="121"/>
      <c r="H1263" s="121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</row>
    <row r="1264" spans="1:26" ht="14.25" customHeight="1" x14ac:dyDescent="0.35">
      <c r="A1264" s="48">
        <v>1989</v>
      </c>
      <c r="B1264" s="120">
        <v>0.20489999999999997</v>
      </c>
      <c r="C1264" s="120">
        <v>8.3699999999999997E-2</v>
      </c>
      <c r="D1264" s="121"/>
      <c r="E1264" s="121"/>
      <c r="F1264" s="121"/>
      <c r="G1264" s="121"/>
      <c r="H1264" s="121"/>
      <c r="I1264" s="121"/>
      <c r="J1264" s="121"/>
      <c r="K1264" s="121"/>
      <c r="L1264" s="121"/>
      <c r="M1264" s="121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</row>
    <row r="1265" spans="1:26" ht="14.25" customHeight="1" x14ac:dyDescent="0.35">
      <c r="A1265" s="48">
        <v>1990</v>
      </c>
      <c r="B1265" s="120">
        <v>-0.13949999999999999</v>
      </c>
      <c r="C1265" s="120">
        <v>7.8100000000000003E-2</v>
      </c>
      <c r="D1265" s="121"/>
      <c r="E1265" s="121"/>
      <c r="F1265" s="121"/>
      <c r="G1265" s="121"/>
      <c r="H1265" s="121"/>
      <c r="I1265" s="121"/>
      <c r="J1265" s="121"/>
      <c r="K1265" s="121"/>
      <c r="L1265" s="121"/>
      <c r="M1265" s="121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</row>
    <row r="1266" spans="1:26" ht="14.25" customHeight="1" x14ac:dyDescent="0.35">
      <c r="A1266" s="48">
        <v>1991</v>
      </c>
      <c r="B1266" s="120">
        <v>0.2918</v>
      </c>
      <c r="C1266" s="120">
        <v>5.5999999999999994E-2</v>
      </c>
      <c r="D1266" s="121"/>
      <c r="E1266" s="121"/>
      <c r="F1266" s="121"/>
      <c r="G1266" s="121"/>
      <c r="H1266" s="121"/>
      <c r="I1266" s="121"/>
      <c r="J1266" s="121"/>
      <c r="K1266" s="121"/>
      <c r="L1266" s="121"/>
      <c r="M1266" s="121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</row>
    <row r="1267" spans="1:26" ht="14.25" customHeight="1" x14ac:dyDescent="0.35">
      <c r="A1267" s="48">
        <v>1992</v>
      </c>
      <c r="B1267" s="120">
        <v>6.2300000000000001E-2</v>
      </c>
      <c r="C1267" s="120">
        <v>3.5099999999999999E-2</v>
      </c>
      <c r="D1267" s="121"/>
      <c r="E1267" s="121"/>
      <c r="F1267" s="121"/>
      <c r="G1267" s="121"/>
      <c r="H1267" s="121"/>
      <c r="I1267" s="121"/>
      <c r="J1267" s="121"/>
      <c r="K1267" s="121"/>
      <c r="L1267" s="121"/>
      <c r="M1267" s="121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</row>
    <row r="1268" spans="1:26" ht="14.25" customHeight="1" x14ac:dyDescent="0.35">
      <c r="A1268" s="48">
        <v>1993</v>
      </c>
      <c r="B1268" s="120">
        <v>8.2100000000000006E-2</v>
      </c>
      <c r="C1268" s="120">
        <v>2.8999999999999998E-2</v>
      </c>
      <c r="D1268" s="121"/>
      <c r="E1268" s="121"/>
      <c r="F1268" s="121"/>
      <c r="G1268" s="121"/>
      <c r="H1268" s="121"/>
      <c r="I1268" s="121"/>
      <c r="J1268" s="121"/>
      <c r="K1268" s="121"/>
      <c r="L1268" s="121"/>
      <c r="M1268" s="121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</row>
    <row r="1269" spans="1:26" ht="14.25" customHeight="1" x14ac:dyDescent="0.35">
      <c r="A1269" s="48">
        <v>1994</v>
      </c>
      <c r="B1269" s="120">
        <v>-4.0999999999999995E-2</v>
      </c>
      <c r="C1269" s="120">
        <v>3.9E-2</v>
      </c>
      <c r="D1269" s="121"/>
      <c r="E1269" s="121"/>
      <c r="F1269" s="121"/>
      <c r="G1269" s="121"/>
      <c r="H1269" s="121"/>
      <c r="I1269" s="121"/>
      <c r="J1269" s="121"/>
      <c r="K1269" s="121"/>
      <c r="L1269" s="121"/>
      <c r="M1269" s="121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</row>
    <row r="1270" spans="1:26" ht="14.25" customHeight="1" x14ac:dyDescent="0.35">
      <c r="A1270" s="48">
        <v>1995</v>
      </c>
      <c r="B1270" s="120">
        <v>0.31219999999999998</v>
      </c>
      <c r="C1270" s="120">
        <v>5.5999999999999994E-2</v>
      </c>
      <c r="D1270" s="121"/>
      <c r="E1270" s="121"/>
      <c r="F1270" s="121"/>
      <c r="G1270" s="121"/>
      <c r="H1270" s="121"/>
      <c r="I1270" s="121"/>
      <c r="J1270" s="121"/>
      <c r="K1270" s="121"/>
      <c r="L1270" s="121"/>
      <c r="M1270" s="121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</row>
    <row r="1271" spans="1:26" ht="14.25" customHeight="1" x14ac:dyDescent="0.35">
      <c r="A1271" s="48">
        <v>1996</v>
      </c>
      <c r="B1271" s="120">
        <v>0.15960000000000002</v>
      </c>
      <c r="C1271" s="120">
        <v>5.21E-2</v>
      </c>
      <c r="D1271" s="121"/>
      <c r="E1271" s="121"/>
      <c r="F1271" s="121"/>
      <c r="G1271" s="121"/>
      <c r="H1271" s="121"/>
      <c r="I1271" s="121"/>
      <c r="J1271" s="121"/>
      <c r="K1271" s="121"/>
      <c r="L1271" s="121"/>
      <c r="M1271" s="121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</row>
    <row r="1272" spans="1:26" ht="14.25" customHeight="1" x14ac:dyDescent="0.35">
      <c r="A1272" s="48">
        <v>1997</v>
      </c>
      <c r="B1272" s="120">
        <v>0.2596</v>
      </c>
      <c r="C1272" s="120">
        <v>5.2600000000000001E-2</v>
      </c>
      <c r="D1272" s="121"/>
      <c r="E1272" s="121"/>
      <c r="F1272" s="121"/>
      <c r="G1272" s="121"/>
      <c r="H1272" s="121"/>
      <c r="I1272" s="121"/>
      <c r="J1272" s="121"/>
      <c r="K1272" s="121"/>
      <c r="L1272" s="121"/>
      <c r="M1272" s="121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</row>
    <row r="1273" spans="1:26" ht="14.25" customHeight="1" x14ac:dyDescent="0.35">
      <c r="A1273" s="48">
        <v>1998</v>
      </c>
      <c r="B1273" s="120">
        <v>0.1946</v>
      </c>
      <c r="C1273" s="120">
        <v>4.8600000000000004E-2</v>
      </c>
      <c r="D1273" s="121"/>
      <c r="E1273" s="121"/>
      <c r="F1273" s="121"/>
      <c r="G1273" s="121"/>
      <c r="H1273" s="121"/>
      <c r="I1273" s="121"/>
      <c r="J1273" s="121"/>
      <c r="K1273" s="121"/>
      <c r="L1273" s="121"/>
      <c r="M1273" s="121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</row>
    <row r="1274" spans="1:26" ht="14.25" customHeight="1" x14ac:dyDescent="0.35">
      <c r="A1274" s="48">
        <v>1999</v>
      </c>
      <c r="B1274" s="120">
        <v>0.20569999999999999</v>
      </c>
      <c r="C1274" s="120">
        <v>4.6799999999999994E-2</v>
      </c>
      <c r="D1274" s="121"/>
      <c r="E1274" s="121"/>
      <c r="F1274" s="121"/>
      <c r="G1274" s="121"/>
      <c r="H1274" s="121"/>
      <c r="I1274" s="121"/>
      <c r="J1274" s="121"/>
      <c r="K1274" s="121"/>
      <c r="L1274" s="121"/>
      <c r="M1274" s="121"/>
      <c r="N1274" s="121"/>
      <c r="O1274" s="121"/>
      <c r="P1274" s="121"/>
      <c r="Q1274" s="121"/>
      <c r="R1274" s="121"/>
      <c r="S1274" s="121"/>
      <c r="T1274" s="121"/>
      <c r="U1274" s="121"/>
      <c r="V1274" s="121"/>
      <c r="W1274" s="121"/>
      <c r="X1274" s="121"/>
      <c r="Y1274" s="121"/>
      <c r="Z1274" s="121"/>
    </row>
    <row r="1275" spans="1:26" ht="14.25" customHeight="1" x14ac:dyDescent="0.35">
      <c r="A1275" s="48">
        <v>2000</v>
      </c>
      <c r="B1275" s="120">
        <v>-0.17600000000000002</v>
      </c>
      <c r="C1275" s="120">
        <v>5.8899999999999994E-2</v>
      </c>
      <c r="D1275" s="121"/>
      <c r="E1275" s="121"/>
      <c r="F1275" s="121"/>
      <c r="G1275" s="121"/>
      <c r="H1275" s="121"/>
      <c r="I1275" s="121"/>
      <c r="J1275" s="121"/>
      <c r="K1275" s="121"/>
      <c r="L1275" s="121"/>
      <c r="M1275" s="121"/>
      <c r="N1275" s="121"/>
      <c r="O1275" s="121"/>
      <c r="P1275" s="121"/>
      <c r="Q1275" s="121"/>
      <c r="R1275" s="121"/>
      <c r="S1275" s="121"/>
      <c r="T1275" s="121"/>
      <c r="U1275" s="121"/>
      <c r="V1275" s="121"/>
      <c r="W1275" s="121"/>
      <c r="X1275" s="121"/>
      <c r="Y1275" s="121"/>
      <c r="Z1275" s="121"/>
    </row>
    <row r="1276" spans="1:26" ht="14.25" customHeight="1" x14ac:dyDescent="0.35">
      <c r="A1276" s="48">
        <v>2001</v>
      </c>
      <c r="B1276" s="120">
        <v>-0.152</v>
      </c>
      <c r="C1276" s="120">
        <v>3.8300000000000001E-2</v>
      </c>
      <c r="D1276" s="121"/>
      <c r="E1276" s="121"/>
      <c r="F1276" s="121"/>
      <c r="G1276" s="121"/>
      <c r="H1276" s="121"/>
      <c r="I1276" s="121"/>
      <c r="J1276" s="121"/>
      <c r="K1276" s="121"/>
      <c r="L1276" s="121"/>
      <c r="M1276" s="121"/>
      <c r="N1276" s="121"/>
      <c r="O1276" s="121"/>
      <c r="P1276" s="121"/>
      <c r="Q1276" s="121"/>
      <c r="R1276" s="121"/>
      <c r="S1276" s="121"/>
      <c r="T1276" s="121"/>
      <c r="U1276" s="121"/>
      <c r="V1276" s="121"/>
      <c r="W1276" s="121"/>
      <c r="X1276" s="121"/>
      <c r="Y1276" s="121"/>
      <c r="Z1276" s="121"/>
    </row>
    <row r="1277" spans="1:26" ht="14.25" customHeight="1" x14ac:dyDescent="0.35">
      <c r="A1277" s="48">
        <v>2002</v>
      </c>
      <c r="B1277" s="120">
        <v>-0.22760000000000002</v>
      </c>
      <c r="C1277" s="120">
        <v>1.6500000000000001E-2</v>
      </c>
      <c r="D1277" s="121"/>
      <c r="E1277" s="121"/>
      <c r="F1277" s="121"/>
      <c r="G1277" s="121"/>
      <c r="H1277" s="121"/>
      <c r="I1277" s="121"/>
      <c r="J1277" s="121"/>
      <c r="K1277" s="121"/>
      <c r="L1277" s="121"/>
      <c r="M1277" s="121"/>
      <c r="N1277" s="121"/>
      <c r="O1277" s="121"/>
      <c r="P1277" s="121"/>
      <c r="Q1277" s="121"/>
      <c r="R1277" s="121"/>
      <c r="S1277" s="121"/>
      <c r="T1277" s="121"/>
      <c r="U1277" s="121"/>
      <c r="V1277" s="121"/>
      <c r="W1277" s="121"/>
      <c r="X1277" s="121"/>
      <c r="Y1277" s="121"/>
      <c r="Z1277" s="121"/>
    </row>
    <row r="1278" spans="1:26" ht="14.25" customHeight="1" x14ac:dyDescent="0.35">
      <c r="A1278" s="48">
        <v>2003</v>
      </c>
      <c r="B1278" s="120">
        <v>0.3075</v>
      </c>
      <c r="C1278" s="120">
        <v>1.0200000000000001E-2</v>
      </c>
      <c r="D1278" s="121"/>
      <c r="E1278" s="121"/>
      <c r="F1278" s="121"/>
      <c r="G1278" s="121"/>
      <c r="H1278" s="121"/>
      <c r="I1278" s="121"/>
      <c r="J1278" s="121"/>
      <c r="K1278" s="121"/>
      <c r="L1278" s="121"/>
      <c r="M1278" s="121"/>
      <c r="N1278" s="121"/>
      <c r="O1278" s="121"/>
      <c r="P1278" s="121"/>
      <c r="Q1278" s="121"/>
      <c r="R1278" s="121"/>
      <c r="S1278" s="121"/>
      <c r="T1278" s="121"/>
      <c r="U1278" s="121"/>
      <c r="V1278" s="121"/>
      <c r="W1278" s="121"/>
      <c r="X1278" s="121"/>
      <c r="Y1278" s="121"/>
      <c r="Z1278" s="121"/>
    </row>
    <row r="1279" spans="1:26" ht="14.25" customHeight="1" x14ac:dyDescent="0.35">
      <c r="A1279" s="48">
        <v>2004</v>
      </c>
      <c r="B1279" s="120">
        <v>0.1072</v>
      </c>
      <c r="C1279" s="120">
        <v>1.2E-2</v>
      </c>
      <c r="D1279" s="121"/>
      <c r="E1279" s="121"/>
      <c r="F1279" s="121"/>
      <c r="G1279" s="121"/>
      <c r="H1279" s="121"/>
      <c r="I1279" s="121"/>
      <c r="J1279" s="121"/>
      <c r="K1279" s="121"/>
      <c r="L1279" s="121"/>
      <c r="M1279" s="121"/>
      <c r="N1279" s="121"/>
      <c r="O1279" s="121"/>
      <c r="P1279" s="121"/>
      <c r="Q1279" s="121"/>
      <c r="R1279" s="121"/>
      <c r="S1279" s="121"/>
      <c r="T1279" s="121"/>
      <c r="U1279" s="121"/>
      <c r="V1279" s="121"/>
      <c r="W1279" s="121"/>
      <c r="X1279" s="121"/>
      <c r="Y1279" s="121"/>
      <c r="Z1279" s="121"/>
    </row>
    <row r="1280" spans="1:26" ht="14.25" customHeight="1" x14ac:dyDescent="0.35">
      <c r="A1280" s="48">
        <v>2005</v>
      </c>
      <c r="B1280" s="120">
        <v>3.0899999999999997E-2</v>
      </c>
      <c r="C1280" s="120">
        <v>2.98E-2</v>
      </c>
      <c r="D1280" s="121"/>
      <c r="E1280" s="121"/>
      <c r="F1280" s="121"/>
      <c r="G1280" s="121"/>
      <c r="H1280" s="121"/>
      <c r="I1280" s="121"/>
      <c r="J1280" s="121"/>
      <c r="K1280" s="121"/>
      <c r="L1280" s="121"/>
      <c r="M1280" s="121"/>
      <c r="N1280" s="121"/>
      <c r="O1280" s="121"/>
      <c r="P1280" s="121"/>
      <c r="Q1280" s="121"/>
      <c r="R1280" s="121"/>
      <c r="S1280" s="121"/>
      <c r="T1280" s="121"/>
      <c r="U1280" s="121"/>
      <c r="V1280" s="121"/>
      <c r="W1280" s="121"/>
      <c r="X1280" s="121"/>
      <c r="Y1280" s="121"/>
      <c r="Z1280" s="121"/>
    </row>
    <row r="1281" spans="1:26" ht="14.25" customHeight="1" x14ac:dyDescent="0.35">
      <c r="A1281" s="48">
        <v>2006</v>
      </c>
      <c r="B1281" s="120">
        <v>0.106</v>
      </c>
      <c r="C1281" s="120">
        <v>4.8000000000000001E-2</v>
      </c>
      <c r="D1281" s="121"/>
      <c r="E1281" s="121"/>
      <c r="F1281" s="121"/>
      <c r="G1281" s="121"/>
      <c r="H1281" s="121"/>
      <c r="I1281" s="121"/>
      <c r="J1281" s="121"/>
      <c r="K1281" s="121"/>
      <c r="L1281" s="121"/>
      <c r="M1281" s="121"/>
      <c r="N1281" s="121"/>
      <c r="O1281" s="121"/>
      <c r="P1281" s="121"/>
      <c r="Q1281" s="121"/>
      <c r="R1281" s="121"/>
      <c r="S1281" s="121"/>
      <c r="T1281" s="121"/>
      <c r="U1281" s="121"/>
      <c r="V1281" s="121"/>
      <c r="W1281" s="121"/>
      <c r="X1281" s="121"/>
      <c r="Y1281" s="121"/>
      <c r="Z1281" s="121"/>
    </row>
    <row r="1282" spans="1:26" ht="14.25" customHeight="1" x14ac:dyDescent="0.35">
      <c r="A1282" s="48">
        <v>2007</v>
      </c>
      <c r="B1282" s="120">
        <v>1.04E-2</v>
      </c>
      <c r="C1282" s="120">
        <v>4.6600000000000003E-2</v>
      </c>
      <c r="D1282" s="121"/>
      <c r="E1282" s="121"/>
      <c r="F1282" s="121"/>
      <c r="G1282" s="121"/>
      <c r="H1282" s="121"/>
      <c r="I1282" s="121"/>
      <c r="J1282" s="121"/>
      <c r="K1282" s="121"/>
      <c r="L1282" s="121"/>
      <c r="M1282" s="121"/>
      <c r="N1282" s="121"/>
      <c r="O1282" s="121"/>
      <c r="P1282" s="121"/>
      <c r="Q1282" s="121"/>
      <c r="R1282" s="121"/>
      <c r="S1282" s="121"/>
      <c r="T1282" s="121"/>
      <c r="U1282" s="121"/>
      <c r="V1282" s="121"/>
      <c r="W1282" s="121"/>
      <c r="X1282" s="121"/>
      <c r="Y1282" s="121"/>
      <c r="Z1282" s="121"/>
    </row>
    <row r="1283" spans="1:26" ht="14.25" customHeight="1" x14ac:dyDescent="0.35">
      <c r="A1283" s="48">
        <v>2008</v>
      </c>
      <c r="B1283" s="120">
        <v>-0.38340000000000002</v>
      </c>
      <c r="C1283" s="120">
        <v>1.6E-2</v>
      </c>
      <c r="D1283" s="121"/>
      <c r="E1283" s="121"/>
      <c r="F1283" s="121"/>
      <c r="G1283" s="121"/>
      <c r="H1283" s="121"/>
      <c r="I1283" s="121"/>
      <c r="J1283" s="121"/>
      <c r="K1283" s="121"/>
      <c r="L1283" s="121"/>
      <c r="M1283" s="121"/>
      <c r="N1283" s="121"/>
      <c r="O1283" s="121"/>
      <c r="P1283" s="121"/>
      <c r="Q1283" s="121"/>
      <c r="R1283" s="121"/>
      <c r="S1283" s="121"/>
      <c r="T1283" s="121"/>
      <c r="U1283" s="121"/>
      <c r="V1283" s="121"/>
      <c r="W1283" s="121"/>
      <c r="X1283" s="121"/>
      <c r="Y1283" s="121"/>
      <c r="Z1283" s="121"/>
    </row>
    <row r="1284" spans="1:26" ht="14.25" customHeight="1" x14ac:dyDescent="0.35">
      <c r="A1284" s="48">
        <v>2009</v>
      </c>
      <c r="B1284" s="120">
        <v>0.28260000000000002</v>
      </c>
      <c r="C1284" s="120">
        <v>1E-3</v>
      </c>
      <c r="D1284" s="121"/>
      <c r="E1284" s="121"/>
      <c r="F1284" s="121"/>
      <c r="G1284" s="121"/>
      <c r="H1284" s="121"/>
      <c r="I1284" s="121"/>
      <c r="J1284" s="121"/>
      <c r="K1284" s="121"/>
      <c r="L1284" s="121"/>
      <c r="M1284" s="121"/>
      <c r="N1284" s="121"/>
      <c r="O1284" s="121"/>
      <c r="P1284" s="121"/>
      <c r="Q1284" s="121"/>
      <c r="R1284" s="121"/>
      <c r="S1284" s="121"/>
      <c r="T1284" s="121"/>
      <c r="U1284" s="121"/>
      <c r="V1284" s="121"/>
      <c r="W1284" s="121"/>
      <c r="X1284" s="121"/>
      <c r="Y1284" s="121"/>
      <c r="Z1284" s="121"/>
    </row>
    <row r="1285" spans="1:26" ht="14.25" customHeight="1" x14ac:dyDescent="0.35">
      <c r="A1285" s="48">
        <v>2010</v>
      </c>
      <c r="B1285" s="120">
        <v>0.17370000000000002</v>
      </c>
      <c r="C1285" s="120">
        <v>1.1999999999999999E-3</v>
      </c>
      <c r="D1285" s="121"/>
      <c r="E1285" s="121"/>
      <c r="F1285" s="121"/>
      <c r="G1285" s="121"/>
      <c r="H1285" s="121"/>
      <c r="I1285" s="121"/>
      <c r="J1285" s="121"/>
      <c r="K1285" s="121"/>
      <c r="L1285" s="121"/>
      <c r="M1285" s="121"/>
      <c r="N1285" s="121"/>
      <c r="O1285" s="121"/>
      <c r="P1285" s="121"/>
      <c r="Q1285" s="121"/>
      <c r="R1285" s="121"/>
      <c r="S1285" s="121"/>
      <c r="T1285" s="121"/>
      <c r="U1285" s="121"/>
      <c r="V1285" s="121"/>
      <c r="W1285" s="121"/>
      <c r="X1285" s="121"/>
      <c r="Y1285" s="121"/>
      <c r="Z1285" s="121"/>
    </row>
    <row r="1286" spans="1:26" ht="14.25" customHeight="1" x14ac:dyDescent="0.35">
      <c r="A1286" s="48">
        <v>2011</v>
      </c>
      <c r="B1286" s="120">
        <v>4.4000000000000003E-3</v>
      </c>
      <c r="C1286" s="120">
        <v>4.0000000000000002E-4</v>
      </c>
      <c r="D1286" s="121"/>
      <c r="E1286" s="121"/>
      <c r="F1286" s="121"/>
      <c r="G1286" s="121"/>
      <c r="H1286" s="121"/>
      <c r="I1286" s="121"/>
      <c r="J1286" s="121"/>
      <c r="K1286" s="121"/>
      <c r="L1286" s="121"/>
      <c r="M1286" s="121"/>
      <c r="N1286" s="121"/>
      <c r="O1286" s="121"/>
      <c r="P1286" s="121"/>
      <c r="Q1286" s="121"/>
      <c r="R1286" s="121"/>
      <c r="S1286" s="121"/>
      <c r="T1286" s="121"/>
      <c r="U1286" s="121"/>
      <c r="V1286" s="121"/>
      <c r="W1286" s="121"/>
      <c r="X1286" s="121"/>
      <c r="Y1286" s="121"/>
      <c r="Z1286" s="121"/>
    </row>
    <row r="1287" spans="1:26" ht="14.25" customHeight="1" x14ac:dyDescent="0.35">
      <c r="A1287" s="48">
        <v>2012</v>
      </c>
      <c r="B1287" s="120">
        <v>0.16269999999999998</v>
      </c>
      <c r="C1287" s="120">
        <v>5.9999999999999995E-4</v>
      </c>
      <c r="D1287" s="121"/>
      <c r="E1287" s="121"/>
      <c r="F1287" s="121"/>
      <c r="G1287" s="121"/>
      <c r="H1287" s="121"/>
      <c r="I1287" s="121"/>
      <c r="J1287" s="121"/>
      <c r="K1287" s="121"/>
      <c r="L1287" s="121"/>
      <c r="M1287" s="121"/>
      <c r="N1287" s="121"/>
      <c r="O1287" s="121"/>
      <c r="P1287" s="121"/>
      <c r="Q1287" s="121"/>
      <c r="R1287" s="121"/>
      <c r="S1287" s="121"/>
      <c r="T1287" s="121"/>
      <c r="U1287" s="121"/>
      <c r="V1287" s="121"/>
      <c r="W1287" s="121"/>
      <c r="X1287" s="121"/>
      <c r="Y1287" s="121"/>
      <c r="Z1287" s="121"/>
    </row>
    <row r="1288" spans="1:26" ht="14.25" customHeight="1" x14ac:dyDescent="0.35">
      <c r="A1288" s="48">
        <v>2013</v>
      </c>
      <c r="B1288" s="120">
        <v>0.35200000000000004</v>
      </c>
      <c r="C1288" s="120">
        <v>2.0000000000000001E-4</v>
      </c>
      <c r="D1288" s="121"/>
      <c r="E1288" s="121"/>
      <c r="F1288" s="121"/>
      <c r="G1288" s="121"/>
      <c r="H1288" s="121"/>
      <c r="I1288" s="121"/>
      <c r="J1288" s="121"/>
      <c r="K1288" s="121"/>
      <c r="L1288" s="121"/>
      <c r="M1288" s="121"/>
      <c r="N1288" s="121"/>
      <c r="O1288" s="121"/>
      <c r="P1288" s="121"/>
      <c r="Q1288" s="121"/>
      <c r="R1288" s="121"/>
      <c r="S1288" s="121"/>
      <c r="T1288" s="121"/>
      <c r="U1288" s="121"/>
      <c r="V1288" s="121"/>
      <c r="W1288" s="121"/>
      <c r="X1288" s="121"/>
      <c r="Y1288" s="121"/>
      <c r="Z1288" s="121"/>
    </row>
    <row r="1289" spans="1:26" ht="14.25" customHeight="1" x14ac:dyDescent="0.35">
      <c r="A1289" s="48">
        <v>2014</v>
      </c>
      <c r="B1289" s="120">
        <v>0.11710000000000001</v>
      </c>
      <c r="C1289" s="120">
        <v>2.0000000000000001E-4</v>
      </c>
      <c r="D1289" s="121"/>
      <c r="E1289" s="121"/>
      <c r="F1289" s="121"/>
      <c r="G1289" s="121"/>
      <c r="H1289" s="121"/>
      <c r="I1289" s="121"/>
      <c r="J1289" s="121"/>
      <c r="K1289" s="121"/>
      <c r="L1289" s="121"/>
      <c r="M1289" s="121"/>
      <c r="N1289" s="121"/>
      <c r="O1289" s="121"/>
      <c r="P1289" s="121"/>
      <c r="Q1289" s="121"/>
      <c r="R1289" s="121"/>
      <c r="S1289" s="121"/>
      <c r="T1289" s="121"/>
      <c r="U1289" s="121"/>
      <c r="V1289" s="121"/>
      <c r="W1289" s="121"/>
      <c r="X1289" s="121"/>
      <c r="Y1289" s="121"/>
      <c r="Z1289" s="121"/>
    </row>
    <row r="1290" spans="1:26" ht="14.25" customHeight="1" x14ac:dyDescent="0.35">
      <c r="A1290" s="48">
        <v>2015</v>
      </c>
      <c r="B1290" s="120">
        <v>7.000000000000001E-4</v>
      </c>
      <c r="C1290" s="120">
        <v>2.0000000000000001E-4</v>
      </c>
      <c r="D1290" s="121"/>
      <c r="E1290" s="121"/>
      <c r="F1290" s="121"/>
      <c r="G1290" s="121"/>
      <c r="H1290" s="121"/>
      <c r="I1290" s="121"/>
      <c r="J1290" s="121"/>
      <c r="K1290" s="121"/>
      <c r="L1290" s="121"/>
      <c r="M1290" s="121"/>
      <c r="N1290" s="121"/>
      <c r="O1290" s="121"/>
      <c r="P1290" s="121"/>
      <c r="Q1290" s="121"/>
      <c r="R1290" s="121"/>
      <c r="S1290" s="121"/>
      <c r="T1290" s="121"/>
      <c r="U1290" s="121"/>
      <c r="V1290" s="121"/>
      <c r="W1290" s="121"/>
      <c r="X1290" s="121"/>
      <c r="Y1290" s="121"/>
      <c r="Z1290" s="121"/>
    </row>
    <row r="1291" spans="1:26" ht="14.25" customHeight="1" x14ac:dyDescent="0.35">
      <c r="A1291" s="48">
        <v>2016</v>
      </c>
      <c r="B1291" s="120">
        <v>0.13300000000000001</v>
      </c>
      <c r="C1291" s="120">
        <v>2E-3</v>
      </c>
      <c r="D1291" s="121"/>
      <c r="E1291" s="121"/>
      <c r="F1291" s="121"/>
      <c r="G1291" s="121"/>
      <c r="H1291" s="121"/>
      <c r="I1291" s="121"/>
      <c r="J1291" s="121"/>
      <c r="K1291" s="121"/>
      <c r="L1291" s="121"/>
      <c r="M1291" s="121"/>
      <c r="N1291" s="121"/>
      <c r="O1291" s="121"/>
      <c r="P1291" s="121"/>
      <c r="Q1291" s="121"/>
      <c r="R1291" s="121"/>
      <c r="S1291" s="121"/>
      <c r="T1291" s="121"/>
      <c r="U1291" s="121"/>
      <c r="V1291" s="121"/>
      <c r="W1291" s="121"/>
      <c r="X1291" s="121"/>
      <c r="Y1291" s="121"/>
      <c r="Z1291" s="121"/>
    </row>
    <row r="1292" spans="1:26" ht="14.25" customHeight="1" x14ac:dyDescent="0.35">
      <c r="A1292" s="48">
        <v>2017</v>
      </c>
      <c r="B1292" s="120">
        <v>0.21510000000000001</v>
      </c>
      <c r="C1292" s="120">
        <v>8.0000000000000002E-3</v>
      </c>
      <c r="D1292" s="121"/>
      <c r="E1292" s="121"/>
      <c r="F1292" s="121"/>
      <c r="G1292" s="121"/>
      <c r="H1292" s="121"/>
      <c r="I1292" s="121"/>
      <c r="J1292" s="121"/>
      <c r="K1292" s="121"/>
      <c r="L1292" s="121"/>
      <c r="M1292" s="121"/>
      <c r="N1292" s="121"/>
      <c r="O1292" s="121"/>
      <c r="P1292" s="121"/>
      <c r="Q1292" s="121"/>
      <c r="R1292" s="121"/>
      <c r="S1292" s="121"/>
      <c r="T1292" s="121"/>
      <c r="U1292" s="121"/>
      <c r="V1292" s="121"/>
      <c r="W1292" s="121"/>
      <c r="X1292" s="121"/>
      <c r="Y1292" s="121"/>
      <c r="Z1292" s="121"/>
    </row>
    <row r="1293" spans="1:26" ht="14.25" customHeight="1" x14ac:dyDescent="0.35">
      <c r="A1293" s="48">
        <v>2018</v>
      </c>
      <c r="B1293" s="120">
        <v>-6.93E-2</v>
      </c>
      <c r="C1293" s="120">
        <v>1.8100000000000002E-2</v>
      </c>
      <c r="D1293" s="121"/>
      <c r="E1293" s="121"/>
      <c r="F1293" s="121"/>
      <c r="G1293" s="121"/>
      <c r="H1293" s="121"/>
      <c r="I1293" s="121"/>
      <c r="J1293" s="121"/>
      <c r="K1293" s="121"/>
      <c r="L1293" s="121"/>
      <c r="M1293" s="121"/>
      <c r="N1293" s="121"/>
      <c r="O1293" s="121"/>
      <c r="P1293" s="121"/>
      <c r="Q1293" s="121"/>
      <c r="R1293" s="121"/>
      <c r="S1293" s="121"/>
      <c r="T1293" s="121"/>
      <c r="U1293" s="121"/>
      <c r="V1293" s="121"/>
      <c r="W1293" s="121"/>
      <c r="X1293" s="121"/>
      <c r="Y1293" s="121"/>
      <c r="Z1293" s="121"/>
    </row>
    <row r="1294" spans="1:26" ht="14.25" customHeight="1" x14ac:dyDescent="0.35">
      <c r="A1294" s="48">
        <v>2019</v>
      </c>
      <c r="B1294" s="120">
        <v>0.2828</v>
      </c>
      <c r="C1294" s="120">
        <v>2.1400000000000002E-2</v>
      </c>
      <c r="D1294" s="121"/>
      <c r="E1294" s="121"/>
      <c r="F1294" s="121"/>
      <c r="G1294" s="121"/>
      <c r="H1294" s="121"/>
      <c r="I1294" s="121"/>
      <c r="J1294" s="121"/>
      <c r="K1294" s="121"/>
      <c r="L1294" s="121"/>
      <c r="M1294" s="121"/>
      <c r="N1294" s="121"/>
      <c r="O1294" s="121"/>
      <c r="P1294" s="121"/>
      <c r="Q1294" s="121"/>
      <c r="R1294" s="121"/>
      <c r="S1294" s="121"/>
      <c r="T1294" s="121"/>
      <c r="U1294" s="121"/>
      <c r="V1294" s="121"/>
      <c r="W1294" s="121"/>
      <c r="X1294" s="121"/>
      <c r="Y1294" s="121"/>
      <c r="Z1294" s="121"/>
    </row>
    <row r="1295" spans="1:26" ht="14.25" customHeight="1" x14ac:dyDescent="0.35">
      <c r="A1295" s="48">
        <v>2020</v>
      </c>
      <c r="B1295" s="120">
        <v>0.23670000000000002</v>
      </c>
      <c r="C1295" s="120">
        <v>4.4000000000000003E-3</v>
      </c>
      <c r="D1295" s="121"/>
      <c r="E1295" s="121"/>
      <c r="F1295" s="121"/>
      <c r="G1295" s="121"/>
      <c r="H1295" s="121"/>
      <c r="I1295" s="121"/>
      <c r="J1295" s="121"/>
      <c r="K1295" s="121"/>
      <c r="L1295" s="121"/>
      <c r="M1295" s="121"/>
      <c r="N1295" s="121"/>
      <c r="O1295" s="121"/>
      <c r="P1295" s="121"/>
      <c r="Q1295" s="121"/>
      <c r="R1295" s="121"/>
      <c r="S1295" s="121"/>
      <c r="T1295" s="121"/>
      <c r="U1295" s="121"/>
      <c r="V1295" s="121"/>
      <c r="W1295" s="121"/>
      <c r="X1295" s="121"/>
      <c r="Y1295" s="121"/>
      <c r="Z1295" s="121"/>
    </row>
    <row r="1296" spans="1:26" ht="14.25" customHeight="1" x14ac:dyDescent="0.35">
      <c r="A1296" s="48">
        <v>2021</v>
      </c>
      <c r="B1296" s="120">
        <v>0.23569999999999999</v>
      </c>
      <c r="C1296" s="120">
        <v>4.0000000000000002E-4</v>
      </c>
      <c r="D1296" s="121"/>
      <c r="E1296" s="121"/>
      <c r="F1296" s="121"/>
      <c r="G1296" s="121"/>
      <c r="H1296" s="121"/>
      <c r="I1296" s="121"/>
      <c r="J1296" s="121"/>
      <c r="K1296" s="121"/>
      <c r="L1296" s="121"/>
      <c r="M1296" s="121"/>
      <c r="N1296" s="121"/>
      <c r="O1296" s="121"/>
      <c r="P1296" s="121"/>
      <c r="Q1296" s="121"/>
      <c r="R1296" s="121"/>
      <c r="S1296" s="121"/>
      <c r="T1296" s="121"/>
      <c r="U1296" s="121"/>
      <c r="V1296" s="121"/>
      <c r="W1296" s="121"/>
      <c r="X1296" s="121"/>
      <c r="Y1296" s="121"/>
      <c r="Z1296" s="121"/>
    </row>
    <row r="1297" spans="1:26" ht="14.25" customHeight="1" x14ac:dyDescent="0.35">
      <c r="A1297" s="48">
        <v>2022</v>
      </c>
      <c r="B1297" s="120">
        <v>-0.216</v>
      </c>
      <c r="C1297" s="120">
        <v>1.43E-2</v>
      </c>
      <c r="D1297" s="121"/>
      <c r="E1297" s="121"/>
      <c r="F1297" s="121"/>
      <c r="G1297" s="121"/>
      <c r="H1297" s="121"/>
      <c r="I1297" s="121"/>
      <c r="J1297" s="121"/>
      <c r="K1297" s="121"/>
      <c r="L1297" s="121"/>
      <c r="M1297" s="121"/>
      <c r="N1297" s="121"/>
      <c r="O1297" s="121"/>
      <c r="P1297" s="121"/>
      <c r="Q1297" s="121"/>
      <c r="R1297" s="121"/>
      <c r="S1297" s="121"/>
      <c r="T1297" s="121"/>
      <c r="U1297" s="121"/>
      <c r="V1297" s="121"/>
      <c r="W1297" s="121"/>
      <c r="X1297" s="121"/>
      <c r="Y1297" s="121"/>
      <c r="Z1297" s="121"/>
    </row>
    <row r="1298" spans="1:26" ht="14.25" customHeight="1" x14ac:dyDescent="0.35">
      <c r="A1298" s="48">
        <v>2023</v>
      </c>
      <c r="B1298" s="120">
        <v>0.217</v>
      </c>
      <c r="C1298" s="120">
        <v>4.9500000000000002E-2</v>
      </c>
      <c r="D1298" s="121"/>
      <c r="E1298" s="121"/>
      <c r="F1298" s="121"/>
      <c r="G1298" s="121"/>
      <c r="H1298" s="121"/>
      <c r="I1298" s="121"/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</row>
    <row r="1299" spans="1:26" ht="14.25" customHeight="1" x14ac:dyDescent="0.35">
      <c r="A1299" s="48">
        <v>2024</v>
      </c>
      <c r="B1299" s="120">
        <v>0.1978</v>
      </c>
      <c r="C1299" s="120">
        <v>5.2600000000000001E-2</v>
      </c>
      <c r="D1299" s="121"/>
      <c r="E1299" s="121"/>
      <c r="F1299" s="121"/>
      <c r="G1299" s="121"/>
      <c r="H1299" s="121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</row>
    <row r="1300" spans="1:26" ht="14.25" customHeight="1" x14ac:dyDescent="0.35">
      <c r="A1300" s="48">
        <v>2025</v>
      </c>
      <c r="B1300" s="120">
        <v>0.13300000000000001</v>
      </c>
      <c r="C1300" s="120">
        <v>4.2500000000000003E-2</v>
      </c>
      <c r="H1300" s="121"/>
      <c r="I1300" s="121"/>
      <c r="J1300" s="121"/>
      <c r="K1300" s="121"/>
      <c r="L1300" s="121"/>
      <c r="M1300" s="121"/>
      <c r="N1300" s="121"/>
      <c r="O1300" s="121"/>
      <c r="P1300" s="121"/>
      <c r="Q1300" s="121"/>
      <c r="R1300" s="121"/>
      <c r="S1300" s="121"/>
      <c r="T1300" s="121"/>
      <c r="U1300" s="121"/>
      <c r="V1300" s="121"/>
      <c r="W1300" s="121"/>
      <c r="X1300" s="121"/>
      <c r="Y1300" s="121"/>
      <c r="Z1300" s="121"/>
    </row>
    <row r="1301" spans="1:26" ht="14.25" customHeight="1" x14ac:dyDescent="0.35">
      <c r="A1301" s="121"/>
      <c r="B1301" s="121"/>
      <c r="C1301" s="121"/>
      <c r="D1301" s="121"/>
      <c r="E1301" s="121"/>
      <c r="F1301" s="121"/>
      <c r="G1301" s="121"/>
      <c r="H1301" s="121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</row>
    <row r="1302" spans="1:26" ht="14.25" customHeight="1" x14ac:dyDescent="0.35">
      <c r="A1302" s="13" t="s">
        <v>1346</v>
      </c>
      <c r="B1302" s="120"/>
      <c r="C1302" s="120"/>
      <c r="D1302" s="121"/>
      <c r="E1302" s="121"/>
      <c r="F1302" s="121"/>
      <c r="G1302" s="121"/>
      <c r="H1302" s="121"/>
      <c r="I1302" s="121"/>
      <c r="J1302" s="121"/>
      <c r="K1302" s="121"/>
      <c r="L1302" s="121"/>
      <c r="M1302" s="121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</row>
  </sheetData>
  <mergeCells count="3">
    <mergeCell ref="E8:I9"/>
    <mergeCell ref="E10:I15"/>
    <mergeCell ref="E18:I19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2.453125" customWidth="1"/>
    <col min="2" max="2" width="10.81640625" customWidth="1"/>
    <col min="3" max="3" width="55.453125" customWidth="1"/>
    <col min="4" max="4" width="10.81640625" customWidth="1"/>
    <col min="5" max="5" width="50.453125" customWidth="1"/>
    <col min="6" max="6" width="3.7265625" customWidth="1"/>
    <col min="7" max="7" width="48" customWidth="1"/>
    <col min="8" max="26" width="10.81640625" customWidth="1"/>
  </cols>
  <sheetData>
    <row r="1" spans="1:26" ht="15" customHeight="1" x14ac:dyDescent="0.35">
      <c r="A1" s="56" t="s">
        <v>1347</v>
      </c>
      <c r="B1" s="56" t="s">
        <v>1348</v>
      </c>
      <c r="C1" s="125" t="s">
        <v>1349</v>
      </c>
      <c r="D1" s="56" t="s">
        <v>1350</v>
      </c>
      <c r="E1" s="125" t="s">
        <v>1351</v>
      </c>
      <c r="F1" s="121"/>
      <c r="G1" s="121"/>
      <c r="H1" s="123"/>
      <c r="I1" s="123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14.25" customHeight="1" x14ac:dyDescent="0.35">
      <c r="A2" s="71">
        <v>202020369</v>
      </c>
      <c r="B2" s="71">
        <v>52230</v>
      </c>
      <c r="C2" s="71" t="s">
        <v>1352</v>
      </c>
      <c r="D2" s="71">
        <v>84819</v>
      </c>
      <c r="E2" s="71" t="s">
        <v>1353</v>
      </c>
      <c r="F2" s="121"/>
      <c r="G2" s="162" t="s">
        <v>1354</v>
      </c>
      <c r="H2" s="123"/>
      <c r="I2" s="123" t="str">
        <f t="shared" ref="I2:I122" si="0">IF(B2=D2,"1","")</f>
        <v/>
      </c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4.25" customHeight="1" x14ac:dyDescent="0.35">
      <c r="A3" s="71">
        <v>202011115</v>
      </c>
      <c r="B3" s="71">
        <v>21776</v>
      </c>
      <c r="C3" s="71" t="s">
        <v>1355</v>
      </c>
      <c r="D3" s="71">
        <v>81013</v>
      </c>
      <c r="E3" s="71" t="s">
        <v>1356</v>
      </c>
      <c r="F3" s="121"/>
      <c r="G3" s="163"/>
      <c r="H3" s="123"/>
      <c r="I3" s="123" t="str">
        <f t="shared" si="0"/>
        <v/>
      </c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4.25" customHeight="1" x14ac:dyDescent="0.35">
      <c r="A4" s="71">
        <v>202002999</v>
      </c>
      <c r="B4" s="71">
        <v>77057</v>
      </c>
      <c r="C4" s="71" t="s">
        <v>1357</v>
      </c>
      <c r="D4" s="71">
        <v>88841</v>
      </c>
      <c r="E4" s="71" t="s">
        <v>1358</v>
      </c>
      <c r="F4" s="121"/>
      <c r="G4" s="163"/>
      <c r="H4" s="123"/>
      <c r="I4" s="123" t="str">
        <f t="shared" si="0"/>
        <v/>
      </c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4.25" customHeight="1" x14ac:dyDescent="0.35">
      <c r="A5" s="71">
        <v>202016824</v>
      </c>
      <c r="B5" s="71">
        <v>23931</v>
      </c>
      <c r="C5" s="71" t="s">
        <v>1359</v>
      </c>
      <c r="D5" s="71">
        <v>81254</v>
      </c>
      <c r="E5" s="71" t="s">
        <v>1360</v>
      </c>
      <c r="F5" s="121"/>
      <c r="G5" s="163"/>
      <c r="H5" s="123"/>
      <c r="I5" s="123" t="str">
        <f t="shared" si="0"/>
        <v/>
      </c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4.25" customHeight="1" x14ac:dyDescent="0.35">
      <c r="A6" s="71">
        <v>202026658</v>
      </c>
      <c r="B6" s="71">
        <v>42877</v>
      </c>
      <c r="C6" s="71" t="s">
        <v>1361</v>
      </c>
      <c r="D6" s="71">
        <v>83762</v>
      </c>
      <c r="E6" s="71" t="s">
        <v>1362</v>
      </c>
      <c r="F6" s="121"/>
      <c r="G6" s="163"/>
      <c r="H6" s="123"/>
      <c r="I6" s="123" t="str">
        <f t="shared" si="0"/>
        <v/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5" customHeight="1" x14ac:dyDescent="0.35">
      <c r="A7" s="71">
        <v>201971616</v>
      </c>
      <c r="B7" s="71">
        <v>78405</v>
      </c>
      <c r="C7" s="71" t="s">
        <v>1363</v>
      </c>
      <c r="D7" s="71">
        <v>92690</v>
      </c>
      <c r="E7" s="71" t="s">
        <v>1364</v>
      </c>
      <c r="F7" s="121"/>
      <c r="G7" s="164"/>
      <c r="H7" s="123"/>
      <c r="I7" s="123" t="str">
        <f t="shared" si="0"/>
        <v/>
      </c>
      <c r="J7" s="123"/>
      <c r="K7" s="123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4.25" customHeight="1" x14ac:dyDescent="0.35">
      <c r="A8" s="71">
        <v>202028690</v>
      </c>
      <c r="B8" s="71">
        <v>77920</v>
      </c>
      <c r="C8" s="71" t="s">
        <v>1365</v>
      </c>
      <c r="D8" s="71">
        <v>89244</v>
      </c>
      <c r="E8" s="71" t="s">
        <v>1366</v>
      </c>
      <c r="F8" s="121"/>
      <c r="G8" s="165" t="s">
        <v>1367</v>
      </c>
      <c r="H8" s="123"/>
      <c r="I8" s="123" t="str">
        <f t="shared" si="0"/>
        <v/>
      </c>
      <c r="J8" s="123"/>
      <c r="K8" s="123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4.25" customHeight="1" x14ac:dyDescent="0.35">
      <c r="A9" s="71">
        <v>202006154</v>
      </c>
      <c r="B9" s="71">
        <v>74740</v>
      </c>
      <c r="C9" s="71" t="s">
        <v>1368</v>
      </c>
      <c r="D9" s="71">
        <v>87162</v>
      </c>
      <c r="E9" s="71" t="s">
        <v>1369</v>
      </c>
      <c r="F9" s="121"/>
      <c r="G9" s="163"/>
      <c r="H9" s="123"/>
      <c r="I9" s="123" t="str">
        <f t="shared" si="0"/>
        <v/>
      </c>
      <c r="J9" s="123"/>
      <c r="K9" s="123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4.25" customHeight="1" x14ac:dyDescent="0.35">
      <c r="A10" s="71">
        <v>201997060</v>
      </c>
      <c r="B10" s="71">
        <v>78002</v>
      </c>
      <c r="C10" s="71" t="s">
        <v>1370</v>
      </c>
      <c r="D10" s="71">
        <v>89258</v>
      </c>
      <c r="E10" s="71" t="s">
        <v>1371</v>
      </c>
      <c r="F10" s="121"/>
      <c r="G10" s="163"/>
      <c r="H10" s="123"/>
      <c r="I10" s="123" t="str">
        <f t="shared" si="0"/>
        <v/>
      </c>
      <c r="J10" s="123"/>
      <c r="K10" s="123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4.25" customHeight="1" x14ac:dyDescent="0.35">
      <c r="A11" s="71">
        <v>202023857</v>
      </c>
      <c r="B11" s="71">
        <v>57665</v>
      </c>
      <c r="C11" s="71" t="s">
        <v>1372</v>
      </c>
      <c r="D11" s="71">
        <v>85442</v>
      </c>
      <c r="E11" s="71" t="s">
        <v>1373</v>
      </c>
      <c r="F11" s="121"/>
      <c r="G11" s="163"/>
      <c r="H11" s="123"/>
      <c r="I11" s="123" t="str">
        <f t="shared" si="0"/>
        <v/>
      </c>
      <c r="J11" s="123"/>
      <c r="K11" s="123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5" customHeight="1" x14ac:dyDescent="0.35">
      <c r="A12" s="71">
        <v>202020073</v>
      </c>
      <c r="B12" s="71">
        <v>77660</v>
      </c>
      <c r="C12" s="71" t="s">
        <v>1374</v>
      </c>
      <c r="D12" s="71">
        <v>89167</v>
      </c>
      <c r="E12" s="71" t="s">
        <v>1375</v>
      </c>
      <c r="F12" s="121"/>
      <c r="G12" s="163"/>
      <c r="H12" s="123"/>
      <c r="I12" s="123" t="str">
        <f t="shared" si="0"/>
        <v/>
      </c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4.25" customHeight="1" x14ac:dyDescent="0.35">
      <c r="A13" s="71">
        <v>201938216</v>
      </c>
      <c r="B13" s="71">
        <v>77610</v>
      </c>
      <c r="C13" s="71" t="s">
        <v>1376</v>
      </c>
      <c r="D13" s="71">
        <v>89129</v>
      </c>
      <c r="E13" s="71" t="s">
        <v>1377</v>
      </c>
      <c r="F13" s="121"/>
      <c r="G13" s="163"/>
      <c r="H13" s="123"/>
      <c r="I13" s="123" t="str">
        <f t="shared" si="0"/>
        <v/>
      </c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4.25" customHeight="1" x14ac:dyDescent="0.35">
      <c r="A14" s="71">
        <v>202001307</v>
      </c>
      <c r="B14" s="71">
        <v>75070</v>
      </c>
      <c r="C14" s="71" t="s">
        <v>1378</v>
      </c>
      <c r="D14" s="71">
        <v>87318</v>
      </c>
      <c r="E14" s="71" t="s">
        <v>1379</v>
      </c>
      <c r="F14" s="121"/>
      <c r="G14" s="164"/>
      <c r="H14" s="123"/>
      <c r="I14" s="123" t="str">
        <f t="shared" si="0"/>
        <v/>
      </c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4.25" customHeight="1" x14ac:dyDescent="0.35">
      <c r="A15" s="71">
        <v>201966199</v>
      </c>
      <c r="B15" s="71">
        <v>49656</v>
      </c>
      <c r="C15" s="71" t="s">
        <v>1380</v>
      </c>
      <c r="D15" s="71">
        <v>84519</v>
      </c>
      <c r="E15" s="71" t="s">
        <v>1381</v>
      </c>
      <c r="F15" s="121"/>
      <c r="G15" s="123"/>
      <c r="H15" s="123"/>
      <c r="I15" s="123" t="str">
        <f t="shared" si="0"/>
        <v/>
      </c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4.25" customHeight="1" x14ac:dyDescent="0.35">
      <c r="A16" s="71">
        <v>201505630</v>
      </c>
      <c r="B16" s="71">
        <v>77239</v>
      </c>
      <c r="C16" s="71" t="s">
        <v>1382</v>
      </c>
      <c r="D16" s="71">
        <v>88953</v>
      </c>
      <c r="E16" s="71" t="s">
        <v>1383</v>
      </c>
      <c r="F16" s="121"/>
      <c r="G16" s="123"/>
      <c r="H16" s="123"/>
      <c r="I16" s="123" t="str">
        <f t="shared" si="0"/>
        <v/>
      </c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4.25" customHeight="1" x14ac:dyDescent="0.35">
      <c r="A17" s="71">
        <v>201931145</v>
      </c>
      <c r="B17" s="71">
        <v>56936</v>
      </c>
      <c r="C17" s="71" t="s">
        <v>1384</v>
      </c>
      <c r="D17" s="71">
        <v>85418</v>
      </c>
      <c r="E17" s="71" t="s">
        <v>1385</v>
      </c>
      <c r="F17" s="121"/>
      <c r="G17" s="123"/>
      <c r="H17" s="123"/>
      <c r="I17" s="123" t="str">
        <f t="shared" si="0"/>
        <v/>
      </c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4.25" customHeight="1" x14ac:dyDescent="0.35">
      <c r="A18" s="71">
        <v>202005711</v>
      </c>
      <c r="B18" s="71">
        <v>72864</v>
      </c>
      <c r="C18" s="71" t="s">
        <v>1386</v>
      </c>
      <c r="D18" s="71">
        <v>87084</v>
      </c>
      <c r="E18" s="71" t="s">
        <v>1387</v>
      </c>
      <c r="F18" s="121"/>
      <c r="G18" s="123"/>
      <c r="H18" s="123"/>
      <c r="I18" s="123" t="str">
        <f t="shared" si="0"/>
        <v/>
      </c>
      <c r="J18" s="123"/>
      <c r="K18" s="123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5" customHeight="1" x14ac:dyDescent="0.35">
      <c r="A19" s="71">
        <v>202008955</v>
      </c>
      <c r="B19" s="71">
        <v>48072</v>
      </c>
      <c r="C19" s="71" t="s">
        <v>1388</v>
      </c>
      <c r="D19" s="71">
        <v>84372</v>
      </c>
      <c r="E19" s="71" t="s">
        <v>1389</v>
      </c>
      <c r="F19" s="121"/>
      <c r="G19" s="123"/>
      <c r="H19" s="123"/>
      <c r="I19" s="123" t="str">
        <f t="shared" si="0"/>
        <v/>
      </c>
      <c r="J19" s="123"/>
      <c r="K19" s="123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4.25" customHeight="1" x14ac:dyDescent="0.35">
      <c r="A20" s="71">
        <v>202012673</v>
      </c>
      <c r="B20" s="71">
        <v>39642</v>
      </c>
      <c r="C20" s="71" t="s">
        <v>1390</v>
      </c>
      <c r="D20" s="71">
        <v>83469</v>
      </c>
      <c r="E20" s="71" t="s">
        <v>1391</v>
      </c>
      <c r="F20" s="121"/>
      <c r="G20" s="123"/>
      <c r="H20" s="123"/>
      <c r="I20" s="123" t="str">
        <f t="shared" si="0"/>
        <v/>
      </c>
      <c r="J20" s="123"/>
      <c r="K20" s="123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4.25" customHeight="1" x14ac:dyDescent="0.35">
      <c r="A21" s="71">
        <v>202020104</v>
      </c>
      <c r="B21" s="71">
        <v>47511</v>
      </c>
      <c r="C21" s="71" t="s">
        <v>1392</v>
      </c>
      <c r="D21" s="71">
        <v>84210</v>
      </c>
      <c r="E21" s="71" t="s">
        <v>1393</v>
      </c>
      <c r="F21" s="121"/>
      <c r="G21" s="123"/>
      <c r="H21" s="123"/>
      <c r="I21" s="123" t="str">
        <f t="shared" si="0"/>
        <v/>
      </c>
      <c r="J21" s="123"/>
      <c r="K21" s="123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4.25" customHeight="1" x14ac:dyDescent="0.35">
      <c r="A22" s="71">
        <v>201971337</v>
      </c>
      <c r="B22" s="71">
        <v>76614</v>
      </c>
      <c r="C22" s="71" t="s">
        <v>1394</v>
      </c>
      <c r="D22" s="71">
        <v>88504</v>
      </c>
      <c r="E22" s="71" t="s">
        <v>1395</v>
      </c>
      <c r="F22" s="121"/>
      <c r="G22" s="123"/>
      <c r="H22" s="123"/>
      <c r="I22" s="123" t="str">
        <f t="shared" si="0"/>
        <v/>
      </c>
      <c r="J22" s="123"/>
      <c r="K22" s="123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4.25" customHeight="1" x14ac:dyDescent="0.35">
      <c r="A23" s="71">
        <v>201938234</v>
      </c>
      <c r="B23" s="71">
        <v>12189</v>
      </c>
      <c r="C23" s="71" t="s">
        <v>1396</v>
      </c>
      <c r="D23" s="71">
        <v>79776</v>
      </c>
      <c r="E23" s="71" t="s">
        <v>1397</v>
      </c>
      <c r="F23" s="121"/>
      <c r="G23" s="123"/>
      <c r="H23" s="123"/>
      <c r="I23" s="123" t="str">
        <f t="shared" si="0"/>
        <v/>
      </c>
      <c r="J23" s="123"/>
      <c r="K23" s="123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4.25" customHeight="1" x14ac:dyDescent="0.35">
      <c r="A24" s="71">
        <v>201971650</v>
      </c>
      <c r="B24" s="71">
        <v>10890</v>
      </c>
      <c r="C24" s="71" t="s">
        <v>1398</v>
      </c>
      <c r="D24" s="71">
        <v>79089</v>
      </c>
      <c r="E24" s="71" t="s">
        <v>1399</v>
      </c>
      <c r="F24" s="121"/>
      <c r="G24" s="123"/>
      <c r="H24" s="123"/>
      <c r="I24" s="123" t="str">
        <f t="shared" si="0"/>
        <v/>
      </c>
      <c r="J24" s="123"/>
      <c r="K24" s="123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4.25" customHeight="1" x14ac:dyDescent="0.35">
      <c r="A25" s="71">
        <v>201943135</v>
      </c>
      <c r="B25" s="71">
        <v>76592</v>
      </c>
      <c r="C25" s="71" t="s">
        <v>1400</v>
      </c>
      <c r="D25" s="71">
        <v>88487</v>
      </c>
      <c r="E25" s="71" t="s">
        <v>1401</v>
      </c>
      <c r="F25" s="121"/>
      <c r="G25" s="123"/>
      <c r="H25" s="121"/>
      <c r="I25" s="123" t="str">
        <f t="shared" si="0"/>
        <v/>
      </c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4.25" customHeight="1" x14ac:dyDescent="0.35">
      <c r="A26" s="71">
        <v>202010476</v>
      </c>
      <c r="B26" s="71">
        <v>36468</v>
      </c>
      <c r="C26" s="71" t="s">
        <v>1402</v>
      </c>
      <c r="D26" s="71">
        <v>83220</v>
      </c>
      <c r="E26" s="71" t="s">
        <v>1403</v>
      </c>
      <c r="F26" s="121"/>
      <c r="G26" s="121"/>
      <c r="H26" s="121"/>
      <c r="I26" s="123" t="str">
        <f t="shared" si="0"/>
        <v/>
      </c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4.25" customHeight="1" x14ac:dyDescent="0.35">
      <c r="A27" s="71">
        <v>201926949</v>
      </c>
      <c r="B27" s="71">
        <v>76856</v>
      </c>
      <c r="C27" s="71" t="s">
        <v>1404</v>
      </c>
      <c r="D27" s="71">
        <v>88661</v>
      </c>
      <c r="E27" s="71" t="s">
        <v>1405</v>
      </c>
      <c r="F27" s="121"/>
      <c r="G27" s="121"/>
      <c r="H27" s="121"/>
      <c r="I27" s="123" t="str">
        <f t="shared" si="0"/>
        <v/>
      </c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4.25" customHeight="1" x14ac:dyDescent="0.35">
      <c r="A28" s="71">
        <v>202008730</v>
      </c>
      <c r="B28" s="71">
        <v>77679</v>
      </c>
      <c r="C28" s="71" t="s">
        <v>1406</v>
      </c>
      <c r="D28" s="71">
        <v>89175</v>
      </c>
      <c r="E28" s="71" t="s">
        <v>1407</v>
      </c>
      <c r="F28" s="121"/>
      <c r="G28" s="121"/>
      <c r="H28" s="121"/>
      <c r="I28" s="123" t="str">
        <f t="shared" si="0"/>
        <v/>
      </c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4.25" customHeight="1" x14ac:dyDescent="0.35">
      <c r="A29" s="71">
        <v>201995604</v>
      </c>
      <c r="B29" s="71">
        <v>61313</v>
      </c>
      <c r="C29" s="71" t="s">
        <v>1408</v>
      </c>
      <c r="D29" s="71">
        <v>85905</v>
      </c>
      <c r="E29" s="71" t="s">
        <v>1409</v>
      </c>
      <c r="F29" s="121"/>
      <c r="G29" s="121"/>
      <c r="H29" s="121"/>
      <c r="I29" s="123" t="str">
        <f t="shared" si="0"/>
        <v/>
      </c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4.25" customHeight="1" x14ac:dyDescent="0.35">
      <c r="A30" s="71">
        <v>202002695</v>
      </c>
      <c r="B30" s="71">
        <v>39220</v>
      </c>
      <c r="C30" s="71" t="s">
        <v>1410</v>
      </c>
      <c r="D30" s="71">
        <v>83414</v>
      </c>
      <c r="E30" s="71" t="s">
        <v>1411</v>
      </c>
      <c r="F30" s="121"/>
      <c r="G30" s="121"/>
      <c r="H30" s="121"/>
      <c r="I30" s="123" t="str">
        <f t="shared" si="0"/>
        <v/>
      </c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4.25" customHeight="1" x14ac:dyDescent="0.35">
      <c r="A31" s="71">
        <v>202009953</v>
      </c>
      <c r="B31" s="71">
        <v>77569</v>
      </c>
      <c r="C31" s="71" t="s">
        <v>1412</v>
      </c>
      <c r="D31" s="71">
        <v>89062</v>
      </c>
      <c r="E31" s="71" t="s">
        <v>1377</v>
      </c>
      <c r="F31" s="121"/>
      <c r="G31" s="121"/>
      <c r="H31" s="121"/>
      <c r="I31" s="123" t="str">
        <f t="shared" si="0"/>
        <v/>
      </c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4.25" customHeight="1" x14ac:dyDescent="0.35">
      <c r="A32" s="71">
        <v>201821762</v>
      </c>
      <c r="B32" s="71">
        <v>75854</v>
      </c>
      <c r="C32" s="71" t="s">
        <v>1413</v>
      </c>
      <c r="D32" s="71">
        <v>88284</v>
      </c>
      <c r="E32" s="71" t="s">
        <v>1414</v>
      </c>
      <c r="F32" s="121"/>
      <c r="G32" s="121"/>
      <c r="H32" s="121"/>
      <c r="I32" s="123" t="str">
        <f t="shared" si="0"/>
        <v/>
      </c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4.25" customHeight="1" x14ac:dyDescent="0.35">
      <c r="A33" s="71">
        <v>202022860</v>
      </c>
      <c r="B33" s="71">
        <v>37154</v>
      </c>
      <c r="C33" s="71" t="s">
        <v>1415</v>
      </c>
      <c r="D33" s="71">
        <v>83223</v>
      </c>
      <c r="E33" s="71" t="s">
        <v>1403</v>
      </c>
      <c r="F33" s="121"/>
      <c r="G33" s="121"/>
      <c r="H33" s="121"/>
      <c r="I33" s="123" t="str">
        <f t="shared" si="0"/>
        <v/>
      </c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4.25" customHeight="1" x14ac:dyDescent="0.35">
      <c r="A34" s="71">
        <v>201573941</v>
      </c>
      <c r="B34" s="71">
        <v>47626</v>
      </c>
      <c r="C34" s="71" t="s">
        <v>1416</v>
      </c>
      <c r="D34" s="71">
        <v>84262</v>
      </c>
      <c r="E34" s="71" t="s">
        <v>1417</v>
      </c>
      <c r="F34" s="121"/>
      <c r="G34" s="121"/>
      <c r="H34" s="121"/>
      <c r="I34" s="123" t="str">
        <f t="shared" si="0"/>
        <v/>
      </c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4.25" customHeight="1" x14ac:dyDescent="0.35">
      <c r="A35" s="71">
        <v>202010867</v>
      </c>
      <c r="B35" s="71">
        <v>54244</v>
      </c>
      <c r="C35" s="71" t="s">
        <v>1418</v>
      </c>
      <c r="D35" s="71">
        <v>85257</v>
      </c>
      <c r="E35" s="71" t="s">
        <v>1419</v>
      </c>
      <c r="F35" s="121"/>
      <c r="G35" s="121"/>
      <c r="H35" s="121"/>
      <c r="I35" s="123" t="str">
        <f t="shared" si="0"/>
        <v/>
      </c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4.25" customHeight="1" x14ac:dyDescent="0.35">
      <c r="A36" s="71">
        <v>201998433</v>
      </c>
      <c r="B36" s="71">
        <v>67847</v>
      </c>
      <c r="C36" s="71" t="s">
        <v>1420</v>
      </c>
      <c r="D36" s="71">
        <v>86745</v>
      </c>
      <c r="E36" s="71" t="s">
        <v>1421</v>
      </c>
      <c r="F36" s="121"/>
      <c r="G36" s="121"/>
      <c r="H36" s="121"/>
      <c r="I36" s="123" t="str">
        <f t="shared" si="0"/>
        <v/>
      </c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4.25" customHeight="1" x14ac:dyDescent="0.35">
      <c r="A37" s="71">
        <v>202027469</v>
      </c>
      <c r="B37" s="71">
        <v>24109</v>
      </c>
      <c r="C37" s="71" t="s">
        <v>1422</v>
      </c>
      <c r="D37" s="71">
        <v>81284</v>
      </c>
      <c r="E37" s="71" t="s">
        <v>1423</v>
      </c>
      <c r="F37" s="121"/>
      <c r="G37" s="121"/>
      <c r="H37" s="121"/>
      <c r="I37" s="123" t="str">
        <f t="shared" si="0"/>
        <v/>
      </c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4.25" customHeight="1" x14ac:dyDescent="0.35">
      <c r="A38" s="71">
        <v>202016635</v>
      </c>
      <c r="B38" s="71">
        <v>27909</v>
      </c>
      <c r="C38" s="71" t="s">
        <v>1424</v>
      </c>
      <c r="D38" s="71">
        <v>82261</v>
      </c>
      <c r="E38" s="71" t="s">
        <v>1425</v>
      </c>
      <c r="F38" s="121"/>
      <c r="G38" s="121"/>
      <c r="H38" s="121"/>
      <c r="I38" s="123" t="str">
        <f t="shared" si="0"/>
        <v/>
      </c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4.25" customHeight="1" x14ac:dyDescent="0.35">
      <c r="A39" s="71">
        <v>202017597</v>
      </c>
      <c r="B39" s="71">
        <v>76661</v>
      </c>
      <c r="C39" s="71" t="s">
        <v>1426</v>
      </c>
      <c r="D39" s="71">
        <v>88518</v>
      </c>
      <c r="E39" s="71" t="s">
        <v>1427</v>
      </c>
      <c r="F39" s="121"/>
      <c r="G39" s="121"/>
      <c r="H39" s="121"/>
      <c r="I39" s="123" t="str">
        <f t="shared" si="0"/>
        <v/>
      </c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4.25" customHeight="1" x14ac:dyDescent="0.35">
      <c r="A40" s="71">
        <v>201925951</v>
      </c>
      <c r="B40" s="71">
        <v>77925</v>
      </c>
      <c r="C40" s="71" t="s">
        <v>1428</v>
      </c>
      <c r="D40" s="71">
        <v>89256</v>
      </c>
      <c r="E40" s="71" t="s">
        <v>1429</v>
      </c>
      <c r="F40" s="121"/>
      <c r="G40" s="121"/>
      <c r="H40" s="121"/>
      <c r="I40" s="123" t="str">
        <f t="shared" si="0"/>
        <v/>
      </c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4.25" customHeight="1" x14ac:dyDescent="0.35">
      <c r="A41" s="71">
        <v>201998952</v>
      </c>
      <c r="B41" s="71">
        <v>75906</v>
      </c>
      <c r="C41" s="71" t="s">
        <v>1430</v>
      </c>
      <c r="D41" s="71">
        <v>88292</v>
      </c>
      <c r="E41" s="71" t="s">
        <v>1377</v>
      </c>
      <c r="F41" s="121"/>
      <c r="G41" s="121"/>
      <c r="H41" s="121"/>
      <c r="I41" s="123" t="str">
        <f t="shared" si="0"/>
        <v/>
      </c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4.25" customHeight="1" x14ac:dyDescent="0.35">
      <c r="A42" s="71">
        <v>201949073</v>
      </c>
      <c r="B42" s="71">
        <v>36768</v>
      </c>
      <c r="C42" s="71" t="s">
        <v>1431</v>
      </c>
      <c r="D42" s="71">
        <v>83221</v>
      </c>
      <c r="E42" s="71" t="s">
        <v>1403</v>
      </c>
      <c r="F42" s="121"/>
      <c r="G42" s="121"/>
      <c r="H42" s="121"/>
      <c r="I42" s="123" t="str">
        <f t="shared" si="0"/>
        <v/>
      </c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4.25" customHeight="1" x14ac:dyDescent="0.35">
      <c r="A43" s="71">
        <v>201977438</v>
      </c>
      <c r="B43" s="71">
        <v>76128</v>
      </c>
      <c r="C43" s="71" t="s">
        <v>1432</v>
      </c>
      <c r="D43" s="71">
        <v>88362</v>
      </c>
      <c r="E43" s="71" t="s">
        <v>1433</v>
      </c>
      <c r="F43" s="121"/>
      <c r="G43" s="121"/>
      <c r="H43" s="121"/>
      <c r="I43" s="123" t="str">
        <f t="shared" si="0"/>
        <v/>
      </c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4.25" customHeight="1" x14ac:dyDescent="0.35">
      <c r="A44" s="71">
        <v>201941211</v>
      </c>
      <c r="B44" s="71">
        <v>47379</v>
      </c>
      <c r="C44" s="71" t="s">
        <v>1434</v>
      </c>
      <c r="D44" s="71">
        <v>84181</v>
      </c>
      <c r="E44" s="71" t="s">
        <v>1435</v>
      </c>
      <c r="F44" s="121"/>
      <c r="G44" s="121"/>
      <c r="H44" s="121"/>
      <c r="I44" s="123" t="str">
        <f t="shared" si="0"/>
        <v/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4.25" customHeight="1" x14ac:dyDescent="0.35">
      <c r="A45" s="71">
        <v>201966542</v>
      </c>
      <c r="B45" s="71">
        <v>61516</v>
      </c>
      <c r="C45" s="71" t="s">
        <v>1436</v>
      </c>
      <c r="D45" s="71">
        <v>85925</v>
      </c>
      <c r="E45" s="71" t="s">
        <v>1437</v>
      </c>
      <c r="F45" s="121"/>
      <c r="G45" s="121"/>
      <c r="H45" s="121"/>
      <c r="I45" s="123" t="str">
        <f t="shared" si="0"/>
        <v/>
      </c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4.25" customHeight="1" x14ac:dyDescent="0.35">
      <c r="A46" s="71">
        <v>201926914</v>
      </c>
      <c r="B46" s="71">
        <v>76119</v>
      </c>
      <c r="C46" s="71" t="s">
        <v>1438</v>
      </c>
      <c r="D46" s="71">
        <v>88351</v>
      </c>
      <c r="E46" s="71" t="s">
        <v>1439</v>
      </c>
      <c r="F46" s="121"/>
      <c r="G46" s="121"/>
      <c r="H46" s="121"/>
      <c r="I46" s="123" t="str">
        <f t="shared" si="0"/>
        <v/>
      </c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4.25" customHeight="1" x14ac:dyDescent="0.35">
      <c r="A47" s="71">
        <v>202018892</v>
      </c>
      <c r="B47" s="71">
        <v>21936</v>
      </c>
      <c r="C47" s="71" t="s">
        <v>1440</v>
      </c>
      <c r="D47" s="71">
        <v>81043</v>
      </c>
      <c r="E47" s="71" t="s">
        <v>1441</v>
      </c>
      <c r="F47" s="121"/>
      <c r="G47" s="121"/>
      <c r="H47" s="121"/>
      <c r="I47" s="123" t="str">
        <f t="shared" si="0"/>
        <v/>
      </c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4.25" customHeight="1" x14ac:dyDescent="0.35">
      <c r="A48" s="71">
        <v>201974162</v>
      </c>
      <c r="B48" s="71">
        <v>21207</v>
      </c>
      <c r="C48" s="71" t="s">
        <v>1442</v>
      </c>
      <c r="D48" s="71">
        <v>80928</v>
      </c>
      <c r="E48" s="71" t="s">
        <v>1443</v>
      </c>
      <c r="F48" s="121"/>
      <c r="G48" s="121"/>
      <c r="H48" s="121"/>
      <c r="I48" s="123" t="str">
        <f t="shared" si="0"/>
        <v/>
      </c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4.25" customHeight="1" x14ac:dyDescent="0.35">
      <c r="A49" s="71">
        <v>201937434</v>
      </c>
      <c r="B49" s="71">
        <v>34936</v>
      </c>
      <c r="C49" s="71" t="s">
        <v>1444</v>
      </c>
      <c r="D49" s="71">
        <v>83155</v>
      </c>
      <c r="E49" s="71" t="s">
        <v>1445</v>
      </c>
      <c r="F49" s="121"/>
      <c r="G49" s="121"/>
      <c r="H49" s="121"/>
      <c r="I49" s="123" t="str">
        <f t="shared" si="0"/>
        <v/>
      </c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4.25" customHeight="1" x14ac:dyDescent="0.35">
      <c r="A50" s="71">
        <v>201932331</v>
      </c>
      <c r="B50" s="71">
        <v>77338</v>
      </c>
      <c r="C50" s="71" t="s">
        <v>1446</v>
      </c>
      <c r="D50" s="71">
        <v>88970</v>
      </c>
      <c r="E50" s="71" t="s">
        <v>1447</v>
      </c>
      <c r="F50" s="121"/>
      <c r="G50" s="121"/>
      <c r="H50" s="121"/>
      <c r="I50" s="123" t="str">
        <f t="shared" si="0"/>
        <v/>
      </c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4.25" customHeight="1" x14ac:dyDescent="0.35">
      <c r="A51" s="71">
        <v>201930321</v>
      </c>
      <c r="B51" s="71">
        <v>76928</v>
      </c>
      <c r="C51" s="71" t="s">
        <v>1448</v>
      </c>
      <c r="D51" s="71">
        <v>88779</v>
      </c>
      <c r="E51" s="71" t="s">
        <v>1449</v>
      </c>
      <c r="F51" s="121"/>
      <c r="G51" s="121"/>
      <c r="H51" s="121"/>
      <c r="I51" s="123" t="str">
        <f t="shared" si="0"/>
        <v/>
      </c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4.25" customHeight="1" x14ac:dyDescent="0.35">
      <c r="A52" s="71">
        <v>202016554</v>
      </c>
      <c r="B52" s="71">
        <v>72119</v>
      </c>
      <c r="C52" s="71" t="s">
        <v>1450</v>
      </c>
      <c r="D52" s="71">
        <v>87055</v>
      </c>
      <c r="E52" s="71" t="s">
        <v>1451</v>
      </c>
      <c r="F52" s="121"/>
      <c r="G52" s="121"/>
      <c r="H52" s="121"/>
      <c r="I52" s="123" t="str">
        <f t="shared" si="0"/>
        <v/>
      </c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4.25" customHeight="1" x14ac:dyDescent="0.35">
      <c r="A53" s="71">
        <v>202002289</v>
      </c>
      <c r="B53" s="71">
        <v>11267</v>
      </c>
      <c r="C53" s="71" t="s">
        <v>1452</v>
      </c>
      <c r="D53" s="71">
        <v>79222</v>
      </c>
      <c r="E53" s="71" t="s">
        <v>1453</v>
      </c>
      <c r="F53" s="121"/>
      <c r="G53" s="121"/>
      <c r="H53" s="121"/>
      <c r="I53" s="123" t="str">
        <f t="shared" si="0"/>
        <v/>
      </c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4.25" customHeight="1" x14ac:dyDescent="0.35">
      <c r="A54" s="71">
        <v>201923163</v>
      </c>
      <c r="B54" s="71">
        <v>77437</v>
      </c>
      <c r="C54" s="71" t="s">
        <v>1454</v>
      </c>
      <c r="D54" s="71">
        <v>89012</v>
      </c>
      <c r="E54" s="71" t="s">
        <v>1455</v>
      </c>
      <c r="F54" s="121"/>
      <c r="G54" s="121"/>
      <c r="H54" s="121"/>
      <c r="I54" s="123" t="str">
        <f t="shared" si="0"/>
        <v/>
      </c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4.25" customHeight="1" x14ac:dyDescent="0.35">
      <c r="A55" s="71">
        <v>201924581</v>
      </c>
      <c r="B55" s="71">
        <v>24053</v>
      </c>
      <c r="C55" s="71" t="s">
        <v>1456</v>
      </c>
      <c r="D55" s="71">
        <v>81282</v>
      </c>
      <c r="E55" s="71" t="s">
        <v>1457</v>
      </c>
      <c r="F55" s="121"/>
      <c r="G55" s="121"/>
      <c r="H55" s="121"/>
      <c r="I55" s="123" t="str">
        <f t="shared" si="0"/>
        <v/>
      </c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4.25" customHeight="1" x14ac:dyDescent="0.35">
      <c r="A56" s="71">
        <v>202018432</v>
      </c>
      <c r="B56" s="71">
        <v>53110</v>
      </c>
      <c r="C56" s="71" t="s">
        <v>1458</v>
      </c>
      <c r="D56" s="71">
        <v>85081</v>
      </c>
      <c r="E56" s="71" t="s">
        <v>1459</v>
      </c>
      <c r="F56" s="121"/>
      <c r="G56" s="121"/>
      <c r="H56" s="121"/>
      <c r="I56" s="123" t="str">
        <f t="shared" si="0"/>
        <v/>
      </c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4.25" customHeight="1" x14ac:dyDescent="0.35">
      <c r="A57" s="71">
        <v>202012434</v>
      </c>
      <c r="B57" s="71">
        <v>53065</v>
      </c>
      <c r="C57" s="71" t="s">
        <v>1460</v>
      </c>
      <c r="D57" s="71">
        <v>85072</v>
      </c>
      <c r="E57" s="71" t="s">
        <v>1461</v>
      </c>
      <c r="F57" s="121"/>
      <c r="G57" s="121"/>
      <c r="H57" s="121"/>
      <c r="I57" s="123" t="str">
        <f t="shared" si="0"/>
        <v/>
      </c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4.25" customHeight="1" x14ac:dyDescent="0.35">
      <c r="A58" s="71">
        <v>202018499</v>
      </c>
      <c r="B58" s="71">
        <v>12068</v>
      </c>
      <c r="C58" s="71" t="s">
        <v>1462</v>
      </c>
      <c r="D58" s="71">
        <v>79758</v>
      </c>
      <c r="E58" s="71" t="s">
        <v>1463</v>
      </c>
      <c r="F58" s="121"/>
      <c r="G58" s="121"/>
      <c r="H58" s="121"/>
      <c r="I58" s="123" t="str">
        <f t="shared" si="0"/>
        <v/>
      </c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4.25" customHeight="1" x14ac:dyDescent="0.35">
      <c r="A59" s="71">
        <v>201715598</v>
      </c>
      <c r="B59" s="71">
        <v>64390</v>
      </c>
      <c r="C59" s="71" t="s">
        <v>1464</v>
      </c>
      <c r="D59" s="71">
        <v>86228</v>
      </c>
      <c r="E59" s="71" t="s">
        <v>1465</v>
      </c>
      <c r="F59" s="121"/>
      <c r="G59" s="121"/>
      <c r="H59" s="121"/>
      <c r="I59" s="123" t="str">
        <f t="shared" si="0"/>
        <v/>
      </c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4.25" customHeight="1" x14ac:dyDescent="0.35">
      <c r="A60" s="71">
        <v>201904747</v>
      </c>
      <c r="B60" s="71">
        <v>11154</v>
      </c>
      <c r="C60" s="71" t="s">
        <v>1466</v>
      </c>
      <c r="D60" s="71">
        <v>79198</v>
      </c>
      <c r="E60" s="71" t="s">
        <v>1467</v>
      </c>
      <c r="F60" s="121"/>
      <c r="G60" s="121"/>
      <c r="H60" s="121"/>
      <c r="I60" s="123" t="str">
        <f t="shared" si="0"/>
        <v/>
      </c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4.25" customHeight="1" x14ac:dyDescent="0.35">
      <c r="A61" s="71">
        <v>201941331</v>
      </c>
      <c r="B61" s="71">
        <v>77573</v>
      </c>
      <c r="C61" s="71" t="s">
        <v>1468</v>
      </c>
      <c r="D61" s="71">
        <v>89068</v>
      </c>
      <c r="E61" s="71" t="s">
        <v>1469</v>
      </c>
      <c r="F61" s="121"/>
      <c r="G61" s="121"/>
      <c r="H61" s="121"/>
      <c r="I61" s="123" t="str">
        <f t="shared" si="0"/>
        <v/>
      </c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4.25" customHeight="1" x14ac:dyDescent="0.35">
      <c r="A62" s="71">
        <v>201997092</v>
      </c>
      <c r="B62" s="71">
        <v>15456</v>
      </c>
      <c r="C62" s="71" t="s">
        <v>1470</v>
      </c>
      <c r="D62" s="71">
        <v>80114</v>
      </c>
      <c r="E62" s="71" t="s">
        <v>1471</v>
      </c>
      <c r="F62" s="121"/>
      <c r="G62" s="121"/>
      <c r="H62" s="121"/>
      <c r="I62" s="123" t="str">
        <f t="shared" si="0"/>
        <v/>
      </c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4.25" customHeight="1" x14ac:dyDescent="0.35">
      <c r="A63" s="71">
        <v>202016346</v>
      </c>
      <c r="B63" s="71">
        <v>12226</v>
      </c>
      <c r="C63" s="71" t="s">
        <v>1472</v>
      </c>
      <c r="D63" s="71">
        <v>79791</v>
      </c>
      <c r="E63" s="71" t="s">
        <v>1473</v>
      </c>
      <c r="F63" s="121"/>
      <c r="G63" s="121"/>
      <c r="H63" s="121"/>
      <c r="I63" s="123" t="str">
        <f t="shared" si="0"/>
        <v/>
      </c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4.25" customHeight="1" x14ac:dyDescent="0.35">
      <c r="A64" s="71">
        <v>201981842</v>
      </c>
      <c r="B64" s="71">
        <v>76684</v>
      </c>
      <c r="C64" s="71" t="s">
        <v>1474</v>
      </c>
      <c r="D64" s="71">
        <v>88534</v>
      </c>
      <c r="E64" s="71" t="s">
        <v>1475</v>
      </c>
      <c r="F64" s="121"/>
      <c r="G64" s="121"/>
      <c r="H64" s="121"/>
      <c r="I64" s="123" t="str">
        <f t="shared" si="0"/>
        <v/>
      </c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4.25" customHeight="1" x14ac:dyDescent="0.35">
      <c r="A65" s="71">
        <v>201925931</v>
      </c>
      <c r="B65" s="71">
        <v>49744</v>
      </c>
      <c r="C65" s="71" t="s">
        <v>1476</v>
      </c>
      <c r="D65" s="71">
        <v>84566</v>
      </c>
      <c r="E65" s="71" t="s">
        <v>1477</v>
      </c>
      <c r="F65" s="121"/>
      <c r="G65" s="121"/>
      <c r="H65" s="121"/>
      <c r="I65" s="123" t="str">
        <f t="shared" si="0"/>
        <v/>
      </c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4.25" customHeight="1" x14ac:dyDescent="0.35">
      <c r="A66" s="71">
        <v>202006124</v>
      </c>
      <c r="B66" s="71">
        <v>52476</v>
      </c>
      <c r="C66" s="71" t="s">
        <v>1478</v>
      </c>
      <c r="D66" s="71">
        <v>85013</v>
      </c>
      <c r="E66" s="71" t="s">
        <v>1479</v>
      </c>
      <c r="F66" s="121"/>
      <c r="G66" s="121"/>
      <c r="H66" s="121"/>
      <c r="I66" s="123" t="str">
        <f t="shared" si="0"/>
        <v/>
      </c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4.25" customHeight="1" x14ac:dyDescent="0.35">
      <c r="A67" s="71">
        <v>202017591</v>
      </c>
      <c r="B67" s="71">
        <v>46463</v>
      </c>
      <c r="C67" s="71" t="s">
        <v>1480</v>
      </c>
      <c r="D67" s="71">
        <v>84042</v>
      </c>
      <c r="E67" s="71" t="s">
        <v>1481</v>
      </c>
      <c r="F67" s="121"/>
      <c r="G67" s="121"/>
      <c r="H67" s="121"/>
      <c r="I67" s="123" t="str">
        <f t="shared" si="0"/>
        <v/>
      </c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4.25" customHeight="1" x14ac:dyDescent="0.35">
      <c r="A68" s="71">
        <v>202016523</v>
      </c>
      <c r="B68" s="71">
        <v>64186</v>
      </c>
      <c r="C68" s="71" t="s">
        <v>1482</v>
      </c>
      <c r="D68" s="71">
        <v>86165</v>
      </c>
      <c r="E68" s="71" t="s">
        <v>1483</v>
      </c>
      <c r="F68" s="121"/>
      <c r="G68" s="121"/>
      <c r="H68" s="121"/>
      <c r="I68" s="123" t="str">
        <f t="shared" si="0"/>
        <v/>
      </c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4.25" customHeight="1" x14ac:dyDescent="0.35">
      <c r="A69" s="71">
        <v>201997877</v>
      </c>
      <c r="B69" s="71">
        <v>34746</v>
      </c>
      <c r="C69" s="71" t="s">
        <v>1484</v>
      </c>
      <c r="D69" s="71">
        <v>83145</v>
      </c>
      <c r="E69" s="71" t="s">
        <v>1485</v>
      </c>
      <c r="F69" s="121"/>
      <c r="G69" s="121"/>
      <c r="H69" s="121"/>
      <c r="I69" s="123" t="str">
        <f t="shared" si="0"/>
        <v/>
      </c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4.25" customHeight="1" x14ac:dyDescent="0.35">
      <c r="A70" s="71">
        <v>202024350</v>
      </c>
      <c r="B70" s="71">
        <v>21573</v>
      </c>
      <c r="C70" s="71" t="s">
        <v>1486</v>
      </c>
      <c r="D70" s="71">
        <v>80969</v>
      </c>
      <c r="E70" s="71" t="s">
        <v>1487</v>
      </c>
      <c r="F70" s="121"/>
      <c r="G70" s="121"/>
      <c r="H70" s="121"/>
      <c r="I70" s="123" t="str">
        <f t="shared" si="0"/>
        <v/>
      </c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4.25" customHeight="1" x14ac:dyDescent="0.35">
      <c r="A71" s="71">
        <v>202016894</v>
      </c>
      <c r="B71" s="71">
        <v>75411</v>
      </c>
      <c r="C71" s="71" t="s">
        <v>1488</v>
      </c>
      <c r="D71" s="71">
        <v>87759</v>
      </c>
      <c r="E71" s="71" t="s">
        <v>1489</v>
      </c>
      <c r="F71" s="121"/>
      <c r="G71" s="121"/>
      <c r="H71" s="121"/>
      <c r="I71" s="123" t="str">
        <f t="shared" si="0"/>
        <v/>
      </c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4.25" customHeight="1" x14ac:dyDescent="0.35">
      <c r="A72" s="71">
        <v>202024898</v>
      </c>
      <c r="B72" s="71">
        <v>11369</v>
      </c>
      <c r="C72" s="71" t="s">
        <v>1490</v>
      </c>
      <c r="D72" s="71">
        <v>79249</v>
      </c>
      <c r="E72" s="71" t="s">
        <v>1491</v>
      </c>
      <c r="F72" s="121"/>
      <c r="G72" s="121"/>
      <c r="H72" s="121"/>
      <c r="I72" s="123" t="str">
        <f t="shared" si="0"/>
        <v/>
      </c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4.25" customHeight="1" x14ac:dyDescent="0.35">
      <c r="A73" s="71">
        <v>202027112</v>
      </c>
      <c r="B73" s="71">
        <v>70703</v>
      </c>
      <c r="C73" s="71" t="s">
        <v>1492</v>
      </c>
      <c r="D73" s="71">
        <v>86929</v>
      </c>
      <c r="E73" s="71" t="s">
        <v>1493</v>
      </c>
      <c r="F73" s="121"/>
      <c r="G73" s="121"/>
      <c r="H73" s="121"/>
      <c r="I73" s="123" t="str">
        <f t="shared" si="0"/>
        <v/>
      </c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4.25" customHeight="1" x14ac:dyDescent="0.35">
      <c r="A74" s="71">
        <v>201996932</v>
      </c>
      <c r="B74" s="71">
        <v>72338</v>
      </c>
      <c r="C74" s="71" t="s">
        <v>1494</v>
      </c>
      <c r="D74" s="71">
        <v>87069</v>
      </c>
      <c r="E74" s="71" t="s">
        <v>1495</v>
      </c>
      <c r="F74" s="121"/>
      <c r="G74" s="121"/>
      <c r="H74" s="121"/>
      <c r="I74" s="123" t="str">
        <f t="shared" si="0"/>
        <v/>
      </c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4.25" customHeight="1" x14ac:dyDescent="0.35">
      <c r="A75" s="71">
        <v>201977483</v>
      </c>
      <c r="B75" s="71">
        <v>12431</v>
      </c>
      <c r="C75" s="71" t="s">
        <v>1496</v>
      </c>
      <c r="D75" s="71">
        <v>79839</v>
      </c>
      <c r="E75" s="71" t="s">
        <v>1497</v>
      </c>
      <c r="F75" s="121"/>
      <c r="G75" s="121"/>
      <c r="H75" s="121"/>
      <c r="I75" s="123" t="str">
        <f t="shared" si="0"/>
        <v/>
      </c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4.25" customHeight="1" x14ac:dyDescent="0.35">
      <c r="A76" s="71">
        <v>202004120</v>
      </c>
      <c r="B76" s="71">
        <v>75269</v>
      </c>
      <c r="C76" s="71" t="s">
        <v>1498</v>
      </c>
      <c r="D76" s="71">
        <v>87505</v>
      </c>
      <c r="E76" s="71" t="s">
        <v>1499</v>
      </c>
      <c r="F76" s="121"/>
      <c r="G76" s="121"/>
      <c r="H76" s="121"/>
      <c r="I76" s="123" t="str">
        <f t="shared" si="0"/>
        <v/>
      </c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4.25" customHeight="1" x14ac:dyDescent="0.35">
      <c r="A77" s="71">
        <v>201300551</v>
      </c>
      <c r="B77" s="71">
        <v>22517</v>
      </c>
      <c r="C77" s="71" t="s">
        <v>1500</v>
      </c>
      <c r="D77" s="71">
        <v>81067</v>
      </c>
      <c r="E77" s="71" t="s">
        <v>1501</v>
      </c>
      <c r="F77" s="121"/>
      <c r="G77" s="121"/>
      <c r="H77" s="121"/>
      <c r="I77" s="123" t="str">
        <f t="shared" si="0"/>
        <v/>
      </c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4.25" customHeight="1" x14ac:dyDescent="0.35">
      <c r="A78" s="71">
        <v>201601684</v>
      </c>
      <c r="B78" s="71">
        <v>27888</v>
      </c>
      <c r="C78" s="71" t="s">
        <v>1502</v>
      </c>
      <c r="D78" s="71">
        <v>82251</v>
      </c>
      <c r="E78" s="71" t="s">
        <v>1503</v>
      </c>
      <c r="F78" s="121"/>
      <c r="G78" s="121"/>
      <c r="H78" s="121"/>
      <c r="I78" s="123" t="str">
        <f t="shared" si="0"/>
        <v/>
      </c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4.25" customHeight="1" x14ac:dyDescent="0.35">
      <c r="A79" s="71">
        <v>202028397</v>
      </c>
      <c r="B79" s="71">
        <v>26825</v>
      </c>
      <c r="C79" s="71" t="s">
        <v>1504</v>
      </c>
      <c r="D79" s="71">
        <v>81893</v>
      </c>
      <c r="E79" s="71" t="s">
        <v>1505</v>
      </c>
      <c r="F79" s="121"/>
      <c r="G79" s="121"/>
      <c r="H79" s="121"/>
      <c r="I79" s="123" t="str">
        <f t="shared" si="0"/>
        <v/>
      </c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4.25" customHeight="1" x14ac:dyDescent="0.35">
      <c r="A80" s="71">
        <v>202019014</v>
      </c>
      <c r="B80" s="71">
        <v>41355</v>
      </c>
      <c r="C80" s="71" t="s">
        <v>1506</v>
      </c>
      <c r="D80" s="71">
        <v>83651</v>
      </c>
      <c r="E80" s="71" t="s">
        <v>1507</v>
      </c>
      <c r="F80" s="121"/>
      <c r="G80" s="121"/>
      <c r="H80" s="121"/>
      <c r="I80" s="123" t="str">
        <f t="shared" si="0"/>
        <v/>
      </c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4.25" customHeight="1" x14ac:dyDescent="0.35">
      <c r="A81" s="71">
        <v>201928689</v>
      </c>
      <c r="B81" s="71">
        <v>59185</v>
      </c>
      <c r="C81" s="71" t="s">
        <v>1508</v>
      </c>
      <c r="D81" s="71">
        <v>85621</v>
      </c>
      <c r="E81" s="71" t="s">
        <v>1509</v>
      </c>
      <c r="F81" s="121"/>
      <c r="G81" s="121"/>
      <c r="H81" s="121"/>
      <c r="I81" s="123" t="str">
        <f t="shared" si="0"/>
        <v/>
      </c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4.25" customHeight="1" x14ac:dyDescent="0.35">
      <c r="A82" s="71">
        <v>201923141</v>
      </c>
      <c r="B82" s="71">
        <v>11790</v>
      </c>
      <c r="C82" s="71" t="s">
        <v>1510</v>
      </c>
      <c r="D82" s="71">
        <v>79618</v>
      </c>
      <c r="E82" s="71" t="s">
        <v>1511</v>
      </c>
      <c r="F82" s="121"/>
      <c r="G82" s="121"/>
      <c r="H82" s="121"/>
      <c r="I82" s="123" t="str">
        <f t="shared" si="0"/>
        <v/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4.25" customHeight="1" x14ac:dyDescent="0.35">
      <c r="A83" s="71">
        <v>202013542</v>
      </c>
      <c r="B83" s="71">
        <v>78170</v>
      </c>
      <c r="C83" s="71" t="s">
        <v>1512</v>
      </c>
      <c r="D83" s="71">
        <v>90983</v>
      </c>
      <c r="E83" s="71" t="s">
        <v>1513</v>
      </c>
      <c r="F83" s="121"/>
      <c r="G83" s="121"/>
      <c r="H83" s="121"/>
      <c r="I83" s="123" t="str">
        <f t="shared" si="0"/>
        <v/>
      </c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4.25" customHeight="1" x14ac:dyDescent="0.35">
      <c r="A84" s="71">
        <v>202023850</v>
      </c>
      <c r="B84" s="71">
        <v>13936</v>
      </c>
      <c r="C84" s="71" t="s">
        <v>1514</v>
      </c>
      <c r="D84" s="71">
        <v>79906</v>
      </c>
      <c r="E84" s="71" t="s">
        <v>1515</v>
      </c>
      <c r="F84" s="121"/>
      <c r="G84" s="121"/>
      <c r="H84" s="121"/>
      <c r="I84" s="123" t="str">
        <f t="shared" si="0"/>
        <v/>
      </c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4.25" customHeight="1" x14ac:dyDescent="0.35">
      <c r="A85" s="71">
        <v>201925967</v>
      </c>
      <c r="B85" s="71">
        <v>77928</v>
      </c>
      <c r="C85" s="71" t="s">
        <v>1516</v>
      </c>
      <c r="D85" s="71">
        <v>89257</v>
      </c>
      <c r="E85" s="71" t="s">
        <v>1517</v>
      </c>
      <c r="F85" s="121"/>
      <c r="G85" s="121"/>
      <c r="H85" s="121"/>
      <c r="I85" s="123" t="str">
        <f t="shared" si="0"/>
        <v/>
      </c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4.25" customHeight="1" x14ac:dyDescent="0.35">
      <c r="A86" s="71">
        <v>201946542</v>
      </c>
      <c r="B86" s="71">
        <v>50550</v>
      </c>
      <c r="C86" s="71" t="s">
        <v>1518</v>
      </c>
      <c r="D86" s="71">
        <v>84606</v>
      </c>
      <c r="E86" s="71" t="s">
        <v>1519</v>
      </c>
      <c r="F86" s="121"/>
      <c r="G86" s="121"/>
      <c r="H86" s="121"/>
      <c r="I86" s="123" t="str">
        <f t="shared" si="0"/>
        <v/>
      </c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4.25" customHeight="1" x14ac:dyDescent="0.35">
      <c r="A87" s="71">
        <v>201924280</v>
      </c>
      <c r="B87" s="71">
        <v>61508</v>
      </c>
      <c r="C87" s="71" t="s">
        <v>1436</v>
      </c>
      <c r="D87" s="71">
        <v>85918</v>
      </c>
      <c r="E87" s="71" t="s">
        <v>1520</v>
      </c>
      <c r="F87" s="121"/>
      <c r="G87" s="121"/>
      <c r="H87" s="121"/>
      <c r="I87" s="123" t="str">
        <f t="shared" si="0"/>
        <v/>
      </c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4.25" customHeight="1" x14ac:dyDescent="0.35">
      <c r="A88" s="71">
        <v>202003168</v>
      </c>
      <c r="B88" s="71">
        <v>74500</v>
      </c>
      <c r="C88" s="71" t="s">
        <v>1521</v>
      </c>
      <c r="D88" s="71">
        <v>87137</v>
      </c>
      <c r="E88" s="71" t="s">
        <v>1522</v>
      </c>
      <c r="F88" s="121"/>
      <c r="G88" s="121"/>
      <c r="H88" s="121"/>
      <c r="I88" s="123" t="str">
        <f t="shared" si="0"/>
        <v/>
      </c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4.25" customHeight="1" x14ac:dyDescent="0.35">
      <c r="A89" s="71">
        <v>202028134</v>
      </c>
      <c r="B89" s="71">
        <v>75846</v>
      </c>
      <c r="C89" s="71" t="s">
        <v>1523</v>
      </c>
      <c r="D89" s="71">
        <v>88281</v>
      </c>
      <c r="E89" s="71" t="s">
        <v>1524</v>
      </c>
      <c r="F89" s="121"/>
      <c r="G89" s="121"/>
      <c r="H89" s="121"/>
      <c r="I89" s="123" t="str">
        <f t="shared" si="0"/>
        <v/>
      </c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4.25" customHeight="1" x14ac:dyDescent="0.35">
      <c r="A90" s="71">
        <v>201997094</v>
      </c>
      <c r="B90" s="71">
        <v>29209</v>
      </c>
      <c r="C90" s="71" t="s">
        <v>1525</v>
      </c>
      <c r="D90" s="71">
        <v>82555</v>
      </c>
      <c r="E90" s="71" t="s">
        <v>1526</v>
      </c>
      <c r="F90" s="121"/>
      <c r="G90" s="121"/>
      <c r="H90" s="121"/>
      <c r="I90" s="123" t="str">
        <f t="shared" si="0"/>
        <v/>
      </c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4.25" customHeight="1" x14ac:dyDescent="0.35">
      <c r="A91" s="71">
        <v>201880713</v>
      </c>
      <c r="B91" s="71">
        <v>75405</v>
      </c>
      <c r="C91" s="71" t="s">
        <v>1527</v>
      </c>
      <c r="D91" s="71">
        <v>87753</v>
      </c>
      <c r="E91" s="71" t="s">
        <v>1528</v>
      </c>
      <c r="F91" s="121"/>
      <c r="G91" s="121"/>
      <c r="H91" s="121"/>
      <c r="I91" s="123" t="str">
        <f t="shared" si="0"/>
        <v/>
      </c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4.25" customHeight="1" x14ac:dyDescent="0.35">
      <c r="A92" s="71">
        <v>201933762</v>
      </c>
      <c r="B92" s="71">
        <v>60599</v>
      </c>
      <c r="C92" s="71" t="s">
        <v>1529</v>
      </c>
      <c r="D92" s="71">
        <v>85789</v>
      </c>
      <c r="E92" s="71" t="s">
        <v>1530</v>
      </c>
      <c r="F92" s="121"/>
      <c r="G92" s="121"/>
      <c r="H92" s="121"/>
      <c r="I92" s="123" t="str">
        <f t="shared" si="0"/>
        <v/>
      </c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4.25" customHeight="1" x14ac:dyDescent="0.35">
      <c r="A93" s="71">
        <v>202015487</v>
      </c>
      <c r="B93" s="71">
        <v>71159</v>
      </c>
      <c r="C93" s="71" t="s">
        <v>1531</v>
      </c>
      <c r="D93" s="71">
        <v>86979</v>
      </c>
      <c r="E93" s="71" t="s">
        <v>1532</v>
      </c>
      <c r="F93" s="121"/>
      <c r="G93" s="121"/>
      <c r="H93" s="121"/>
      <c r="I93" s="123" t="str">
        <f t="shared" si="0"/>
        <v/>
      </c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4.25" customHeight="1" x14ac:dyDescent="0.35">
      <c r="A94" s="71">
        <v>201999112</v>
      </c>
      <c r="B94" s="71">
        <v>33823</v>
      </c>
      <c r="C94" s="71" t="s">
        <v>1533</v>
      </c>
      <c r="D94" s="71">
        <v>82924</v>
      </c>
      <c r="E94" s="71" t="s">
        <v>1534</v>
      </c>
      <c r="F94" s="121"/>
      <c r="G94" s="121"/>
      <c r="H94" s="121"/>
      <c r="I94" s="123" t="str">
        <f t="shared" si="0"/>
        <v/>
      </c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4.25" customHeight="1" x14ac:dyDescent="0.35">
      <c r="A95" s="71">
        <v>201933063</v>
      </c>
      <c r="B95" s="71">
        <v>33452</v>
      </c>
      <c r="C95" s="71" t="s">
        <v>1535</v>
      </c>
      <c r="D95" s="71">
        <v>82833</v>
      </c>
      <c r="E95" s="71" t="s">
        <v>1536</v>
      </c>
      <c r="F95" s="121"/>
      <c r="G95" s="121"/>
      <c r="H95" s="121"/>
      <c r="I95" s="123" t="str">
        <f t="shared" si="0"/>
        <v/>
      </c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4.25" customHeight="1" x14ac:dyDescent="0.35">
      <c r="A96" s="71">
        <v>202003595</v>
      </c>
      <c r="B96" s="71">
        <v>62068</v>
      </c>
      <c r="C96" s="71" t="s">
        <v>1537</v>
      </c>
      <c r="D96" s="71">
        <v>85992</v>
      </c>
      <c r="E96" s="71" t="s">
        <v>1538</v>
      </c>
      <c r="F96" s="121"/>
      <c r="G96" s="121"/>
      <c r="H96" s="121"/>
      <c r="I96" s="123" t="str">
        <f t="shared" si="0"/>
        <v/>
      </c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4.25" customHeight="1" x14ac:dyDescent="0.35">
      <c r="A97" s="71">
        <v>201995637</v>
      </c>
      <c r="B97" s="71">
        <v>61735</v>
      </c>
      <c r="C97" s="71" t="s">
        <v>1539</v>
      </c>
      <c r="D97" s="71">
        <v>85942</v>
      </c>
      <c r="E97" s="71" t="s">
        <v>1540</v>
      </c>
      <c r="F97" s="121"/>
      <c r="G97" s="121"/>
      <c r="H97" s="121"/>
      <c r="I97" s="123" t="str">
        <f t="shared" si="0"/>
        <v/>
      </c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4.25" customHeight="1" x14ac:dyDescent="0.35">
      <c r="A98" s="71">
        <v>202008942</v>
      </c>
      <c r="B98" s="71">
        <v>66384</v>
      </c>
      <c r="C98" s="71" t="s">
        <v>1541</v>
      </c>
      <c r="D98" s="71">
        <v>86547</v>
      </c>
      <c r="E98" s="71" t="s">
        <v>1542</v>
      </c>
      <c r="F98" s="121"/>
      <c r="G98" s="121"/>
      <c r="H98" s="121"/>
      <c r="I98" s="123" t="str">
        <f t="shared" si="0"/>
        <v/>
      </c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4.25" customHeight="1" x14ac:dyDescent="0.35">
      <c r="A99" s="71">
        <v>201971396</v>
      </c>
      <c r="B99" s="71">
        <v>75154</v>
      </c>
      <c r="C99" s="71" t="s">
        <v>1543</v>
      </c>
      <c r="D99" s="71">
        <v>87394</v>
      </c>
      <c r="E99" s="71" t="s">
        <v>1544</v>
      </c>
      <c r="F99" s="121"/>
      <c r="G99" s="121"/>
      <c r="H99" s="121"/>
      <c r="I99" s="123" t="str">
        <f t="shared" si="0"/>
        <v/>
      </c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4.25" customHeight="1" x14ac:dyDescent="0.35">
      <c r="A100" s="71">
        <v>201925682</v>
      </c>
      <c r="B100" s="71">
        <v>61269</v>
      </c>
      <c r="C100" s="71" t="s">
        <v>1545</v>
      </c>
      <c r="D100" s="71">
        <v>85903</v>
      </c>
      <c r="E100" s="71" t="s">
        <v>1546</v>
      </c>
      <c r="F100" s="121"/>
      <c r="G100" s="121"/>
      <c r="H100" s="121"/>
      <c r="I100" s="123" t="str">
        <f t="shared" si="0"/>
        <v/>
      </c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4.25" customHeight="1" x14ac:dyDescent="0.35">
      <c r="A101" s="71">
        <v>202001068</v>
      </c>
      <c r="B101" s="71">
        <v>12781</v>
      </c>
      <c r="C101" s="71" t="s">
        <v>1547</v>
      </c>
      <c r="D101" s="71">
        <v>79857</v>
      </c>
      <c r="E101" s="71" t="s">
        <v>1548</v>
      </c>
      <c r="F101" s="121"/>
      <c r="G101" s="121"/>
      <c r="H101" s="121"/>
      <c r="I101" s="123" t="str">
        <f t="shared" si="0"/>
        <v/>
      </c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4.25" customHeight="1" x14ac:dyDescent="0.35">
      <c r="A102" s="71">
        <v>202003412</v>
      </c>
      <c r="B102" s="71">
        <v>70033</v>
      </c>
      <c r="C102" s="71" t="s">
        <v>1549</v>
      </c>
      <c r="D102" s="71">
        <v>86872</v>
      </c>
      <c r="E102" s="71" t="s">
        <v>1550</v>
      </c>
      <c r="F102" s="121"/>
      <c r="G102" s="121"/>
      <c r="H102" s="121"/>
      <c r="I102" s="123" t="str">
        <f t="shared" si="0"/>
        <v/>
      </c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4.25" customHeight="1" x14ac:dyDescent="0.35">
      <c r="A103" s="71">
        <v>201952986</v>
      </c>
      <c r="B103" s="71">
        <v>30437</v>
      </c>
      <c r="C103" s="71" t="s">
        <v>1551</v>
      </c>
      <c r="D103" s="71">
        <v>82599</v>
      </c>
      <c r="E103" s="71" t="s">
        <v>1552</v>
      </c>
      <c r="F103" s="121"/>
      <c r="G103" s="121"/>
      <c r="H103" s="121"/>
      <c r="I103" s="123" t="str">
        <f t="shared" si="0"/>
        <v/>
      </c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4.25" customHeight="1" x14ac:dyDescent="0.35">
      <c r="A104" s="71">
        <v>201927523</v>
      </c>
      <c r="B104" s="71">
        <v>77730</v>
      </c>
      <c r="C104" s="71" t="s">
        <v>1553</v>
      </c>
      <c r="D104" s="71">
        <v>89190</v>
      </c>
      <c r="E104" s="71" t="s">
        <v>1377</v>
      </c>
      <c r="F104" s="121"/>
      <c r="G104" s="121"/>
      <c r="H104" s="121"/>
      <c r="I104" s="123" t="str">
        <f t="shared" si="0"/>
        <v/>
      </c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4.25" customHeight="1" x14ac:dyDescent="0.35">
      <c r="A105" s="71">
        <v>202012786</v>
      </c>
      <c r="B105" s="71">
        <v>50243</v>
      </c>
      <c r="C105" s="71" t="s">
        <v>1554</v>
      </c>
      <c r="D105" s="71">
        <v>84601</v>
      </c>
      <c r="E105" s="71" t="s">
        <v>1555</v>
      </c>
      <c r="F105" s="121"/>
      <c r="G105" s="121"/>
      <c r="H105" s="121"/>
      <c r="I105" s="123" t="str">
        <f t="shared" si="0"/>
        <v/>
      </c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4.25" customHeight="1" x14ac:dyDescent="0.35">
      <c r="A106" s="71">
        <v>201977874</v>
      </c>
      <c r="B106" s="71">
        <v>77178</v>
      </c>
      <c r="C106" s="71" t="s">
        <v>1556</v>
      </c>
      <c r="D106" s="71">
        <v>88912</v>
      </c>
      <c r="E106" s="71" t="s">
        <v>1557</v>
      </c>
      <c r="F106" s="121"/>
      <c r="G106" s="121"/>
      <c r="H106" s="121"/>
      <c r="I106" s="123" t="str">
        <f t="shared" si="0"/>
        <v/>
      </c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4.25" customHeight="1" x14ac:dyDescent="0.35">
      <c r="A107" s="71">
        <v>201938296</v>
      </c>
      <c r="B107" s="71">
        <v>62148</v>
      </c>
      <c r="C107" s="71" t="s">
        <v>1558</v>
      </c>
      <c r="D107" s="71">
        <v>86033</v>
      </c>
      <c r="E107" s="71" t="s">
        <v>1559</v>
      </c>
      <c r="F107" s="121"/>
      <c r="G107" s="121"/>
      <c r="H107" s="121"/>
      <c r="I107" s="123" t="str">
        <f t="shared" si="0"/>
        <v/>
      </c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4.25" customHeight="1" x14ac:dyDescent="0.35">
      <c r="A108" s="71">
        <v>202003421</v>
      </c>
      <c r="B108" s="71">
        <v>76605</v>
      </c>
      <c r="C108" s="71" t="s">
        <v>1560</v>
      </c>
      <c r="D108" s="71">
        <v>88490</v>
      </c>
      <c r="E108" s="71" t="s">
        <v>1561</v>
      </c>
      <c r="F108" s="121"/>
      <c r="G108" s="121"/>
      <c r="H108" s="121"/>
      <c r="I108" s="123" t="str">
        <f t="shared" si="0"/>
        <v/>
      </c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4.25" customHeight="1" x14ac:dyDescent="0.35">
      <c r="A109" s="71">
        <v>201948966</v>
      </c>
      <c r="B109" s="71">
        <v>38850</v>
      </c>
      <c r="C109" s="71" t="s">
        <v>1562</v>
      </c>
      <c r="D109" s="71">
        <v>83411</v>
      </c>
      <c r="E109" s="71" t="s">
        <v>1563</v>
      </c>
      <c r="F109" s="121"/>
      <c r="G109" s="121"/>
      <c r="H109" s="121"/>
      <c r="I109" s="123" t="str">
        <f t="shared" si="0"/>
        <v/>
      </c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4.25" customHeight="1" x14ac:dyDescent="0.35">
      <c r="A110" s="71">
        <v>202016642</v>
      </c>
      <c r="B110" s="71">
        <v>78211</v>
      </c>
      <c r="C110" s="71" t="s">
        <v>1564</v>
      </c>
      <c r="D110" s="71">
        <v>91556</v>
      </c>
      <c r="E110" s="71" t="s">
        <v>1565</v>
      </c>
      <c r="F110" s="121"/>
      <c r="G110" s="121"/>
      <c r="H110" s="121"/>
      <c r="I110" s="123" t="str">
        <f t="shared" si="0"/>
        <v/>
      </c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4.25" customHeight="1" x14ac:dyDescent="0.35">
      <c r="A111" s="71">
        <v>202008750</v>
      </c>
      <c r="B111" s="71">
        <v>12928</v>
      </c>
      <c r="C111" s="71" t="s">
        <v>1566</v>
      </c>
      <c r="D111" s="71">
        <v>79859</v>
      </c>
      <c r="E111" s="71" t="s">
        <v>1567</v>
      </c>
      <c r="F111" s="121"/>
      <c r="G111" s="121"/>
      <c r="H111" s="121"/>
      <c r="I111" s="123" t="str">
        <f t="shared" si="0"/>
        <v/>
      </c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4.25" customHeight="1" x14ac:dyDescent="0.35">
      <c r="A112" s="71">
        <v>201971652</v>
      </c>
      <c r="B112" s="71">
        <v>63467</v>
      </c>
      <c r="C112" s="71" t="s">
        <v>1568</v>
      </c>
      <c r="D112" s="71">
        <v>86122</v>
      </c>
      <c r="E112" s="71" t="s">
        <v>1569</v>
      </c>
      <c r="F112" s="121"/>
      <c r="G112" s="121"/>
      <c r="H112" s="121"/>
      <c r="I112" s="123" t="str">
        <f t="shared" si="0"/>
        <v/>
      </c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4.25" customHeight="1" x14ac:dyDescent="0.35">
      <c r="A113" s="71">
        <v>201923124</v>
      </c>
      <c r="B113" s="71">
        <v>47706</v>
      </c>
      <c r="C113" s="71" t="s">
        <v>1570</v>
      </c>
      <c r="D113" s="71">
        <v>84275</v>
      </c>
      <c r="E113" s="71" t="s">
        <v>1571</v>
      </c>
      <c r="F113" s="121"/>
      <c r="G113" s="121"/>
      <c r="H113" s="121"/>
      <c r="I113" s="123" t="str">
        <f t="shared" si="0"/>
        <v/>
      </c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4.25" customHeight="1" x14ac:dyDescent="0.35">
      <c r="A114" s="71">
        <v>202016537</v>
      </c>
      <c r="B114" s="71">
        <v>60468</v>
      </c>
      <c r="C114" s="71" t="s">
        <v>1572</v>
      </c>
      <c r="D114" s="71">
        <v>85763</v>
      </c>
      <c r="E114" s="71" t="s">
        <v>1573</v>
      </c>
      <c r="F114" s="121"/>
      <c r="G114" s="121"/>
      <c r="H114" s="121"/>
      <c r="I114" s="123" t="str">
        <f t="shared" si="0"/>
        <v/>
      </c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4.25" customHeight="1" x14ac:dyDescent="0.35">
      <c r="A115" s="71">
        <v>201977908</v>
      </c>
      <c r="B115" s="71">
        <v>75465</v>
      </c>
      <c r="C115" s="71" t="s">
        <v>1574</v>
      </c>
      <c r="D115" s="71">
        <v>88159</v>
      </c>
      <c r="E115" s="71" t="s">
        <v>1575</v>
      </c>
      <c r="F115" s="121"/>
      <c r="G115" s="121"/>
      <c r="H115" s="121"/>
      <c r="I115" s="123" t="str">
        <f t="shared" si="0"/>
        <v/>
      </c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4.25" customHeight="1" x14ac:dyDescent="0.35">
      <c r="A116" s="71">
        <v>202018886</v>
      </c>
      <c r="B116" s="71">
        <v>60442</v>
      </c>
      <c r="C116" s="71" t="s">
        <v>1576</v>
      </c>
      <c r="D116" s="71">
        <v>85757</v>
      </c>
      <c r="E116" s="71" t="s">
        <v>1577</v>
      </c>
      <c r="F116" s="121"/>
      <c r="G116" s="121"/>
      <c r="H116" s="121"/>
      <c r="I116" s="123" t="str">
        <f t="shared" si="0"/>
        <v/>
      </c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4.25" customHeight="1" x14ac:dyDescent="0.35">
      <c r="A117" s="71">
        <v>201998426</v>
      </c>
      <c r="B117" s="71">
        <v>47387</v>
      </c>
      <c r="C117" s="71" t="s">
        <v>1434</v>
      </c>
      <c r="D117" s="71">
        <v>84184</v>
      </c>
      <c r="E117" s="71" t="s">
        <v>1578</v>
      </c>
      <c r="F117" s="121"/>
      <c r="G117" s="121"/>
      <c r="H117" s="121"/>
      <c r="I117" s="123" t="str">
        <f t="shared" si="0"/>
        <v/>
      </c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4.25" customHeight="1" x14ac:dyDescent="0.35">
      <c r="A118" s="71">
        <v>202017789</v>
      </c>
      <c r="B118" s="71">
        <v>77175</v>
      </c>
      <c r="C118" s="71" t="s">
        <v>1579</v>
      </c>
      <c r="D118" s="71">
        <v>88897</v>
      </c>
      <c r="E118" s="71" t="s">
        <v>1580</v>
      </c>
      <c r="F118" s="121"/>
      <c r="G118" s="121"/>
      <c r="H118" s="121"/>
      <c r="I118" s="123" t="str">
        <f t="shared" si="0"/>
        <v/>
      </c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4.25" customHeight="1" x14ac:dyDescent="0.35">
      <c r="A119" s="71">
        <v>201946592</v>
      </c>
      <c r="B119" s="71">
        <v>25081</v>
      </c>
      <c r="C119" s="71" t="s">
        <v>1581</v>
      </c>
      <c r="D119" s="71">
        <v>81621</v>
      </c>
      <c r="E119" s="71" t="s">
        <v>1582</v>
      </c>
      <c r="F119" s="121"/>
      <c r="G119" s="121"/>
      <c r="H119" s="121"/>
      <c r="I119" s="123" t="str">
        <f t="shared" si="0"/>
        <v/>
      </c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4.25" customHeight="1" x14ac:dyDescent="0.35">
      <c r="A120" s="71">
        <v>201975375</v>
      </c>
      <c r="B120" s="71">
        <v>21259</v>
      </c>
      <c r="C120" s="71" t="s">
        <v>1583</v>
      </c>
      <c r="D120" s="71">
        <v>80955</v>
      </c>
      <c r="E120" s="71" t="s">
        <v>1584</v>
      </c>
      <c r="F120" s="121"/>
      <c r="G120" s="121"/>
      <c r="H120" s="121"/>
      <c r="I120" s="123" t="str">
        <f t="shared" si="0"/>
        <v/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4.25" customHeight="1" x14ac:dyDescent="0.35">
      <c r="A121" s="71">
        <v>201954311</v>
      </c>
      <c r="B121" s="71">
        <v>76908</v>
      </c>
      <c r="C121" s="71" t="s">
        <v>1585</v>
      </c>
      <c r="D121" s="71">
        <v>88683</v>
      </c>
      <c r="E121" s="71" t="s">
        <v>1586</v>
      </c>
      <c r="F121" s="121"/>
      <c r="G121" s="121"/>
      <c r="H121" s="121"/>
      <c r="I121" s="123" t="str">
        <f t="shared" si="0"/>
        <v/>
      </c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4.25" customHeight="1" x14ac:dyDescent="0.35">
      <c r="A122" s="71">
        <v>201621254</v>
      </c>
      <c r="B122" s="71">
        <v>10066</v>
      </c>
      <c r="C122" s="71" t="s">
        <v>1587</v>
      </c>
      <c r="D122" s="71">
        <v>78690</v>
      </c>
      <c r="E122" s="71" t="s">
        <v>1588</v>
      </c>
      <c r="F122" s="121"/>
      <c r="G122" s="121"/>
      <c r="H122" s="121"/>
      <c r="I122" s="123" t="str">
        <f t="shared" si="0"/>
        <v/>
      </c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4.25" customHeight="1" x14ac:dyDescent="0.35">
      <c r="A123" s="71">
        <v>202001461</v>
      </c>
      <c r="B123" s="71">
        <v>76392</v>
      </c>
      <c r="C123" s="71" t="s">
        <v>1589</v>
      </c>
      <c r="D123" s="71">
        <v>88406</v>
      </c>
      <c r="E123" s="71" t="s">
        <v>1377</v>
      </c>
      <c r="F123" s="121"/>
      <c r="G123" s="121"/>
      <c r="H123" s="121"/>
      <c r="I123" s="123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4.25" customHeight="1" x14ac:dyDescent="0.35">
      <c r="A124" s="71">
        <v>201996252</v>
      </c>
      <c r="B124" s="71">
        <v>17478</v>
      </c>
      <c r="C124" s="71" t="s">
        <v>1590</v>
      </c>
      <c r="D124" s="71">
        <v>80306</v>
      </c>
      <c r="E124" s="71" t="s">
        <v>1591</v>
      </c>
      <c r="F124" s="121"/>
      <c r="G124" s="121"/>
      <c r="H124" s="121"/>
      <c r="I124" s="123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4.25" customHeight="1" x14ac:dyDescent="0.35">
      <c r="A125" s="71">
        <v>201929364</v>
      </c>
      <c r="B125" s="71">
        <v>77528</v>
      </c>
      <c r="C125" s="71" t="s">
        <v>1592</v>
      </c>
      <c r="D125" s="71">
        <v>89060</v>
      </c>
      <c r="E125" s="71" t="s">
        <v>1377</v>
      </c>
      <c r="F125" s="121"/>
      <c r="G125" s="121"/>
      <c r="H125" s="121"/>
      <c r="I125" s="123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4.25" customHeight="1" x14ac:dyDescent="0.35">
      <c r="A126" s="71">
        <v>201941246</v>
      </c>
      <c r="B126" s="71">
        <v>62367</v>
      </c>
      <c r="C126" s="71" t="s">
        <v>1593</v>
      </c>
      <c r="D126" s="71">
        <v>86080</v>
      </c>
      <c r="E126" s="71" t="s">
        <v>1594</v>
      </c>
      <c r="F126" s="121"/>
      <c r="G126" s="121"/>
      <c r="H126" s="121"/>
      <c r="I126" s="123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4.25" customHeight="1" x14ac:dyDescent="0.35">
      <c r="A127" s="71">
        <v>202015351</v>
      </c>
      <c r="B127" s="71">
        <v>75905</v>
      </c>
      <c r="C127" s="71" t="s">
        <v>1595</v>
      </c>
      <c r="D127" s="71">
        <v>88291</v>
      </c>
      <c r="E127" s="71" t="s">
        <v>1377</v>
      </c>
      <c r="F127" s="121"/>
      <c r="G127" s="121"/>
      <c r="H127" s="121"/>
      <c r="I127" s="123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4.25" customHeight="1" x14ac:dyDescent="0.35">
      <c r="A128" s="71">
        <v>202004142</v>
      </c>
      <c r="B128" s="71">
        <v>75938</v>
      </c>
      <c r="C128" s="71" t="s">
        <v>1596</v>
      </c>
      <c r="D128" s="71">
        <v>88295</v>
      </c>
      <c r="E128" s="71" t="s">
        <v>1377</v>
      </c>
      <c r="F128" s="121"/>
      <c r="G128" s="121"/>
      <c r="H128" s="121"/>
      <c r="I128" s="123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4.25" customHeight="1" x14ac:dyDescent="0.35">
      <c r="A129" s="71">
        <v>201997886</v>
      </c>
      <c r="B129" s="71">
        <v>55597</v>
      </c>
      <c r="C129" s="71" t="s">
        <v>1597</v>
      </c>
      <c r="D129" s="71">
        <v>85299</v>
      </c>
      <c r="E129" s="71" t="s">
        <v>1598</v>
      </c>
      <c r="F129" s="121"/>
      <c r="G129" s="121"/>
      <c r="H129" s="121"/>
      <c r="I129" s="123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4.25" customHeight="1" x14ac:dyDescent="0.35">
      <c r="A130" s="71">
        <v>201653675</v>
      </c>
      <c r="B130" s="71">
        <v>75649</v>
      </c>
      <c r="C130" s="71" t="s">
        <v>1599</v>
      </c>
      <c r="D130" s="71">
        <v>88217</v>
      </c>
      <c r="E130" s="71" t="s">
        <v>1377</v>
      </c>
      <c r="F130" s="121"/>
      <c r="G130" s="121"/>
      <c r="H130" s="121"/>
      <c r="I130" s="123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4.25" customHeight="1" x14ac:dyDescent="0.35">
      <c r="A131" s="71">
        <v>202001676</v>
      </c>
      <c r="B131" s="71">
        <v>55862</v>
      </c>
      <c r="C131" s="71" t="s">
        <v>1600</v>
      </c>
      <c r="D131" s="71">
        <v>85339</v>
      </c>
      <c r="E131" s="71" t="s">
        <v>1601</v>
      </c>
      <c r="F131" s="121"/>
      <c r="G131" s="121"/>
      <c r="H131" s="121"/>
      <c r="I131" s="123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4.25" customHeight="1" x14ac:dyDescent="0.35">
      <c r="A132" s="71">
        <v>201790811</v>
      </c>
      <c r="B132" s="71">
        <v>62930</v>
      </c>
      <c r="C132" s="71" t="s">
        <v>1602</v>
      </c>
      <c r="D132" s="71">
        <v>86102</v>
      </c>
      <c r="E132" s="71" t="s">
        <v>1603</v>
      </c>
      <c r="F132" s="121"/>
      <c r="G132" s="121"/>
      <c r="H132" s="121"/>
      <c r="I132" s="123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4.25" customHeight="1" x14ac:dyDescent="0.35">
      <c r="A133" s="71">
        <v>201968425</v>
      </c>
      <c r="B133" s="71">
        <v>11850</v>
      </c>
      <c r="C133" s="71" t="s">
        <v>1604</v>
      </c>
      <c r="D133" s="71">
        <v>79665</v>
      </c>
      <c r="E133" s="71" t="s">
        <v>1605</v>
      </c>
      <c r="F133" s="121"/>
      <c r="G133" s="121"/>
      <c r="H133" s="121"/>
      <c r="I133" s="123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4.25" customHeight="1" x14ac:dyDescent="0.35">
      <c r="A134" s="71">
        <v>201932471</v>
      </c>
      <c r="B134" s="71">
        <v>36346</v>
      </c>
      <c r="C134" s="71" t="s">
        <v>1606</v>
      </c>
      <c r="D134" s="71">
        <v>83218</v>
      </c>
      <c r="E134" s="71" t="s">
        <v>1403</v>
      </c>
      <c r="F134" s="121"/>
      <c r="G134" s="121"/>
      <c r="H134" s="121"/>
      <c r="I134" s="123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4.25" customHeight="1" x14ac:dyDescent="0.35">
      <c r="A135" s="71">
        <v>202022122</v>
      </c>
      <c r="B135" s="71">
        <v>20053</v>
      </c>
      <c r="C135" s="71" t="s">
        <v>1607</v>
      </c>
      <c r="D135" s="71">
        <v>80719</v>
      </c>
      <c r="E135" s="71" t="s">
        <v>1608</v>
      </c>
      <c r="F135" s="121"/>
      <c r="G135" s="121"/>
      <c r="H135" s="121"/>
      <c r="I135" s="123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4.25" customHeight="1" x14ac:dyDescent="0.35">
      <c r="A136" s="71">
        <v>201926657</v>
      </c>
      <c r="B136" s="71">
        <v>75306</v>
      </c>
      <c r="C136" s="71" t="s">
        <v>1609</v>
      </c>
      <c r="D136" s="71">
        <v>87541</v>
      </c>
      <c r="E136" s="71" t="s">
        <v>1610</v>
      </c>
      <c r="F136" s="121"/>
      <c r="G136" s="121"/>
      <c r="H136" s="121"/>
      <c r="I136" s="123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4.25" customHeight="1" x14ac:dyDescent="0.35">
      <c r="A137" s="71">
        <v>202029959</v>
      </c>
      <c r="B137" s="71">
        <v>75239</v>
      </c>
      <c r="C137" s="71" t="s">
        <v>1611</v>
      </c>
      <c r="D137" s="71">
        <v>87445</v>
      </c>
      <c r="E137" s="71" t="s">
        <v>1612</v>
      </c>
      <c r="F137" s="121"/>
      <c r="G137" s="121"/>
      <c r="H137" s="121"/>
      <c r="I137" s="123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4.25" customHeight="1" x14ac:dyDescent="0.35">
      <c r="A138" s="71">
        <v>202008754</v>
      </c>
      <c r="B138" s="71">
        <v>65429</v>
      </c>
      <c r="C138" s="71" t="s">
        <v>1613</v>
      </c>
      <c r="D138" s="71">
        <v>86449</v>
      </c>
      <c r="E138" s="71" t="s">
        <v>1614</v>
      </c>
      <c r="F138" s="121"/>
      <c r="G138" s="121"/>
      <c r="H138" s="121"/>
      <c r="I138" s="123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4.25" customHeight="1" x14ac:dyDescent="0.35">
      <c r="A139" s="71">
        <v>202003736</v>
      </c>
      <c r="B139" s="71">
        <v>60206</v>
      </c>
      <c r="C139" s="71" t="s">
        <v>1615</v>
      </c>
      <c r="D139" s="71">
        <v>85753</v>
      </c>
      <c r="E139" s="71" t="s">
        <v>1616</v>
      </c>
      <c r="F139" s="121"/>
      <c r="G139" s="121"/>
      <c r="H139" s="121"/>
      <c r="I139" s="123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4.25" customHeight="1" x14ac:dyDescent="0.35">
      <c r="A140" s="71">
        <v>202005209</v>
      </c>
      <c r="B140" s="71">
        <v>77584</v>
      </c>
      <c r="C140" s="71" t="s">
        <v>1617</v>
      </c>
      <c r="D140" s="71">
        <v>89070</v>
      </c>
      <c r="E140" s="71" t="s">
        <v>1618</v>
      </c>
      <c r="F140" s="121"/>
      <c r="G140" s="121"/>
      <c r="H140" s="121"/>
      <c r="I140" s="123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4.25" customHeight="1" x14ac:dyDescent="0.35">
      <c r="A141" s="71">
        <v>201989190</v>
      </c>
      <c r="B141" s="71">
        <v>54199</v>
      </c>
      <c r="C141" s="71" t="s">
        <v>1619</v>
      </c>
      <c r="D141" s="71">
        <v>85246</v>
      </c>
      <c r="E141" s="71" t="s">
        <v>1620</v>
      </c>
      <c r="F141" s="121"/>
      <c r="G141" s="121"/>
      <c r="H141" s="121"/>
      <c r="I141" s="123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4.25" customHeight="1" x14ac:dyDescent="0.35">
      <c r="A142" s="71">
        <v>201924391</v>
      </c>
      <c r="B142" s="71">
        <v>23579</v>
      </c>
      <c r="C142" s="71" t="s">
        <v>1621</v>
      </c>
      <c r="D142" s="71">
        <v>81182</v>
      </c>
      <c r="E142" s="71" t="s">
        <v>1622</v>
      </c>
      <c r="F142" s="121"/>
      <c r="G142" s="121"/>
      <c r="H142" s="121"/>
      <c r="I142" s="123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4.25" customHeight="1" x14ac:dyDescent="0.35">
      <c r="A143" s="71">
        <v>201933790</v>
      </c>
      <c r="B143" s="71">
        <v>24248</v>
      </c>
      <c r="C143" s="71" t="s">
        <v>1623</v>
      </c>
      <c r="D143" s="71">
        <v>81299</v>
      </c>
      <c r="E143" s="71" t="s">
        <v>1624</v>
      </c>
      <c r="F143" s="121"/>
      <c r="G143" s="121"/>
      <c r="H143" s="121"/>
      <c r="I143" s="123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4.25" customHeight="1" x14ac:dyDescent="0.35">
      <c r="A144" s="71">
        <v>201923416</v>
      </c>
      <c r="B144" s="71">
        <v>39731</v>
      </c>
      <c r="C144" s="71" t="s">
        <v>1625</v>
      </c>
      <c r="D144" s="71">
        <v>83509</v>
      </c>
      <c r="E144" s="71" t="s">
        <v>1626</v>
      </c>
      <c r="F144" s="121"/>
      <c r="G144" s="121"/>
      <c r="H144" s="121"/>
      <c r="I144" s="123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4.25" customHeight="1" x14ac:dyDescent="0.35">
      <c r="A145" s="71">
        <v>201638556</v>
      </c>
      <c r="B145" s="71">
        <v>60038</v>
      </c>
      <c r="C145" s="71" t="s">
        <v>1627</v>
      </c>
      <c r="D145" s="71">
        <v>85738</v>
      </c>
      <c r="E145" s="71" t="s">
        <v>1628</v>
      </c>
      <c r="F145" s="121"/>
      <c r="G145" s="121"/>
      <c r="H145" s="121"/>
      <c r="I145" s="123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4.25" customHeight="1" x14ac:dyDescent="0.35">
      <c r="A146" s="71">
        <v>202001271</v>
      </c>
      <c r="B146" s="71">
        <v>46674</v>
      </c>
      <c r="C146" s="71" t="s">
        <v>1629</v>
      </c>
      <c r="D146" s="71">
        <v>84072</v>
      </c>
      <c r="E146" s="71" t="s">
        <v>1630</v>
      </c>
      <c r="F146" s="121"/>
      <c r="G146" s="121"/>
      <c r="H146" s="121"/>
      <c r="I146" s="123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4.25" customHeight="1" x14ac:dyDescent="0.35">
      <c r="A147" s="71">
        <v>201923116</v>
      </c>
      <c r="B147" s="71">
        <v>60687</v>
      </c>
      <c r="C147" s="71" t="s">
        <v>1631</v>
      </c>
      <c r="D147" s="71">
        <v>85796</v>
      </c>
      <c r="E147" s="71" t="s">
        <v>1632</v>
      </c>
      <c r="F147" s="121"/>
      <c r="G147" s="121"/>
      <c r="H147" s="121"/>
      <c r="I147" s="123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4.25" customHeight="1" x14ac:dyDescent="0.35">
      <c r="A148" s="71">
        <v>202017323</v>
      </c>
      <c r="B148" s="71">
        <v>76052</v>
      </c>
      <c r="C148" s="71" t="s">
        <v>1633</v>
      </c>
      <c r="D148" s="71">
        <v>88299</v>
      </c>
      <c r="E148" s="71" t="s">
        <v>1377</v>
      </c>
      <c r="F148" s="121"/>
      <c r="G148" s="121"/>
      <c r="H148" s="121"/>
      <c r="I148" s="123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4.25" customHeight="1" x14ac:dyDescent="0.35">
      <c r="A149" s="71">
        <v>201997933</v>
      </c>
      <c r="B149" s="71">
        <v>11691</v>
      </c>
      <c r="C149" s="71" t="s">
        <v>1634</v>
      </c>
      <c r="D149" s="71">
        <v>79547</v>
      </c>
      <c r="E149" s="71" t="s">
        <v>1635</v>
      </c>
      <c r="F149" s="121"/>
      <c r="G149" s="121"/>
      <c r="H149" s="121"/>
      <c r="I149" s="123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4.25" customHeight="1" x14ac:dyDescent="0.35">
      <c r="A150" s="71">
        <v>201592116</v>
      </c>
      <c r="B150" s="71">
        <v>13610</v>
      </c>
      <c r="C150" s="71" t="s">
        <v>1636</v>
      </c>
      <c r="D150" s="71">
        <v>79864</v>
      </c>
      <c r="E150" s="71" t="s">
        <v>1637</v>
      </c>
      <c r="F150" s="121"/>
      <c r="G150" s="121"/>
      <c r="H150" s="121"/>
      <c r="I150" s="123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4.25" customHeight="1" x14ac:dyDescent="0.35">
      <c r="A151" s="71">
        <v>202017594</v>
      </c>
      <c r="B151" s="71">
        <v>20336</v>
      </c>
      <c r="C151" s="71" t="s">
        <v>1638</v>
      </c>
      <c r="D151" s="71">
        <v>80779</v>
      </c>
      <c r="E151" s="71" t="s">
        <v>1639</v>
      </c>
      <c r="F151" s="121"/>
      <c r="G151" s="121"/>
      <c r="H151" s="121"/>
      <c r="I151" s="123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4.25" customHeight="1" x14ac:dyDescent="0.35">
      <c r="A152" s="71">
        <v>201788681</v>
      </c>
      <c r="B152" s="71">
        <v>11208</v>
      </c>
      <c r="C152" s="71" t="s">
        <v>1640</v>
      </c>
      <c r="D152" s="71">
        <v>79213</v>
      </c>
      <c r="E152" s="71" t="s">
        <v>1641</v>
      </c>
      <c r="F152" s="121"/>
      <c r="G152" s="121"/>
      <c r="H152" s="121"/>
      <c r="I152" s="123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4.25" customHeight="1" x14ac:dyDescent="0.35">
      <c r="A153" s="71">
        <v>202008072</v>
      </c>
      <c r="B153" s="71">
        <v>27959</v>
      </c>
      <c r="C153" s="71" t="s">
        <v>1642</v>
      </c>
      <c r="D153" s="71">
        <v>82272</v>
      </c>
      <c r="E153" s="71" t="s">
        <v>1643</v>
      </c>
      <c r="F153" s="121"/>
      <c r="G153" s="121"/>
      <c r="H153" s="121"/>
      <c r="I153" s="123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4.25" customHeight="1" x14ac:dyDescent="0.35">
      <c r="A154" s="71">
        <v>202009951</v>
      </c>
      <c r="B154" s="71">
        <v>18148</v>
      </c>
      <c r="C154" s="71" t="s">
        <v>1644</v>
      </c>
      <c r="D154" s="71">
        <v>80381</v>
      </c>
      <c r="E154" s="71" t="s">
        <v>1645</v>
      </c>
      <c r="F154" s="121"/>
      <c r="G154" s="121"/>
      <c r="H154" s="121"/>
      <c r="I154" s="123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4.25" customHeight="1" x14ac:dyDescent="0.35">
      <c r="A155" s="71">
        <v>201959970</v>
      </c>
      <c r="B155" s="71">
        <v>75844</v>
      </c>
      <c r="C155" s="71" t="s">
        <v>1646</v>
      </c>
      <c r="D155" s="71">
        <v>88280</v>
      </c>
      <c r="E155" s="71" t="s">
        <v>1647</v>
      </c>
      <c r="F155" s="121"/>
      <c r="G155" s="121"/>
      <c r="H155" s="121"/>
      <c r="I155" s="123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4.25" customHeight="1" x14ac:dyDescent="0.35">
      <c r="A156" s="71">
        <v>202016657</v>
      </c>
      <c r="B156" s="71">
        <v>76082</v>
      </c>
      <c r="C156" s="71" t="s">
        <v>1648</v>
      </c>
      <c r="D156" s="71">
        <v>88310</v>
      </c>
      <c r="E156" s="71" t="s">
        <v>1649</v>
      </c>
      <c r="F156" s="121"/>
      <c r="G156" s="121"/>
      <c r="H156" s="121"/>
      <c r="I156" s="123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4.25" customHeight="1" x14ac:dyDescent="0.35">
      <c r="A157" s="71">
        <v>202008776</v>
      </c>
      <c r="B157" s="71">
        <v>75510</v>
      </c>
      <c r="C157" s="71" t="s">
        <v>1650</v>
      </c>
      <c r="D157" s="71">
        <v>88174</v>
      </c>
      <c r="E157" s="71" t="s">
        <v>1651</v>
      </c>
      <c r="F157" s="121"/>
      <c r="G157" s="121"/>
      <c r="H157" s="121"/>
      <c r="I157" s="123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4.25" customHeight="1" x14ac:dyDescent="0.35">
      <c r="A158" s="71">
        <v>202016532</v>
      </c>
      <c r="B158" s="71">
        <v>75714</v>
      </c>
      <c r="C158" s="71" t="s">
        <v>1652</v>
      </c>
      <c r="D158" s="71">
        <v>88222</v>
      </c>
      <c r="E158" s="71" t="s">
        <v>1377</v>
      </c>
      <c r="F158" s="121"/>
      <c r="G158" s="121"/>
      <c r="H158" s="121"/>
      <c r="I158" s="123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4.25" customHeight="1" x14ac:dyDescent="0.35">
      <c r="A159" s="71">
        <v>201929897</v>
      </c>
      <c r="B159" s="71">
        <v>18729</v>
      </c>
      <c r="C159" s="71" t="s">
        <v>1653</v>
      </c>
      <c r="D159" s="71">
        <v>80498</v>
      </c>
      <c r="E159" s="71" t="s">
        <v>1654</v>
      </c>
      <c r="F159" s="121"/>
      <c r="G159" s="121"/>
      <c r="H159" s="121"/>
      <c r="I159" s="123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4.25" customHeight="1" x14ac:dyDescent="0.35">
      <c r="A160" s="71">
        <v>202015334</v>
      </c>
      <c r="B160" s="71">
        <v>19502</v>
      </c>
      <c r="C160" s="71" t="s">
        <v>1655</v>
      </c>
      <c r="D160" s="71">
        <v>80635</v>
      </c>
      <c r="E160" s="71" t="s">
        <v>1656</v>
      </c>
      <c r="F160" s="121"/>
      <c r="G160" s="121"/>
      <c r="H160" s="121"/>
      <c r="I160" s="123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4.25" customHeight="1" x14ac:dyDescent="0.35">
      <c r="A161" s="71">
        <v>201513658</v>
      </c>
      <c r="B161" s="71">
        <v>73139</v>
      </c>
      <c r="C161" s="71" t="s">
        <v>1657</v>
      </c>
      <c r="D161" s="71">
        <v>87121</v>
      </c>
      <c r="E161" s="71" t="s">
        <v>1658</v>
      </c>
      <c r="F161" s="121"/>
      <c r="G161" s="121"/>
      <c r="H161" s="121"/>
      <c r="I161" s="123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4.25" customHeight="1" x14ac:dyDescent="0.35">
      <c r="A162" s="71">
        <v>202001242</v>
      </c>
      <c r="B162" s="71">
        <v>11844</v>
      </c>
      <c r="C162" s="71" t="s">
        <v>1659</v>
      </c>
      <c r="D162" s="71">
        <v>79646</v>
      </c>
      <c r="E162" s="71" t="s">
        <v>1660</v>
      </c>
      <c r="F162" s="121"/>
      <c r="G162" s="121"/>
      <c r="H162" s="121"/>
      <c r="I162" s="123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4.25" customHeight="1" x14ac:dyDescent="0.35">
      <c r="A163" s="71">
        <v>201303876</v>
      </c>
      <c r="B163" s="71">
        <v>51916</v>
      </c>
      <c r="C163" s="71" t="s">
        <v>1661</v>
      </c>
      <c r="D163" s="71">
        <v>84767</v>
      </c>
      <c r="E163" s="71" t="s">
        <v>1662</v>
      </c>
      <c r="F163" s="121"/>
      <c r="G163" s="121"/>
      <c r="H163" s="121"/>
      <c r="I163" s="123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4.25" customHeight="1" x14ac:dyDescent="0.35">
      <c r="A164" s="71">
        <v>202005726</v>
      </c>
      <c r="B164" s="71">
        <v>75831</v>
      </c>
      <c r="C164" s="71" t="s">
        <v>1663</v>
      </c>
      <c r="D164" s="71">
        <v>88240</v>
      </c>
      <c r="E164" s="71" t="s">
        <v>1664</v>
      </c>
      <c r="F164" s="121"/>
      <c r="G164" s="121"/>
      <c r="H164" s="121"/>
      <c r="I164" s="123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4.25" customHeight="1" x14ac:dyDescent="0.35">
      <c r="A165" s="71">
        <v>202019680</v>
      </c>
      <c r="B165" s="71">
        <v>59176</v>
      </c>
      <c r="C165" s="71" t="s">
        <v>1665</v>
      </c>
      <c r="D165" s="71">
        <v>85604</v>
      </c>
      <c r="E165" s="71" t="s">
        <v>1666</v>
      </c>
      <c r="F165" s="121"/>
      <c r="G165" s="121"/>
      <c r="H165" s="121"/>
      <c r="I165" s="123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4.25" customHeight="1" x14ac:dyDescent="0.35">
      <c r="A166" s="71">
        <v>201902318</v>
      </c>
      <c r="B166" s="71">
        <v>45356</v>
      </c>
      <c r="C166" s="71" t="s">
        <v>1667</v>
      </c>
      <c r="D166" s="71">
        <v>83989</v>
      </c>
      <c r="E166" s="71" t="s">
        <v>1625</v>
      </c>
      <c r="F166" s="121"/>
      <c r="G166" s="121"/>
      <c r="H166" s="121"/>
      <c r="I166" s="123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4.25" customHeight="1" x14ac:dyDescent="0.35">
      <c r="A167" s="126">
        <v>201998323</v>
      </c>
      <c r="B167" s="126">
        <v>77629</v>
      </c>
      <c r="C167" s="126" t="s">
        <v>1668</v>
      </c>
      <c r="D167" s="126">
        <v>89138</v>
      </c>
      <c r="E167" s="126" t="s">
        <v>1669</v>
      </c>
      <c r="F167" s="126"/>
      <c r="G167" s="126"/>
      <c r="H167" s="126"/>
      <c r="I167" s="127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spans="1:26" ht="14.25" customHeight="1" x14ac:dyDescent="0.35">
      <c r="A168" s="71">
        <v>202003350</v>
      </c>
      <c r="B168" s="71">
        <v>23799</v>
      </c>
      <c r="C168" s="71" t="s">
        <v>1670</v>
      </c>
      <c r="D168" s="71">
        <v>81220</v>
      </c>
      <c r="E168" s="71" t="s">
        <v>1671</v>
      </c>
      <c r="F168" s="121"/>
      <c r="G168" s="121"/>
      <c r="H168" s="121"/>
      <c r="I168" s="123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4.25" customHeight="1" x14ac:dyDescent="0.35">
      <c r="A169" s="71">
        <v>201966580</v>
      </c>
      <c r="B169" s="71">
        <v>21371</v>
      </c>
      <c r="C169" s="71" t="s">
        <v>1672</v>
      </c>
      <c r="D169" s="71">
        <v>80960</v>
      </c>
      <c r="E169" s="71" t="s">
        <v>1673</v>
      </c>
      <c r="F169" s="121"/>
      <c r="G169" s="121"/>
      <c r="H169" s="121"/>
      <c r="I169" s="123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4.25" customHeight="1" x14ac:dyDescent="0.35">
      <c r="A170" s="71">
        <v>202017721</v>
      </c>
      <c r="B170" s="71">
        <v>76946</v>
      </c>
      <c r="C170" s="71" t="s">
        <v>1674</v>
      </c>
      <c r="D170" s="71">
        <v>88818</v>
      </c>
      <c r="E170" s="71" t="s">
        <v>1675</v>
      </c>
      <c r="F170" s="121"/>
      <c r="G170" s="121"/>
      <c r="H170" s="121"/>
      <c r="I170" s="123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4.25" customHeight="1" x14ac:dyDescent="0.35">
      <c r="A171" s="71">
        <v>201966194</v>
      </c>
      <c r="B171" s="71">
        <v>22509</v>
      </c>
      <c r="C171" s="71" t="s">
        <v>1676</v>
      </c>
      <c r="D171" s="71">
        <v>81061</v>
      </c>
      <c r="E171" s="71" t="s">
        <v>1677</v>
      </c>
      <c r="F171" s="121"/>
      <c r="G171" s="121"/>
      <c r="H171" s="121"/>
      <c r="I171" s="123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4.25" customHeight="1" x14ac:dyDescent="0.35">
      <c r="A172" s="71">
        <v>202015338</v>
      </c>
      <c r="B172" s="71">
        <v>36898</v>
      </c>
      <c r="C172" s="71" t="s">
        <v>1678</v>
      </c>
      <c r="D172" s="71">
        <v>83222</v>
      </c>
      <c r="E172" s="71" t="s">
        <v>1403</v>
      </c>
      <c r="F172" s="121"/>
      <c r="G172" s="121"/>
      <c r="H172" s="121"/>
      <c r="I172" s="123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4.25" customHeight="1" x14ac:dyDescent="0.35">
      <c r="A173" s="71">
        <v>202030479</v>
      </c>
      <c r="B173" s="71">
        <v>52250</v>
      </c>
      <c r="C173" s="71" t="s">
        <v>1679</v>
      </c>
      <c r="D173" s="71">
        <v>84825</v>
      </c>
      <c r="E173" s="71" t="s">
        <v>1680</v>
      </c>
      <c r="F173" s="121"/>
      <c r="G173" s="121"/>
      <c r="H173" s="121"/>
      <c r="I173" s="123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4.25" customHeight="1" x14ac:dyDescent="0.35">
      <c r="A174" s="71">
        <v>202022094</v>
      </c>
      <c r="B174" s="71">
        <v>75082</v>
      </c>
      <c r="C174" s="71" t="s">
        <v>1681</v>
      </c>
      <c r="D174" s="71">
        <v>87337</v>
      </c>
      <c r="E174" s="71" t="s">
        <v>1682</v>
      </c>
      <c r="F174" s="121"/>
      <c r="G174" s="121"/>
      <c r="H174" s="121"/>
      <c r="I174" s="123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4.25" customHeight="1" x14ac:dyDescent="0.35">
      <c r="A175" s="71">
        <v>201599059</v>
      </c>
      <c r="B175" s="71">
        <v>19721</v>
      </c>
      <c r="C175" s="71" t="s">
        <v>1683</v>
      </c>
      <c r="D175" s="71">
        <v>80683</v>
      </c>
      <c r="E175" s="71" t="s">
        <v>1684</v>
      </c>
      <c r="F175" s="121"/>
      <c r="G175" s="121"/>
      <c r="H175" s="121"/>
      <c r="I175" s="123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4.25" customHeight="1" x14ac:dyDescent="0.35">
      <c r="A176" s="71">
        <v>202015435</v>
      </c>
      <c r="B176" s="71">
        <v>22779</v>
      </c>
      <c r="C176" s="71" t="s">
        <v>1685</v>
      </c>
      <c r="D176" s="71">
        <v>81095</v>
      </c>
      <c r="E176" s="71" t="s">
        <v>1686</v>
      </c>
      <c r="F176" s="121"/>
      <c r="G176" s="121"/>
      <c r="H176" s="121"/>
      <c r="I176" s="123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4.25" customHeight="1" x14ac:dyDescent="0.35">
      <c r="A177" s="71">
        <v>202004212</v>
      </c>
      <c r="B177" s="71">
        <v>62359</v>
      </c>
      <c r="C177" s="71" t="s">
        <v>1687</v>
      </c>
      <c r="D177" s="71">
        <v>86067</v>
      </c>
      <c r="E177" s="71" t="s">
        <v>1688</v>
      </c>
      <c r="F177" s="121"/>
      <c r="G177" s="121"/>
      <c r="H177" s="121"/>
      <c r="I177" s="123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4.25" customHeight="1" x14ac:dyDescent="0.35">
      <c r="A178" s="71">
        <v>202001268</v>
      </c>
      <c r="B178" s="71">
        <v>27991</v>
      </c>
      <c r="C178" s="71" t="s">
        <v>1689</v>
      </c>
      <c r="D178" s="71">
        <v>82281</v>
      </c>
      <c r="E178" s="71" t="s">
        <v>1690</v>
      </c>
      <c r="F178" s="121"/>
      <c r="G178" s="121"/>
      <c r="H178" s="121"/>
      <c r="I178" s="123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4.25" customHeight="1" x14ac:dyDescent="0.35">
      <c r="A179" s="71">
        <v>202002660</v>
      </c>
      <c r="B179" s="71">
        <v>75985</v>
      </c>
      <c r="C179" s="71" t="s">
        <v>1691</v>
      </c>
      <c r="D179" s="71">
        <v>88297</v>
      </c>
      <c r="E179" s="71" t="s">
        <v>1377</v>
      </c>
      <c r="F179" s="121"/>
      <c r="G179" s="121"/>
      <c r="H179" s="121"/>
      <c r="I179" s="123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4.25" customHeight="1" x14ac:dyDescent="0.35">
      <c r="A180" s="71">
        <v>202012364</v>
      </c>
      <c r="B180" s="71">
        <v>71475</v>
      </c>
      <c r="C180" s="71" t="s">
        <v>1692</v>
      </c>
      <c r="D180" s="71">
        <v>87014</v>
      </c>
      <c r="E180" s="71" t="s">
        <v>1693</v>
      </c>
      <c r="F180" s="121"/>
      <c r="G180" s="121"/>
      <c r="H180" s="121"/>
      <c r="I180" s="123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4.25" customHeight="1" x14ac:dyDescent="0.35">
      <c r="A181" s="71">
        <v>202002759</v>
      </c>
      <c r="B181" s="71">
        <v>75642</v>
      </c>
      <c r="C181" s="71" t="s">
        <v>1694</v>
      </c>
      <c r="D181" s="71">
        <v>88216</v>
      </c>
      <c r="E181" s="71" t="s">
        <v>1377</v>
      </c>
      <c r="F181" s="121"/>
      <c r="G181" s="121"/>
      <c r="H181" s="121"/>
      <c r="I181" s="123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4.25" customHeight="1" x14ac:dyDescent="0.35">
      <c r="A182" s="71">
        <v>202005390</v>
      </c>
      <c r="B182" s="71">
        <v>75033</v>
      </c>
      <c r="C182" s="71" t="s">
        <v>1695</v>
      </c>
      <c r="D182" s="71">
        <v>87198</v>
      </c>
      <c r="E182" s="71" t="s">
        <v>1696</v>
      </c>
      <c r="F182" s="121"/>
      <c r="G182" s="121"/>
      <c r="H182" s="121"/>
      <c r="I182" s="123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4.25" customHeight="1" x14ac:dyDescent="0.35">
      <c r="A183" s="71">
        <v>202011263</v>
      </c>
      <c r="B183" s="71">
        <v>63132</v>
      </c>
      <c r="C183" s="71" t="s">
        <v>1697</v>
      </c>
      <c r="D183" s="71">
        <v>86115</v>
      </c>
      <c r="E183" s="71" t="s">
        <v>1698</v>
      </c>
      <c r="F183" s="121"/>
      <c r="G183" s="121"/>
      <c r="H183" s="121"/>
      <c r="I183" s="123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4.25" customHeight="1" x14ac:dyDescent="0.35">
      <c r="A184" s="71">
        <v>201977937</v>
      </c>
      <c r="B184" s="71">
        <v>77354</v>
      </c>
      <c r="C184" s="71" t="s">
        <v>1699</v>
      </c>
      <c r="D184" s="71">
        <v>88984</v>
      </c>
      <c r="E184" s="71" t="s">
        <v>1700</v>
      </c>
      <c r="F184" s="121"/>
      <c r="G184" s="121"/>
      <c r="H184" s="121"/>
      <c r="I184" s="123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4.25" customHeight="1" x14ac:dyDescent="0.35">
      <c r="A185" s="71">
        <v>201989184</v>
      </c>
      <c r="B185" s="71">
        <v>77078</v>
      </c>
      <c r="C185" s="71" t="s">
        <v>1701</v>
      </c>
      <c r="D185" s="71">
        <v>88853</v>
      </c>
      <c r="E185" s="71" t="s">
        <v>1702</v>
      </c>
      <c r="F185" s="121"/>
      <c r="G185" s="121"/>
      <c r="H185" s="121"/>
      <c r="I185" s="123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4.25" customHeight="1" x14ac:dyDescent="0.35">
      <c r="A186" s="71">
        <v>201936487</v>
      </c>
      <c r="B186" s="71">
        <v>64929</v>
      </c>
      <c r="C186" s="71" t="s">
        <v>1703</v>
      </c>
      <c r="D186" s="71">
        <v>86302</v>
      </c>
      <c r="E186" s="71" t="s">
        <v>1704</v>
      </c>
      <c r="F186" s="121"/>
      <c r="G186" s="121"/>
      <c r="H186" s="121"/>
      <c r="I186" s="123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4.25" customHeight="1" x14ac:dyDescent="0.35">
      <c r="A187" s="71">
        <v>202007657</v>
      </c>
      <c r="B187" s="71">
        <v>65947</v>
      </c>
      <c r="C187" s="71" t="s">
        <v>1705</v>
      </c>
      <c r="D187" s="71">
        <v>86456</v>
      </c>
      <c r="E187" s="71" t="s">
        <v>1614</v>
      </c>
      <c r="F187" s="121"/>
      <c r="G187" s="121"/>
      <c r="H187" s="121"/>
      <c r="I187" s="123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4.25" customHeight="1" x14ac:dyDescent="0.35">
      <c r="A188" s="71">
        <v>202012073</v>
      </c>
      <c r="B188" s="71">
        <v>28345</v>
      </c>
      <c r="C188" s="71" t="s">
        <v>1706</v>
      </c>
      <c r="D188" s="71">
        <v>82311</v>
      </c>
      <c r="E188" s="71" t="s">
        <v>1707</v>
      </c>
      <c r="F188" s="121"/>
      <c r="G188" s="121"/>
      <c r="H188" s="121"/>
      <c r="I188" s="123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4.25" customHeight="1" x14ac:dyDescent="0.35">
      <c r="A189" s="71">
        <v>202006611</v>
      </c>
      <c r="B189" s="71">
        <v>54704</v>
      </c>
      <c r="C189" s="71" t="s">
        <v>1708</v>
      </c>
      <c r="D189" s="71">
        <v>85265</v>
      </c>
      <c r="E189" s="71" t="s">
        <v>1709</v>
      </c>
      <c r="F189" s="121"/>
      <c r="G189" s="121"/>
      <c r="H189" s="121"/>
      <c r="I189" s="123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4.25" customHeight="1" x14ac:dyDescent="0.35">
      <c r="A190" s="71">
        <v>202020843</v>
      </c>
      <c r="B190" s="71">
        <v>25232</v>
      </c>
      <c r="C190" s="71" t="s">
        <v>1710</v>
      </c>
      <c r="D190" s="71">
        <v>81659</v>
      </c>
      <c r="E190" s="71" t="s">
        <v>1711</v>
      </c>
      <c r="F190" s="121"/>
      <c r="G190" s="121"/>
      <c r="H190" s="121"/>
      <c r="I190" s="123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4.25" customHeight="1" x14ac:dyDescent="0.35">
      <c r="A191" s="71">
        <v>201945445</v>
      </c>
      <c r="B191" s="71">
        <v>18163</v>
      </c>
      <c r="C191" s="71" t="s">
        <v>1712</v>
      </c>
      <c r="D191" s="71">
        <v>80399</v>
      </c>
      <c r="E191" s="71" t="s">
        <v>1713</v>
      </c>
      <c r="F191" s="121"/>
      <c r="G191" s="121"/>
      <c r="H191" s="121"/>
      <c r="I191" s="123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4.25" customHeight="1" x14ac:dyDescent="0.35">
      <c r="A192" s="71">
        <v>202028526</v>
      </c>
      <c r="B192" s="71">
        <v>23712</v>
      </c>
      <c r="C192" s="71" t="s">
        <v>1714</v>
      </c>
      <c r="D192" s="71">
        <v>81208</v>
      </c>
      <c r="E192" s="71" t="s">
        <v>1715</v>
      </c>
      <c r="F192" s="121"/>
      <c r="G192" s="121"/>
      <c r="H192" s="121"/>
      <c r="I192" s="123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4.25" customHeight="1" x14ac:dyDescent="0.35">
      <c r="A193" s="71">
        <v>201965977</v>
      </c>
      <c r="B193" s="71">
        <v>21928</v>
      </c>
      <c r="C193" s="71" t="s">
        <v>1716</v>
      </c>
      <c r="D193" s="71">
        <v>81040</v>
      </c>
      <c r="E193" s="71" t="s">
        <v>1717</v>
      </c>
      <c r="F193" s="121"/>
      <c r="G193" s="121"/>
      <c r="H193" s="121"/>
      <c r="I193" s="123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4.25" customHeight="1" x14ac:dyDescent="0.35">
      <c r="A194" s="71">
        <v>201977962</v>
      </c>
      <c r="B194" s="71">
        <v>27617</v>
      </c>
      <c r="C194" s="71" t="s">
        <v>1718</v>
      </c>
      <c r="D194" s="71">
        <v>82171</v>
      </c>
      <c r="E194" s="71" t="s">
        <v>1719</v>
      </c>
      <c r="F194" s="121"/>
      <c r="G194" s="121"/>
      <c r="H194" s="121"/>
      <c r="I194" s="123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4.25" customHeight="1" x14ac:dyDescent="0.35">
      <c r="A195" s="71">
        <v>202016002</v>
      </c>
      <c r="B195" s="71">
        <v>18622</v>
      </c>
      <c r="C195" s="71" t="s">
        <v>1720</v>
      </c>
      <c r="D195" s="71">
        <v>80432</v>
      </c>
      <c r="E195" s="71" t="s">
        <v>1721</v>
      </c>
      <c r="F195" s="121"/>
      <c r="G195" s="121"/>
      <c r="H195" s="121"/>
      <c r="I195" s="123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4.25" customHeight="1" x14ac:dyDescent="0.35">
      <c r="A196" s="71">
        <v>201997288</v>
      </c>
      <c r="B196" s="71">
        <v>11600</v>
      </c>
      <c r="C196" s="71" t="s">
        <v>1722</v>
      </c>
      <c r="D196" s="71">
        <v>79452</v>
      </c>
      <c r="E196" s="71" t="s">
        <v>1723</v>
      </c>
      <c r="F196" s="121"/>
      <c r="G196" s="121"/>
      <c r="H196" s="121"/>
      <c r="I196" s="123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4.25" customHeight="1" x14ac:dyDescent="0.35">
      <c r="A197" s="71">
        <v>201967722</v>
      </c>
      <c r="B197" s="71">
        <v>39571</v>
      </c>
      <c r="C197" s="71" t="s">
        <v>1724</v>
      </c>
      <c r="D197" s="71">
        <v>83462</v>
      </c>
      <c r="E197" s="71" t="s">
        <v>1725</v>
      </c>
      <c r="F197" s="121"/>
      <c r="G197" s="121"/>
      <c r="H197" s="121"/>
      <c r="I197" s="123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4.25" customHeight="1" x14ac:dyDescent="0.35">
      <c r="A198" s="71">
        <v>202008926</v>
      </c>
      <c r="B198" s="71">
        <v>63715</v>
      </c>
      <c r="C198" s="71" t="s">
        <v>1726</v>
      </c>
      <c r="D198" s="71">
        <v>86143</v>
      </c>
      <c r="E198" s="71" t="s">
        <v>1727</v>
      </c>
      <c r="F198" s="121"/>
      <c r="G198" s="121"/>
      <c r="H198" s="121"/>
      <c r="I198" s="123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4.25" customHeight="1" x14ac:dyDescent="0.35">
      <c r="A199" s="71">
        <v>202011079</v>
      </c>
      <c r="B199" s="71">
        <v>75260</v>
      </c>
      <c r="C199" s="71" t="s">
        <v>1728</v>
      </c>
      <c r="D199" s="71">
        <v>87476</v>
      </c>
      <c r="E199" s="71" t="s">
        <v>1729</v>
      </c>
      <c r="F199" s="121"/>
      <c r="G199" s="121"/>
      <c r="H199" s="121"/>
      <c r="I199" s="123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4.25" customHeight="1" x14ac:dyDescent="0.35">
      <c r="A200" s="71">
        <v>201925180</v>
      </c>
      <c r="B200" s="71">
        <v>77900</v>
      </c>
      <c r="C200" s="71" t="s">
        <v>1730</v>
      </c>
      <c r="D200" s="71">
        <v>89234</v>
      </c>
      <c r="E200" s="71" t="s">
        <v>1377</v>
      </c>
      <c r="F200" s="121"/>
      <c r="G200" s="121"/>
      <c r="H200" s="121"/>
      <c r="I200" s="123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4.25" customHeight="1" x14ac:dyDescent="0.35">
      <c r="A201" s="71">
        <v>201937462</v>
      </c>
      <c r="B201" s="71">
        <v>76573</v>
      </c>
      <c r="C201" s="71" t="s">
        <v>1731</v>
      </c>
      <c r="D201" s="71">
        <v>88462</v>
      </c>
      <c r="E201" s="71" t="s">
        <v>1732</v>
      </c>
      <c r="F201" s="121"/>
      <c r="G201" s="121"/>
      <c r="H201" s="121"/>
      <c r="I201" s="123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4.25" customHeight="1" x14ac:dyDescent="0.35">
      <c r="A202" s="71">
        <v>201994968</v>
      </c>
      <c r="B202" s="71">
        <v>69366</v>
      </c>
      <c r="C202" s="71" t="s">
        <v>1733</v>
      </c>
      <c r="D202" s="71">
        <v>86819</v>
      </c>
      <c r="E202" s="71" t="s">
        <v>1734</v>
      </c>
      <c r="F202" s="121"/>
      <c r="G202" s="121"/>
      <c r="H202" s="121"/>
      <c r="I202" s="123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4.25" customHeight="1" x14ac:dyDescent="0.35">
      <c r="A203" s="71">
        <v>202007668</v>
      </c>
      <c r="B203" s="71">
        <v>16505</v>
      </c>
      <c r="C203" s="71" t="s">
        <v>1735</v>
      </c>
      <c r="D203" s="71">
        <v>80200</v>
      </c>
      <c r="E203" s="71" t="s">
        <v>1736</v>
      </c>
      <c r="F203" s="121"/>
      <c r="G203" s="121"/>
      <c r="H203" s="121"/>
      <c r="I203" s="123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4.25" customHeight="1" x14ac:dyDescent="0.35">
      <c r="A204" s="71">
        <v>201966498</v>
      </c>
      <c r="B204" s="71">
        <v>78091</v>
      </c>
      <c r="C204" s="71" t="s">
        <v>1737</v>
      </c>
      <c r="D204" s="71">
        <v>90756</v>
      </c>
      <c r="E204" s="71" t="s">
        <v>1738</v>
      </c>
      <c r="F204" s="121"/>
      <c r="G204" s="121"/>
      <c r="H204" s="121"/>
      <c r="I204" s="123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4.25" customHeight="1" x14ac:dyDescent="0.35">
      <c r="A205" s="71">
        <v>202005813</v>
      </c>
      <c r="B205" s="71">
        <v>77780</v>
      </c>
      <c r="C205" s="71" t="s">
        <v>1739</v>
      </c>
      <c r="D205" s="71">
        <v>89199</v>
      </c>
      <c r="E205" s="71" t="s">
        <v>1740</v>
      </c>
      <c r="F205" s="121"/>
      <c r="G205" s="121"/>
      <c r="H205" s="121"/>
      <c r="I205" s="123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4.25" customHeight="1" x14ac:dyDescent="0.35">
      <c r="A206" s="71">
        <v>201971514</v>
      </c>
      <c r="B206" s="71">
        <v>52936</v>
      </c>
      <c r="C206" s="71" t="s">
        <v>1741</v>
      </c>
      <c r="D206" s="71">
        <v>85059</v>
      </c>
      <c r="E206" s="71" t="s">
        <v>1742</v>
      </c>
      <c r="F206" s="121"/>
      <c r="G206" s="121"/>
      <c r="H206" s="121"/>
      <c r="I206" s="123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4.25" customHeight="1" x14ac:dyDescent="0.35">
      <c r="A207" s="71">
        <v>201935563</v>
      </c>
      <c r="B207" s="71">
        <v>44943</v>
      </c>
      <c r="C207" s="71" t="s">
        <v>1743</v>
      </c>
      <c r="D207" s="71">
        <v>83969</v>
      </c>
      <c r="E207" s="71" t="s">
        <v>1744</v>
      </c>
      <c r="F207" s="121"/>
      <c r="G207" s="121"/>
      <c r="H207" s="121"/>
      <c r="I207" s="123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4.25" customHeight="1" x14ac:dyDescent="0.35">
      <c r="A208" s="71">
        <v>202025955</v>
      </c>
      <c r="B208" s="71">
        <v>11674</v>
      </c>
      <c r="C208" s="71" t="s">
        <v>1745</v>
      </c>
      <c r="D208" s="71">
        <v>79545</v>
      </c>
      <c r="E208" s="71" t="s">
        <v>1746</v>
      </c>
      <c r="F208" s="121"/>
      <c r="G208" s="121"/>
      <c r="H208" s="121"/>
      <c r="I208" s="123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4.25" customHeight="1" x14ac:dyDescent="0.35">
      <c r="A209" s="71">
        <v>202011272</v>
      </c>
      <c r="B209" s="71">
        <v>65700</v>
      </c>
      <c r="C209" s="71" t="s">
        <v>1747</v>
      </c>
      <c r="D209" s="71">
        <v>86453</v>
      </c>
      <c r="E209" s="71" t="s">
        <v>1614</v>
      </c>
      <c r="F209" s="121"/>
      <c r="G209" s="121"/>
      <c r="H209" s="121"/>
      <c r="I209" s="123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4.25" customHeight="1" x14ac:dyDescent="0.35">
      <c r="A210" s="71">
        <v>201971621</v>
      </c>
      <c r="B210" s="71">
        <v>68866</v>
      </c>
      <c r="C210" s="71" t="s">
        <v>1748</v>
      </c>
      <c r="D210" s="71">
        <v>86810</v>
      </c>
      <c r="E210" s="71" t="s">
        <v>1749</v>
      </c>
      <c r="F210" s="121"/>
      <c r="G210" s="121"/>
      <c r="H210" s="121"/>
      <c r="I210" s="123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4.25" customHeight="1" x14ac:dyDescent="0.35">
      <c r="A211" s="71">
        <v>201938342</v>
      </c>
      <c r="B211" s="71">
        <v>28118</v>
      </c>
      <c r="C211" s="71" t="s">
        <v>1750</v>
      </c>
      <c r="D211" s="71">
        <v>82292</v>
      </c>
      <c r="E211" s="71" t="s">
        <v>1751</v>
      </c>
      <c r="F211" s="121"/>
      <c r="G211" s="121"/>
      <c r="H211" s="121"/>
      <c r="I211" s="123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4.25" customHeight="1" x14ac:dyDescent="0.35">
      <c r="A212" s="71">
        <v>202018074</v>
      </c>
      <c r="B212" s="71">
        <v>71175</v>
      </c>
      <c r="C212" s="71" t="s">
        <v>1752</v>
      </c>
      <c r="D212" s="71">
        <v>86990</v>
      </c>
      <c r="E212" s="71" t="s">
        <v>1753</v>
      </c>
      <c r="F212" s="121"/>
      <c r="G212" s="121"/>
      <c r="H212" s="121"/>
      <c r="I212" s="123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4.25" customHeight="1" x14ac:dyDescent="0.35">
      <c r="A213" s="71">
        <v>202001048</v>
      </c>
      <c r="B213" s="71">
        <v>65307</v>
      </c>
      <c r="C213" s="71" t="s">
        <v>1754</v>
      </c>
      <c r="D213" s="71">
        <v>86408</v>
      </c>
      <c r="E213" s="71" t="s">
        <v>1755</v>
      </c>
      <c r="F213" s="121"/>
      <c r="G213" s="121"/>
      <c r="H213" s="121"/>
      <c r="I213" s="123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4.25" customHeight="1" x14ac:dyDescent="0.35">
      <c r="A214" s="71">
        <v>201971243</v>
      </c>
      <c r="B214" s="71">
        <v>55212</v>
      </c>
      <c r="C214" s="71" t="s">
        <v>1756</v>
      </c>
      <c r="D214" s="71">
        <v>85285</v>
      </c>
      <c r="E214" s="71" t="s">
        <v>1757</v>
      </c>
      <c r="F214" s="121"/>
      <c r="G214" s="121"/>
      <c r="H214" s="121"/>
      <c r="I214" s="123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4.25" customHeight="1" x14ac:dyDescent="0.35">
      <c r="A215" s="71">
        <v>201981865</v>
      </c>
      <c r="B215" s="71">
        <v>75455</v>
      </c>
      <c r="C215" s="71" t="s">
        <v>1758</v>
      </c>
      <c r="D215" s="71">
        <v>87842</v>
      </c>
      <c r="E215" s="71" t="s">
        <v>1759</v>
      </c>
      <c r="F215" s="121"/>
      <c r="G215" s="121"/>
      <c r="H215" s="121"/>
      <c r="I215" s="123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4.25" customHeight="1" x14ac:dyDescent="0.35">
      <c r="A216" s="71">
        <v>201604451</v>
      </c>
      <c r="B216" s="71">
        <v>77902</v>
      </c>
      <c r="C216" s="71" t="s">
        <v>1760</v>
      </c>
      <c r="D216" s="71">
        <v>89235</v>
      </c>
      <c r="E216" s="71" t="s">
        <v>1377</v>
      </c>
      <c r="F216" s="121"/>
      <c r="G216" s="121"/>
      <c r="H216" s="121"/>
      <c r="I216" s="123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4.25" customHeight="1" x14ac:dyDescent="0.35">
      <c r="A217" s="71">
        <v>202011107</v>
      </c>
      <c r="B217" s="71">
        <v>75240</v>
      </c>
      <c r="C217" s="71" t="s">
        <v>1761</v>
      </c>
      <c r="D217" s="71">
        <v>87447</v>
      </c>
      <c r="E217" s="71" t="s">
        <v>1762</v>
      </c>
      <c r="F217" s="121"/>
      <c r="G217" s="121"/>
      <c r="H217" s="121"/>
      <c r="I217" s="123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4.25" customHeight="1" x14ac:dyDescent="0.35">
      <c r="A218" s="71">
        <v>201944456</v>
      </c>
      <c r="B218" s="71">
        <v>11845</v>
      </c>
      <c r="C218" s="71" t="s">
        <v>1763</v>
      </c>
      <c r="D218" s="71">
        <v>79663</v>
      </c>
      <c r="E218" s="71" t="s">
        <v>1764</v>
      </c>
      <c r="F218" s="121"/>
      <c r="G218" s="121"/>
      <c r="H218" s="121"/>
      <c r="I218" s="123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4.25" customHeight="1" x14ac:dyDescent="0.35">
      <c r="A219" s="71">
        <v>201958620</v>
      </c>
      <c r="B219" s="71">
        <v>49322</v>
      </c>
      <c r="C219" s="71" t="s">
        <v>1765</v>
      </c>
      <c r="D219" s="71">
        <v>84413</v>
      </c>
      <c r="E219" s="71" t="s">
        <v>1766</v>
      </c>
      <c r="F219" s="121"/>
      <c r="G219" s="121"/>
      <c r="H219" s="121"/>
      <c r="I219" s="123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4.25" customHeight="1" x14ac:dyDescent="0.35">
      <c r="A220" s="71">
        <v>201966195</v>
      </c>
      <c r="B220" s="71">
        <v>15720</v>
      </c>
      <c r="C220" s="71" t="s">
        <v>1767</v>
      </c>
      <c r="D220" s="71">
        <v>80179</v>
      </c>
      <c r="E220" s="71" t="s">
        <v>1768</v>
      </c>
      <c r="F220" s="121"/>
      <c r="G220" s="121"/>
      <c r="H220" s="121"/>
      <c r="I220" s="123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4.25" customHeight="1" x14ac:dyDescent="0.35">
      <c r="A221" s="71">
        <v>201974136</v>
      </c>
      <c r="B221" s="71">
        <v>77377</v>
      </c>
      <c r="C221" s="71" t="s">
        <v>1769</v>
      </c>
      <c r="D221" s="71">
        <v>89003</v>
      </c>
      <c r="E221" s="71" t="s">
        <v>1770</v>
      </c>
      <c r="F221" s="121"/>
      <c r="G221" s="121"/>
      <c r="H221" s="121"/>
      <c r="I221" s="123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4.25" customHeight="1" x14ac:dyDescent="0.35">
      <c r="A222" s="71">
        <v>201949017</v>
      </c>
      <c r="B222" s="71">
        <v>35107</v>
      </c>
      <c r="C222" s="71" t="s">
        <v>1771</v>
      </c>
      <c r="D222" s="71">
        <v>83209</v>
      </c>
      <c r="E222" s="71" t="s">
        <v>1403</v>
      </c>
      <c r="F222" s="121"/>
      <c r="G222" s="121"/>
      <c r="H222" s="121"/>
      <c r="I222" s="123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4.25" customHeight="1" x14ac:dyDescent="0.35">
      <c r="A223" s="71">
        <v>201981893</v>
      </c>
      <c r="B223" s="71">
        <v>47941</v>
      </c>
      <c r="C223" s="71" t="s">
        <v>1772</v>
      </c>
      <c r="D223" s="71">
        <v>84348</v>
      </c>
      <c r="E223" s="71" t="s">
        <v>1773</v>
      </c>
      <c r="F223" s="121"/>
      <c r="G223" s="121"/>
      <c r="H223" s="121"/>
      <c r="I223" s="123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4.25" customHeight="1" x14ac:dyDescent="0.35">
      <c r="A224" s="71">
        <v>202009054</v>
      </c>
      <c r="B224" s="71">
        <v>64450</v>
      </c>
      <c r="C224" s="71" t="s">
        <v>1774</v>
      </c>
      <c r="D224" s="71">
        <v>86233</v>
      </c>
      <c r="E224" s="71" t="s">
        <v>1775</v>
      </c>
      <c r="F224" s="121"/>
      <c r="G224" s="121"/>
      <c r="H224" s="121"/>
      <c r="I224" s="123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4.25" customHeight="1" x14ac:dyDescent="0.35">
      <c r="A225" s="71">
        <v>202008586</v>
      </c>
      <c r="B225" s="71">
        <v>10777</v>
      </c>
      <c r="C225" s="71" t="s">
        <v>1776</v>
      </c>
      <c r="D225" s="71">
        <v>79037</v>
      </c>
      <c r="E225" s="71" t="s">
        <v>1777</v>
      </c>
      <c r="F225" s="121"/>
      <c r="G225" s="121"/>
      <c r="H225" s="121"/>
      <c r="I225" s="123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4.25" customHeight="1" x14ac:dyDescent="0.35">
      <c r="A226" s="71">
        <v>201961468</v>
      </c>
      <c r="B226" s="71">
        <v>75912</v>
      </c>
      <c r="C226" s="71" t="s">
        <v>1778</v>
      </c>
      <c r="D226" s="71">
        <v>88294</v>
      </c>
      <c r="E226" s="71" t="s">
        <v>1377</v>
      </c>
      <c r="F226" s="121"/>
      <c r="G226" s="121"/>
      <c r="H226" s="121"/>
      <c r="I226" s="123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4.25" customHeight="1" x14ac:dyDescent="0.35">
      <c r="A227" s="71">
        <v>202016711</v>
      </c>
      <c r="B227" s="71">
        <v>11153</v>
      </c>
      <c r="C227" s="71" t="s">
        <v>1779</v>
      </c>
      <c r="D227" s="71">
        <v>79166</v>
      </c>
      <c r="E227" s="71" t="s">
        <v>1780</v>
      </c>
      <c r="F227" s="121"/>
      <c r="G227" s="121"/>
      <c r="H227" s="121"/>
      <c r="I227" s="123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4.25" customHeight="1" x14ac:dyDescent="0.35">
      <c r="A228" s="71">
        <v>201971550</v>
      </c>
      <c r="B228" s="71">
        <v>66245</v>
      </c>
      <c r="C228" s="71" t="s">
        <v>1781</v>
      </c>
      <c r="D228" s="71">
        <v>86489</v>
      </c>
      <c r="E228" s="71" t="s">
        <v>1782</v>
      </c>
      <c r="F228" s="121"/>
      <c r="G228" s="121"/>
      <c r="H228" s="121"/>
      <c r="I228" s="123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4.25" customHeight="1" x14ac:dyDescent="0.35">
      <c r="A229" s="71">
        <v>202022383</v>
      </c>
      <c r="B229" s="71">
        <v>52038</v>
      </c>
      <c r="C229" s="71" t="s">
        <v>1783</v>
      </c>
      <c r="D229" s="71">
        <v>84781</v>
      </c>
      <c r="E229" s="71" t="s">
        <v>1784</v>
      </c>
      <c r="F229" s="121"/>
      <c r="G229" s="121"/>
      <c r="H229" s="121"/>
      <c r="I229" s="123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4.25" customHeight="1" x14ac:dyDescent="0.35">
      <c r="A230" s="71">
        <v>201950296</v>
      </c>
      <c r="B230" s="71">
        <v>75064</v>
      </c>
      <c r="C230" s="71" t="s">
        <v>1785</v>
      </c>
      <c r="D230" s="71">
        <v>87289</v>
      </c>
      <c r="E230" s="71" t="s">
        <v>1786</v>
      </c>
      <c r="F230" s="121"/>
      <c r="G230" s="121"/>
      <c r="H230" s="121"/>
      <c r="I230" s="123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4.25" customHeight="1" x14ac:dyDescent="0.35">
      <c r="A231" s="71">
        <v>202008768</v>
      </c>
      <c r="B231" s="71">
        <v>42906</v>
      </c>
      <c r="C231" s="71" t="s">
        <v>1787</v>
      </c>
      <c r="D231" s="71">
        <v>83774</v>
      </c>
      <c r="E231" s="71" t="s">
        <v>1788</v>
      </c>
      <c r="F231" s="121"/>
      <c r="G231" s="121"/>
      <c r="H231" s="121"/>
      <c r="I231" s="123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4.25" customHeight="1" x14ac:dyDescent="0.35">
      <c r="A232" s="71">
        <v>202013587</v>
      </c>
      <c r="B232" s="71">
        <v>51131</v>
      </c>
      <c r="C232" s="71" t="s">
        <v>1789</v>
      </c>
      <c r="D232" s="71">
        <v>84661</v>
      </c>
      <c r="E232" s="71" t="s">
        <v>1790</v>
      </c>
      <c r="F232" s="121"/>
      <c r="G232" s="121"/>
      <c r="H232" s="121"/>
      <c r="I232" s="123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4.25" customHeight="1" x14ac:dyDescent="0.35">
      <c r="A233" s="71">
        <v>202009060</v>
      </c>
      <c r="B233" s="71">
        <v>15457</v>
      </c>
      <c r="C233" s="71" t="s">
        <v>1791</v>
      </c>
      <c r="D233" s="71">
        <v>80128</v>
      </c>
      <c r="E233" s="71" t="s">
        <v>1792</v>
      </c>
      <c r="F233" s="121"/>
      <c r="G233" s="121"/>
      <c r="H233" s="121"/>
      <c r="I233" s="123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4.25" customHeight="1" x14ac:dyDescent="0.35">
      <c r="A234" s="71">
        <v>201991914</v>
      </c>
      <c r="B234" s="71">
        <v>59256</v>
      </c>
      <c r="C234" s="71" t="s">
        <v>1793</v>
      </c>
      <c r="D234" s="71">
        <v>85631</v>
      </c>
      <c r="E234" s="71" t="s">
        <v>1794</v>
      </c>
      <c r="F234" s="121"/>
      <c r="G234" s="121"/>
      <c r="H234" s="121"/>
      <c r="I234" s="123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4.25" customHeight="1" x14ac:dyDescent="0.35">
      <c r="A235" s="71">
        <v>201974128</v>
      </c>
      <c r="B235" s="71">
        <v>47571</v>
      </c>
      <c r="C235" s="71" t="s">
        <v>1795</v>
      </c>
      <c r="D235" s="71">
        <v>84215</v>
      </c>
      <c r="E235" s="71" t="s">
        <v>1796</v>
      </c>
      <c r="F235" s="121"/>
      <c r="G235" s="121"/>
      <c r="H235" s="121"/>
      <c r="I235" s="123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4.25" customHeight="1" x14ac:dyDescent="0.35">
      <c r="A236" s="71">
        <v>202007457</v>
      </c>
      <c r="B236" s="71">
        <v>23393</v>
      </c>
      <c r="C236" s="71" t="s">
        <v>1797</v>
      </c>
      <c r="D236" s="71">
        <v>81133</v>
      </c>
      <c r="E236" s="71" t="s">
        <v>1798</v>
      </c>
      <c r="F236" s="121"/>
      <c r="G236" s="121"/>
      <c r="H236" s="121"/>
      <c r="I236" s="123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4.25" customHeight="1" x14ac:dyDescent="0.35">
      <c r="A237" s="71">
        <v>202022113</v>
      </c>
      <c r="B237" s="71">
        <v>25304</v>
      </c>
      <c r="C237" s="71" t="s">
        <v>1799</v>
      </c>
      <c r="D237" s="71">
        <v>81665</v>
      </c>
      <c r="E237" s="71" t="s">
        <v>1800</v>
      </c>
      <c r="F237" s="121"/>
      <c r="G237" s="121"/>
      <c r="H237" s="121"/>
      <c r="I237" s="123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4.25" customHeight="1" x14ac:dyDescent="0.35">
      <c r="A238" s="71">
        <v>201934786</v>
      </c>
      <c r="B238" s="71">
        <v>11394</v>
      </c>
      <c r="C238" s="71" t="s">
        <v>1801</v>
      </c>
      <c r="D238" s="71">
        <v>79299</v>
      </c>
      <c r="E238" s="71" t="s">
        <v>1802</v>
      </c>
      <c r="F238" s="121"/>
      <c r="G238" s="121"/>
      <c r="H238" s="121"/>
      <c r="I238" s="123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4.25" customHeight="1" x14ac:dyDescent="0.35">
      <c r="A239" s="71">
        <v>202017657</v>
      </c>
      <c r="B239" s="71">
        <v>47619</v>
      </c>
      <c r="C239" s="71" t="s">
        <v>1803</v>
      </c>
      <c r="D239" s="71">
        <v>84234</v>
      </c>
      <c r="E239" s="71" t="s">
        <v>1804</v>
      </c>
      <c r="F239" s="121"/>
      <c r="G239" s="121"/>
      <c r="H239" s="121"/>
      <c r="I239" s="123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spans="1:26" ht="14.25" customHeight="1" x14ac:dyDescent="0.35">
      <c r="A240" s="71">
        <v>202019679</v>
      </c>
      <c r="B240" s="71">
        <v>19828</v>
      </c>
      <c r="C240" s="71" t="s">
        <v>1805</v>
      </c>
      <c r="D240" s="71">
        <v>80688</v>
      </c>
      <c r="E240" s="71" t="s">
        <v>1806</v>
      </c>
      <c r="F240" s="121"/>
      <c r="G240" s="121"/>
      <c r="H240" s="121"/>
      <c r="I240" s="123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spans="1:26" ht="14.25" customHeight="1" x14ac:dyDescent="0.35">
      <c r="A241" s="166" t="s">
        <v>1807</v>
      </c>
      <c r="B241" s="137"/>
      <c r="C241" s="137"/>
      <c r="D241" s="137"/>
      <c r="E241" s="167"/>
      <c r="F241" s="121"/>
      <c r="G241" s="121"/>
      <c r="H241" s="121"/>
      <c r="I241" s="123" t="e">
        <f>IF(#REF!=#REF!,"1","")</f>
        <v>#REF!</v>
      </c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spans="1:26" ht="14.25" customHeight="1" x14ac:dyDescent="0.35">
      <c r="A242" s="48" t="s">
        <v>1808</v>
      </c>
      <c r="B242" s="71">
        <v>34497</v>
      </c>
      <c r="C242" s="71" t="s">
        <v>1809</v>
      </c>
      <c r="D242" s="71">
        <v>83120</v>
      </c>
      <c r="E242" s="71" t="s">
        <v>1810</v>
      </c>
      <c r="F242" s="121"/>
      <c r="G242" s="121"/>
      <c r="H242" s="121"/>
      <c r="I242" s="123" t="str">
        <f t="shared" ref="I242:I245" si="1">IF(B242=D242,"1","")</f>
        <v/>
      </c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spans="1:26" ht="14.25" customHeight="1" x14ac:dyDescent="0.35">
      <c r="A243" s="48" t="s">
        <v>1811</v>
      </c>
      <c r="B243" s="71">
        <v>63765</v>
      </c>
      <c r="C243" s="71" t="s">
        <v>1812</v>
      </c>
      <c r="D243" s="71">
        <v>86144</v>
      </c>
      <c r="E243" s="71" t="s">
        <v>1813</v>
      </c>
      <c r="F243" s="121"/>
      <c r="G243" s="121"/>
      <c r="H243" s="121"/>
      <c r="I243" s="123" t="str">
        <f t="shared" si="1"/>
        <v/>
      </c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spans="1:26" ht="14.25" customHeight="1" x14ac:dyDescent="0.35">
      <c r="A244" s="48" t="s">
        <v>1814</v>
      </c>
      <c r="B244" s="71">
        <v>64282</v>
      </c>
      <c r="C244" s="71" t="s">
        <v>1815</v>
      </c>
      <c r="D244" s="71">
        <v>86222</v>
      </c>
      <c r="E244" s="71" t="s">
        <v>1816</v>
      </c>
      <c r="F244" s="121"/>
      <c r="G244" s="121"/>
      <c r="H244" s="121"/>
      <c r="I244" s="123" t="str">
        <f t="shared" si="1"/>
        <v/>
      </c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spans="1:26" ht="14.25" customHeight="1" x14ac:dyDescent="0.35">
      <c r="A245" s="48" t="s">
        <v>1817</v>
      </c>
      <c r="B245" s="71">
        <v>34666</v>
      </c>
      <c r="C245" s="71" t="s">
        <v>1818</v>
      </c>
      <c r="D245" s="71">
        <v>83124</v>
      </c>
      <c r="E245" s="71" t="s">
        <v>1819</v>
      </c>
      <c r="F245" s="121"/>
      <c r="G245" s="121"/>
      <c r="H245" s="121"/>
      <c r="I245" s="123" t="str">
        <f t="shared" si="1"/>
        <v/>
      </c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spans="1:26" ht="14.25" customHeight="1" x14ac:dyDescent="0.35">
      <c r="A246" s="48" t="s">
        <v>1820</v>
      </c>
      <c r="B246" s="71">
        <v>77526</v>
      </c>
      <c r="C246" s="71" t="s">
        <v>1821</v>
      </c>
      <c r="D246" s="71">
        <v>89059</v>
      </c>
      <c r="E246" s="71" t="s">
        <v>1377</v>
      </c>
      <c r="F246" s="121"/>
      <c r="G246" s="121"/>
      <c r="H246" s="121"/>
      <c r="I246" s="123" t="e">
        <f>IF(B246=#REF!,"1","")</f>
        <v>#REF!</v>
      </c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spans="1:26" ht="14.25" customHeight="1" x14ac:dyDescent="0.35">
      <c r="A247" s="48" t="s">
        <v>1822</v>
      </c>
      <c r="B247" s="71">
        <v>50606</v>
      </c>
      <c r="C247" s="71" t="s">
        <v>1823</v>
      </c>
      <c r="D247" s="71">
        <v>84607</v>
      </c>
      <c r="E247" s="71" t="s">
        <v>1824</v>
      </c>
      <c r="F247" s="121"/>
      <c r="G247" s="121"/>
      <c r="H247" s="121"/>
      <c r="I247" s="123" t="str">
        <f t="shared" ref="I247:I249" si="2">IF(B247=D246,"1","")</f>
        <v/>
      </c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spans="1:26" ht="14.25" customHeight="1" x14ac:dyDescent="0.35">
      <c r="A248" s="48" t="s">
        <v>1825</v>
      </c>
      <c r="B248" s="71">
        <v>16126</v>
      </c>
      <c r="C248" s="71" t="s">
        <v>1826</v>
      </c>
      <c r="D248" s="71">
        <v>80191</v>
      </c>
      <c r="E248" s="71" t="s">
        <v>1827</v>
      </c>
      <c r="F248" s="121"/>
      <c r="G248" s="121"/>
      <c r="H248" s="121"/>
      <c r="I248" s="123" t="str">
        <f t="shared" si="2"/>
        <v/>
      </c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spans="1:26" ht="14.25" customHeight="1" x14ac:dyDescent="0.35">
      <c r="A249" s="48" t="s">
        <v>1828</v>
      </c>
      <c r="B249" s="71">
        <v>75415</v>
      </c>
      <c r="C249" s="71" t="s">
        <v>1829</v>
      </c>
      <c r="D249" s="71">
        <v>87812</v>
      </c>
      <c r="E249" s="71" t="s">
        <v>1830</v>
      </c>
      <c r="F249" s="121"/>
      <c r="G249" s="121"/>
      <c r="H249" s="121"/>
      <c r="I249" s="123" t="str">
        <f t="shared" si="2"/>
        <v/>
      </c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spans="1:26" ht="14.25" customHeight="1" x14ac:dyDescent="0.35">
      <c r="A250" s="48" t="s">
        <v>1831</v>
      </c>
      <c r="B250" s="71">
        <v>76273</v>
      </c>
      <c r="C250" s="71" t="s">
        <v>1832</v>
      </c>
      <c r="D250" s="71">
        <v>88401</v>
      </c>
      <c r="E250" s="71" t="s">
        <v>1377</v>
      </c>
      <c r="F250" s="121"/>
      <c r="G250" s="121"/>
      <c r="H250" s="121"/>
      <c r="I250" s="123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spans="1:26" ht="14.25" customHeight="1" x14ac:dyDescent="0.35">
      <c r="A251" s="48" t="s">
        <v>1833</v>
      </c>
      <c r="B251" s="71">
        <v>20204</v>
      </c>
      <c r="C251" s="71" t="s">
        <v>1834</v>
      </c>
      <c r="D251" s="71">
        <v>80774</v>
      </c>
      <c r="E251" s="71" t="s">
        <v>1835</v>
      </c>
      <c r="F251" s="121"/>
      <c r="G251" s="121"/>
      <c r="H251" s="121"/>
      <c r="I251" s="123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spans="1:26" ht="14.25" customHeight="1" x14ac:dyDescent="0.35">
      <c r="A252" s="48" t="s">
        <v>1836</v>
      </c>
      <c r="B252" s="71">
        <v>55984</v>
      </c>
      <c r="C252" s="71" t="s">
        <v>1837</v>
      </c>
      <c r="D252" s="71">
        <v>85348</v>
      </c>
      <c r="E252" s="71" t="s">
        <v>1838</v>
      </c>
      <c r="F252" s="121"/>
      <c r="G252" s="121"/>
      <c r="H252" s="121"/>
      <c r="I252" s="123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spans="1:26" ht="14.25" customHeight="1" x14ac:dyDescent="0.35">
      <c r="A253" s="48" t="s">
        <v>1839</v>
      </c>
      <c r="B253" s="71">
        <v>74908</v>
      </c>
      <c r="C253" s="71" t="s">
        <v>1840</v>
      </c>
      <c r="D253" s="71">
        <v>87179</v>
      </c>
      <c r="E253" s="71" t="s">
        <v>1841</v>
      </c>
      <c r="F253" s="121"/>
      <c r="G253" s="121"/>
      <c r="H253" s="121"/>
      <c r="I253" s="123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spans="1:26" ht="14.25" customHeight="1" x14ac:dyDescent="0.35">
      <c r="A254" s="48" t="s">
        <v>1842</v>
      </c>
      <c r="B254" s="71">
        <v>57913</v>
      </c>
      <c r="C254" s="71" t="s">
        <v>1843</v>
      </c>
      <c r="D254" s="71">
        <v>85472</v>
      </c>
      <c r="E254" s="71" t="s">
        <v>1844</v>
      </c>
      <c r="F254" s="121"/>
      <c r="G254" s="121"/>
      <c r="H254" s="121"/>
      <c r="I254" s="123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spans="1:26" ht="14.25" customHeight="1" x14ac:dyDescent="0.35">
      <c r="A255" s="48" t="s">
        <v>1845</v>
      </c>
      <c r="B255" s="71">
        <v>61188</v>
      </c>
      <c r="C255" s="71" t="s">
        <v>1846</v>
      </c>
      <c r="D255" s="71">
        <v>85886</v>
      </c>
      <c r="E255" s="71" t="s">
        <v>1847</v>
      </c>
      <c r="F255" s="121"/>
      <c r="G255" s="121"/>
      <c r="H255" s="121"/>
      <c r="I255" s="123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spans="1:26" ht="14.25" customHeight="1" x14ac:dyDescent="0.35">
      <c r="A256" s="48" t="s">
        <v>1848</v>
      </c>
      <c r="B256" s="71">
        <v>28564</v>
      </c>
      <c r="C256" s="71" t="s">
        <v>1849</v>
      </c>
      <c r="D256" s="71">
        <v>82511</v>
      </c>
      <c r="E256" s="71" t="s">
        <v>1850</v>
      </c>
      <c r="F256" s="121"/>
      <c r="G256" s="121"/>
      <c r="H256" s="121"/>
      <c r="I256" s="123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spans="1:26" ht="14.25" customHeight="1" x14ac:dyDescent="0.35">
      <c r="A257" s="48" t="s">
        <v>1851</v>
      </c>
      <c r="B257" s="71">
        <v>50286</v>
      </c>
      <c r="C257" s="71" t="s">
        <v>1852</v>
      </c>
      <c r="D257" s="71">
        <v>84603</v>
      </c>
      <c r="E257" s="71" t="s">
        <v>1853</v>
      </c>
      <c r="F257" s="121"/>
      <c r="G257" s="121"/>
      <c r="H257" s="121"/>
      <c r="I257" s="123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spans="1:26" ht="14.25" customHeight="1" x14ac:dyDescent="0.35">
      <c r="A258" s="48" t="s">
        <v>1854</v>
      </c>
      <c r="B258" s="71">
        <v>49488</v>
      </c>
      <c r="C258" s="71" t="s">
        <v>1855</v>
      </c>
      <c r="D258" s="71">
        <v>84516</v>
      </c>
      <c r="E258" s="71" t="s">
        <v>1856</v>
      </c>
      <c r="F258" s="121"/>
      <c r="G258" s="121"/>
      <c r="H258" s="121"/>
      <c r="I258" s="123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spans="1:26" ht="14.25" customHeight="1" x14ac:dyDescent="0.35">
      <c r="A259" s="48" t="s">
        <v>1857</v>
      </c>
      <c r="B259" s="71">
        <v>11654</v>
      </c>
      <c r="C259" s="71" t="s">
        <v>1858</v>
      </c>
      <c r="D259" s="71">
        <v>79507</v>
      </c>
      <c r="E259" s="71" t="s">
        <v>1859</v>
      </c>
      <c r="F259" s="121"/>
      <c r="G259" s="121"/>
      <c r="H259" s="121"/>
      <c r="I259" s="123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spans="1:26" ht="14.25" customHeight="1" x14ac:dyDescent="0.35">
      <c r="A260" s="128" t="s">
        <v>1860</v>
      </c>
      <c r="B260" s="104">
        <v>75075</v>
      </c>
      <c r="C260" s="104" t="s">
        <v>1861</v>
      </c>
      <c r="D260" s="104">
        <v>87321</v>
      </c>
      <c r="E260" s="104" t="s">
        <v>1862</v>
      </c>
      <c r="F260" s="121"/>
      <c r="G260" s="121"/>
      <c r="H260" s="121"/>
      <c r="I260" s="123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spans="1:26" ht="14.25" customHeight="1" x14ac:dyDescent="0.35">
      <c r="A261" s="48"/>
      <c r="B261" s="48"/>
      <c r="C261" s="121"/>
      <c r="D261" s="48"/>
      <c r="E261" s="121"/>
      <c r="F261" s="121"/>
      <c r="G261" s="121"/>
      <c r="H261" s="121"/>
      <c r="I261" s="123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spans="1:26" ht="14.25" customHeight="1" x14ac:dyDescent="0.35">
      <c r="A262" s="48"/>
      <c r="B262" s="48"/>
      <c r="C262" s="121"/>
      <c r="D262" s="48"/>
      <c r="E262" s="121"/>
      <c r="F262" s="121"/>
      <c r="G262" s="121"/>
      <c r="H262" s="121"/>
      <c r="I262" s="123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spans="1:26" ht="14.25" customHeight="1" x14ac:dyDescent="0.35">
      <c r="A263" s="48"/>
      <c r="B263" s="48"/>
      <c r="C263" s="121"/>
      <c r="D263" s="48"/>
      <c r="E263" s="121"/>
      <c r="F263" s="121"/>
      <c r="G263" s="121"/>
      <c r="H263" s="121"/>
      <c r="I263" s="123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spans="1:26" ht="14.25" customHeight="1" x14ac:dyDescent="0.35">
      <c r="A264" s="48"/>
      <c r="B264" s="48"/>
      <c r="C264" s="121"/>
      <c r="D264" s="48"/>
      <c r="E264" s="121"/>
      <c r="F264" s="121"/>
      <c r="G264" s="121"/>
      <c r="H264" s="121"/>
      <c r="I264" s="123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spans="1:26" ht="14.25" customHeight="1" x14ac:dyDescent="0.35">
      <c r="A265" s="48"/>
      <c r="B265" s="48"/>
      <c r="C265" s="121"/>
      <c r="D265" s="48"/>
      <c r="E265" s="121"/>
      <c r="F265" s="121"/>
      <c r="G265" s="121"/>
      <c r="H265" s="121"/>
      <c r="I265" s="123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spans="1:26" ht="14.25" customHeight="1" x14ac:dyDescent="0.35">
      <c r="A266" s="48"/>
      <c r="B266" s="48"/>
      <c r="C266" s="121"/>
      <c r="D266" s="48"/>
      <c r="E266" s="121"/>
      <c r="F266" s="121"/>
      <c r="G266" s="121"/>
      <c r="H266" s="121"/>
      <c r="I266" s="123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spans="1:26" ht="14.25" customHeight="1" x14ac:dyDescent="0.35">
      <c r="A267" s="48"/>
      <c r="B267" s="48"/>
      <c r="C267" s="121"/>
      <c r="D267" s="48"/>
      <c r="E267" s="121"/>
      <c r="F267" s="121"/>
      <c r="G267" s="121"/>
      <c r="H267" s="121"/>
      <c r="I267" s="123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spans="1:26" ht="14.25" customHeight="1" x14ac:dyDescent="0.35">
      <c r="A268" s="48"/>
      <c r="B268" s="48"/>
      <c r="C268" s="121"/>
      <c r="D268" s="48"/>
      <c r="E268" s="121"/>
      <c r="F268" s="121"/>
      <c r="G268" s="121"/>
      <c r="H268" s="121"/>
      <c r="I268" s="123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spans="1:26" ht="14.25" customHeight="1" x14ac:dyDescent="0.35">
      <c r="A269" s="48"/>
      <c r="B269" s="48"/>
      <c r="C269" s="121"/>
      <c r="D269" s="48"/>
      <c r="E269" s="121"/>
      <c r="F269" s="121"/>
      <c r="G269" s="121"/>
      <c r="H269" s="121"/>
      <c r="I269" s="123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spans="1:26" ht="14.25" customHeight="1" x14ac:dyDescent="0.35">
      <c r="A270" s="48"/>
      <c r="B270" s="48"/>
      <c r="C270" s="121"/>
      <c r="D270" s="48"/>
      <c r="E270" s="121"/>
      <c r="F270" s="121"/>
      <c r="G270" s="121"/>
      <c r="H270" s="121"/>
      <c r="I270" s="123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spans="1:26" ht="14.25" customHeight="1" x14ac:dyDescent="0.35">
      <c r="A271" s="48"/>
      <c r="B271" s="48"/>
      <c r="C271" s="121"/>
      <c r="D271" s="48"/>
      <c r="E271" s="121"/>
      <c r="F271" s="121"/>
      <c r="G271" s="121"/>
      <c r="H271" s="121"/>
      <c r="I271" s="123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spans="1:26" ht="14.25" customHeight="1" x14ac:dyDescent="0.35">
      <c r="A272" s="48"/>
      <c r="B272" s="48"/>
      <c r="C272" s="121"/>
      <c r="D272" s="48"/>
      <c r="E272" s="121"/>
      <c r="F272" s="121"/>
      <c r="G272" s="121"/>
      <c r="H272" s="121"/>
      <c r="I272" s="123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spans="1:26" ht="14.25" customHeight="1" x14ac:dyDescent="0.35">
      <c r="A273" s="48"/>
      <c r="B273" s="48"/>
      <c r="C273" s="121"/>
      <c r="D273" s="48"/>
      <c r="E273" s="121"/>
      <c r="F273" s="121"/>
      <c r="G273" s="121"/>
      <c r="H273" s="121"/>
      <c r="I273" s="123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spans="1:26" ht="14.25" customHeight="1" x14ac:dyDescent="0.35">
      <c r="A274" s="48"/>
      <c r="B274" s="48"/>
      <c r="C274" s="121"/>
      <c r="D274" s="48"/>
      <c r="E274" s="121"/>
      <c r="F274" s="121"/>
      <c r="G274" s="121"/>
      <c r="H274" s="121"/>
      <c r="I274" s="123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spans="1:26" ht="14.25" customHeight="1" x14ac:dyDescent="0.35">
      <c r="A275" s="48"/>
      <c r="B275" s="48"/>
      <c r="C275" s="121"/>
      <c r="D275" s="48"/>
      <c r="E275" s="121"/>
      <c r="F275" s="121"/>
      <c r="G275" s="121"/>
      <c r="H275" s="121"/>
      <c r="I275" s="123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spans="1:26" ht="14.25" customHeight="1" x14ac:dyDescent="0.35">
      <c r="A276" s="48"/>
      <c r="B276" s="48"/>
      <c r="C276" s="121"/>
      <c r="D276" s="48"/>
      <c r="E276" s="121"/>
      <c r="F276" s="121"/>
      <c r="G276" s="121"/>
      <c r="H276" s="121"/>
      <c r="I276" s="123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spans="1:26" ht="14.25" customHeight="1" x14ac:dyDescent="0.35">
      <c r="A277" s="48"/>
      <c r="B277" s="48"/>
      <c r="C277" s="121"/>
      <c r="D277" s="48"/>
      <c r="E277" s="121"/>
      <c r="F277" s="121"/>
      <c r="G277" s="121"/>
      <c r="H277" s="121"/>
      <c r="I277" s="123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spans="1:26" ht="14.25" customHeight="1" x14ac:dyDescent="0.35">
      <c r="A278" s="48"/>
      <c r="B278" s="48"/>
      <c r="C278" s="121"/>
      <c r="D278" s="48"/>
      <c r="E278" s="121"/>
      <c r="F278" s="121"/>
      <c r="G278" s="121"/>
      <c r="H278" s="121"/>
      <c r="I278" s="123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spans="1:26" ht="14.25" customHeight="1" x14ac:dyDescent="0.35">
      <c r="A279" s="48"/>
      <c r="B279" s="48"/>
      <c r="C279" s="121"/>
      <c r="D279" s="48"/>
      <c r="E279" s="121"/>
      <c r="F279" s="121"/>
      <c r="G279" s="121"/>
      <c r="H279" s="121"/>
      <c r="I279" s="123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spans="1:26" ht="14.25" customHeight="1" x14ac:dyDescent="0.35">
      <c r="A280" s="48"/>
      <c r="B280" s="48"/>
      <c r="C280" s="121"/>
      <c r="D280" s="48"/>
      <c r="E280" s="121"/>
      <c r="F280" s="121"/>
      <c r="G280" s="121"/>
      <c r="H280" s="121"/>
      <c r="I280" s="123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spans="1:26" ht="14.25" customHeight="1" x14ac:dyDescent="0.35">
      <c r="A281" s="48"/>
      <c r="B281" s="48"/>
      <c r="C281" s="121"/>
      <c r="D281" s="48"/>
      <c r="E281" s="121"/>
      <c r="F281" s="121"/>
      <c r="G281" s="121"/>
      <c r="H281" s="121"/>
      <c r="I281" s="123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spans="1:26" ht="14.25" customHeight="1" x14ac:dyDescent="0.35">
      <c r="A282" s="48"/>
      <c r="B282" s="48"/>
      <c r="C282" s="121"/>
      <c r="D282" s="48"/>
      <c r="E282" s="121"/>
      <c r="F282" s="121"/>
      <c r="G282" s="121"/>
      <c r="H282" s="121"/>
      <c r="I282" s="123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spans="1:26" ht="14.25" customHeight="1" x14ac:dyDescent="0.35">
      <c r="A283" s="48"/>
      <c r="B283" s="48"/>
      <c r="C283" s="121"/>
      <c r="D283" s="48"/>
      <c r="E283" s="121"/>
      <c r="F283" s="121"/>
      <c r="G283" s="121"/>
      <c r="H283" s="121"/>
      <c r="I283" s="123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spans="1:26" ht="14.25" customHeight="1" x14ac:dyDescent="0.35">
      <c r="A284" s="48"/>
      <c r="B284" s="48"/>
      <c r="C284" s="121"/>
      <c r="D284" s="48"/>
      <c r="E284" s="121"/>
      <c r="F284" s="121"/>
      <c r="G284" s="121"/>
      <c r="H284" s="121"/>
      <c r="I284" s="123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spans="1:26" ht="14.25" customHeight="1" x14ac:dyDescent="0.35">
      <c r="A285" s="48"/>
      <c r="B285" s="48"/>
      <c r="C285" s="121"/>
      <c r="D285" s="48"/>
      <c r="E285" s="121"/>
      <c r="F285" s="121"/>
      <c r="G285" s="121"/>
      <c r="H285" s="121"/>
      <c r="I285" s="123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spans="1:26" ht="14.25" customHeight="1" x14ac:dyDescent="0.35">
      <c r="A286" s="48"/>
      <c r="B286" s="48"/>
      <c r="C286" s="121"/>
      <c r="D286" s="48"/>
      <c r="E286" s="121"/>
      <c r="F286" s="121"/>
      <c r="G286" s="121"/>
      <c r="H286" s="121"/>
      <c r="I286" s="123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spans="1:26" ht="14.25" customHeight="1" x14ac:dyDescent="0.35">
      <c r="A287" s="48"/>
      <c r="B287" s="48"/>
      <c r="C287" s="121"/>
      <c r="D287" s="48"/>
      <c r="E287" s="121"/>
      <c r="F287" s="121"/>
      <c r="G287" s="121"/>
      <c r="H287" s="121"/>
      <c r="I287" s="123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spans="1:26" ht="14.25" customHeight="1" x14ac:dyDescent="0.35">
      <c r="A288" s="48"/>
      <c r="B288" s="48"/>
      <c r="C288" s="121"/>
      <c r="D288" s="48"/>
      <c r="E288" s="121"/>
      <c r="F288" s="121"/>
      <c r="G288" s="121"/>
      <c r="H288" s="121"/>
      <c r="I288" s="123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spans="1:26" ht="14.25" customHeight="1" x14ac:dyDescent="0.35">
      <c r="A289" s="48"/>
      <c r="B289" s="48"/>
      <c r="C289" s="121"/>
      <c r="D289" s="48"/>
      <c r="E289" s="121"/>
      <c r="F289" s="121"/>
      <c r="G289" s="121"/>
      <c r="H289" s="121"/>
      <c r="I289" s="123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spans="1:26" ht="14.25" customHeight="1" x14ac:dyDescent="0.35">
      <c r="A290" s="48"/>
      <c r="B290" s="48"/>
      <c r="C290" s="121"/>
      <c r="D290" s="48"/>
      <c r="E290" s="121"/>
      <c r="F290" s="121"/>
      <c r="G290" s="121"/>
      <c r="H290" s="121"/>
      <c r="I290" s="123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spans="1:26" ht="14.25" customHeight="1" x14ac:dyDescent="0.35">
      <c r="A291" s="48"/>
      <c r="B291" s="48"/>
      <c r="C291" s="121"/>
      <c r="D291" s="48"/>
      <c r="E291" s="121"/>
      <c r="F291" s="121"/>
      <c r="G291" s="121"/>
      <c r="H291" s="121"/>
      <c r="I291" s="123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spans="1:26" ht="14.25" customHeight="1" x14ac:dyDescent="0.35">
      <c r="A292" s="48"/>
      <c r="B292" s="48"/>
      <c r="C292" s="121"/>
      <c r="D292" s="48"/>
      <c r="E292" s="121"/>
      <c r="F292" s="121"/>
      <c r="G292" s="121"/>
      <c r="H292" s="121"/>
      <c r="I292" s="123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spans="1:26" ht="14.25" customHeight="1" x14ac:dyDescent="0.35">
      <c r="A293" s="48"/>
      <c r="B293" s="48"/>
      <c r="C293" s="121"/>
      <c r="D293" s="48"/>
      <c r="E293" s="121"/>
      <c r="F293" s="121"/>
      <c r="G293" s="121"/>
      <c r="H293" s="121"/>
      <c r="I293" s="123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spans="1:26" ht="14.25" customHeight="1" x14ac:dyDescent="0.35">
      <c r="A294" s="48"/>
      <c r="B294" s="48"/>
      <c r="C294" s="121"/>
      <c r="D294" s="48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spans="1:26" ht="14.25" customHeight="1" x14ac:dyDescent="0.35">
      <c r="A295" s="48"/>
      <c r="B295" s="48"/>
      <c r="C295" s="121"/>
      <c r="D295" s="48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spans="1:26" ht="14.25" customHeight="1" x14ac:dyDescent="0.35">
      <c r="A296" s="48"/>
      <c r="B296" s="48"/>
      <c r="C296" s="121"/>
      <c r="D296" s="48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spans="1:26" ht="14.25" customHeight="1" x14ac:dyDescent="0.35">
      <c r="A297" s="48"/>
      <c r="B297" s="48"/>
      <c r="C297" s="121"/>
      <c r="D297" s="48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spans="1:26" ht="14.25" customHeight="1" x14ac:dyDescent="0.35">
      <c r="A298" s="48"/>
      <c r="B298" s="48"/>
      <c r="C298" s="121"/>
      <c r="D298" s="48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1:26" ht="14.25" customHeight="1" x14ac:dyDescent="0.35">
      <c r="A299" s="48"/>
      <c r="B299" s="48"/>
      <c r="C299" s="121"/>
      <c r="D299" s="48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1:26" ht="14.25" customHeight="1" x14ac:dyDescent="0.35">
      <c r="A300" s="48"/>
      <c r="B300" s="48"/>
      <c r="C300" s="121"/>
      <c r="D300" s="48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1:26" ht="14.25" customHeight="1" x14ac:dyDescent="0.35">
      <c r="A301" s="48"/>
      <c r="B301" s="48"/>
      <c r="C301" s="121"/>
      <c r="D301" s="48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1:26" ht="14.25" customHeight="1" x14ac:dyDescent="0.35">
      <c r="A302" s="48"/>
      <c r="B302" s="48"/>
      <c r="C302" s="121"/>
      <c r="D302" s="48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1:26" ht="14.25" customHeight="1" x14ac:dyDescent="0.35">
      <c r="A303" s="48"/>
      <c r="B303" s="48"/>
      <c r="C303" s="121"/>
      <c r="D303" s="48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spans="1:26" ht="14.25" customHeight="1" x14ac:dyDescent="0.35">
      <c r="A304" s="48"/>
      <c r="B304" s="48"/>
      <c r="C304" s="121"/>
      <c r="D304" s="48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1:26" ht="14.25" customHeight="1" x14ac:dyDescent="0.35">
      <c r="A305" s="48"/>
      <c r="B305" s="48"/>
      <c r="C305" s="121"/>
      <c r="D305" s="48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1:26" ht="14.25" customHeight="1" x14ac:dyDescent="0.35">
      <c r="A306" s="48"/>
      <c r="B306" s="48"/>
      <c r="C306" s="121"/>
      <c r="D306" s="48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1:26" ht="14.25" customHeight="1" x14ac:dyDescent="0.35">
      <c r="A307" s="48"/>
      <c r="B307" s="48"/>
      <c r="C307" s="121"/>
      <c r="D307" s="48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1:26" ht="14.25" customHeight="1" x14ac:dyDescent="0.35">
      <c r="A308" s="48"/>
      <c r="B308" s="48"/>
      <c r="C308" s="121"/>
      <c r="D308" s="48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1:26" ht="14.25" customHeight="1" x14ac:dyDescent="0.35">
      <c r="A309" s="48"/>
      <c r="B309" s="48"/>
      <c r="C309" s="121"/>
      <c r="D309" s="48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1:26" ht="14.25" customHeight="1" x14ac:dyDescent="0.35">
      <c r="A310" s="48"/>
      <c r="B310" s="48"/>
      <c r="C310" s="121"/>
      <c r="D310" s="48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1:26" ht="14.25" customHeight="1" x14ac:dyDescent="0.35">
      <c r="A311" s="48"/>
      <c r="B311" s="48"/>
      <c r="C311" s="121"/>
      <c r="D311" s="48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1:26" ht="14.25" customHeight="1" x14ac:dyDescent="0.35">
      <c r="A312" s="48"/>
      <c r="B312" s="48"/>
      <c r="C312" s="121"/>
      <c r="D312" s="48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1:26" ht="14.25" customHeight="1" x14ac:dyDescent="0.35">
      <c r="A313" s="48"/>
      <c r="B313" s="48"/>
      <c r="C313" s="121"/>
      <c r="D313" s="48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spans="1:26" ht="14.25" customHeight="1" x14ac:dyDescent="0.35">
      <c r="A314" s="48"/>
      <c r="B314" s="48"/>
      <c r="C314" s="121"/>
      <c r="D314" s="48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1:26" ht="14.25" customHeight="1" x14ac:dyDescent="0.35">
      <c r="A315" s="48"/>
      <c r="B315" s="48"/>
      <c r="C315" s="121"/>
      <c r="D315" s="48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1:26" ht="14.25" customHeight="1" x14ac:dyDescent="0.35">
      <c r="A316" s="48"/>
      <c r="B316" s="48"/>
      <c r="C316" s="121"/>
      <c r="D316" s="48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1:26" ht="14.25" customHeight="1" x14ac:dyDescent="0.35">
      <c r="A317" s="48"/>
      <c r="B317" s="48"/>
      <c r="C317" s="121"/>
      <c r="D317" s="48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1:26" ht="14.25" customHeight="1" x14ac:dyDescent="0.35">
      <c r="A318" s="48"/>
      <c r="B318" s="48"/>
      <c r="C318" s="121"/>
      <c r="D318" s="48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spans="1:26" ht="14.25" customHeight="1" x14ac:dyDescent="0.35">
      <c r="A319" s="48"/>
      <c r="B319" s="48"/>
      <c r="C319" s="121"/>
      <c r="D319" s="48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1:26" ht="14.25" customHeight="1" x14ac:dyDescent="0.35">
      <c r="A320" s="48"/>
      <c r="B320" s="48"/>
      <c r="C320" s="121"/>
      <c r="D320" s="48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1:26" ht="14.25" customHeight="1" x14ac:dyDescent="0.35">
      <c r="A321" s="48"/>
      <c r="B321" s="48"/>
      <c r="C321" s="121"/>
      <c r="D321" s="48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1:26" ht="14.25" customHeight="1" x14ac:dyDescent="0.35">
      <c r="A322" s="48"/>
      <c r="B322" s="48"/>
      <c r="C322" s="121"/>
      <c r="D322" s="48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1:26" ht="14.25" customHeight="1" x14ac:dyDescent="0.35">
      <c r="A323" s="48"/>
      <c r="B323" s="48"/>
      <c r="C323" s="121"/>
      <c r="D323" s="48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spans="1:26" ht="14.25" customHeight="1" x14ac:dyDescent="0.35">
      <c r="A324" s="48"/>
      <c r="B324" s="48"/>
      <c r="C324" s="121"/>
      <c r="D324" s="48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spans="1:26" ht="14.25" customHeight="1" x14ac:dyDescent="0.35">
      <c r="A325" s="48"/>
      <c r="B325" s="48"/>
      <c r="C325" s="121"/>
      <c r="D325" s="48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spans="1:26" ht="14.25" customHeight="1" x14ac:dyDescent="0.35">
      <c r="A326" s="48"/>
      <c r="B326" s="48"/>
      <c r="C326" s="121"/>
      <c r="D326" s="48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spans="1:26" ht="14.25" customHeight="1" x14ac:dyDescent="0.35">
      <c r="A327" s="48"/>
      <c r="B327" s="48"/>
      <c r="C327" s="121"/>
      <c r="D327" s="48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spans="1:26" ht="14.25" customHeight="1" x14ac:dyDescent="0.35">
      <c r="A328" s="48"/>
      <c r="B328" s="48"/>
      <c r="C328" s="121"/>
      <c r="D328" s="48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spans="1:26" ht="14.25" customHeight="1" x14ac:dyDescent="0.35">
      <c r="A329" s="48"/>
      <c r="B329" s="48"/>
      <c r="C329" s="121"/>
      <c r="D329" s="48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spans="1:26" ht="14.25" customHeight="1" x14ac:dyDescent="0.35">
      <c r="A330" s="48"/>
      <c r="B330" s="48"/>
      <c r="C330" s="121"/>
      <c r="D330" s="48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spans="1:26" ht="14.25" customHeight="1" x14ac:dyDescent="0.35">
      <c r="A331" s="48"/>
      <c r="B331" s="48"/>
      <c r="C331" s="121"/>
      <c r="D331" s="48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spans="1:26" ht="14.25" customHeight="1" x14ac:dyDescent="0.35">
      <c r="A332" s="48"/>
      <c r="B332" s="48"/>
      <c r="C332" s="121"/>
      <c r="D332" s="48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spans="1:26" ht="14.25" customHeight="1" x14ac:dyDescent="0.35">
      <c r="A333" s="48"/>
      <c r="B333" s="48"/>
      <c r="C333" s="121"/>
      <c r="D333" s="48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spans="1:26" ht="14.25" customHeight="1" x14ac:dyDescent="0.35">
      <c r="A334" s="48"/>
      <c r="B334" s="48"/>
      <c r="C334" s="121"/>
      <c r="D334" s="48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spans="1:26" ht="14.25" customHeight="1" x14ac:dyDescent="0.35">
      <c r="A335" s="48"/>
      <c r="B335" s="48"/>
      <c r="C335" s="121"/>
      <c r="D335" s="48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spans="1:26" ht="14.25" customHeight="1" x14ac:dyDescent="0.35">
      <c r="A336" s="48"/>
      <c r="B336" s="48"/>
      <c r="C336" s="121"/>
      <c r="D336" s="48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spans="1:26" ht="14.25" customHeight="1" x14ac:dyDescent="0.35">
      <c r="A337" s="48"/>
      <c r="B337" s="48"/>
      <c r="C337" s="121"/>
      <c r="D337" s="48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spans="1:26" ht="14.25" customHeight="1" x14ac:dyDescent="0.35">
      <c r="A338" s="48"/>
      <c r="B338" s="48"/>
      <c r="C338" s="121"/>
      <c r="D338" s="48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spans="1:26" ht="14.25" customHeight="1" x14ac:dyDescent="0.35">
      <c r="A339" s="48"/>
      <c r="B339" s="48"/>
      <c r="C339" s="121"/>
      <c r="D339" s="48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spans="1:26" ht="14.25" customHeight="1" x14ac:dyDescent="0.35">
      <c r="A340" s="48"/>
      <c r="B340" s="48"/>
      <c r="C340" s="121"/>
      <c r="D340" s="48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spans="1:26" ht="14.25" customHeight="1" x14ac:dyDescent="0.35">
      <c r="A341" s="48"/>
      <c r="B341" s="48"/>
      <c r="C341" s="121"/>
      <c r="D341" s="48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spans="1:26" ht="14.25" customHeight="1" x14ac:dyDescent="0.35">
      <c r="A342" s="48"/>
      <c r="B342" s="48"/>
      <c r="C342" s="121"/>
      <c r="D342" s="48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spans="1:26" ht="14.25" customHeight="1" x14ac:dyDescent="0.35">
      <c r="A343" s="48"/>
      <c r="B343" s="48"/>
      <c r="C343" s="121"/>
      <c r="D343" s="48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spans="1:26" ht="14.25" customHeight="1" x14ac:dyDescent="0.35">
      <c r="A344" s="48"/>
      <c r="B344" s="48"/>
      <c r="C344" s="121"/>
      <c r="D344" s="48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spans="1:26" ht="14.25" customHeight="1" x14ac:dyDescent="0.35">
      <c r="A345" s="48"/>
      <c r="B345" s="48"/>
      <c r="C345" s="121"/>
      <c r="D345" s="48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spans="1:26" ht="14.25" customHeight="1" x14ac:dyDescent="0.35">
      <c r="A346" s="48"/>
      <c r="B346" s="48"/>
      <c r="C346" s="121"/>
      <c r="D346" s="48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spans="1:26" ht="14.25" customHeight="1" x14ac:dyDescent="0.35">
      <c r="A347" s="48"/>
      <c r="B347" s="48"/>
      <c r="C347" s="121"/>
      <c r="D347" s="48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spans="1:26" ht="14.25" customHeight="1" x14ac:dyDescent="0.35">
      <c r="A348" s="48"/>
      <c r="B348" s="48"/>
      <c r="C348" s="121"/>
      <c r="D348" s="48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spans="1:26" ht="14.25" customHeight="1" x14ac:dyDescent="0.35">
      <c r="A349" s="48"/>
      <c r="B349" s="48"/>
      <c r="C349" s="121"/>
      <c r="D349" s="48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spans="1:26" ht="14.25" customHeight="1" x14ac:dyDescent="0.35">
      <c r="A350" s="48"/>
      <c r="B350" s="48"/>
      <c r="C350" s="121"/>
      <c r="D350" s="48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spans="1:26" ht="14.25" customHeight="1" x14ac:dyDescent="0.35">
      <c r="A351" s="48"/>
      <c r="B351" s="48"/>
      <c r="C351" s="121"/>
      <c r="D351" s="48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spans="1:26" ht="14.25" customHeight="1" x14ac:dyDescent="0.35">
      <c r="A352" s="48"/>
      <c r="B352" s="48"/>
      <c r="C352" s="121"/>
      <c r="D352" s="48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spans="1:26" ht="14.25" customHeight="1" x14ac:dyDescent="0.35">
      <c r="A353" s="48"/>
      <c r="B353" s="48"/>
      <c r="C353" s="121"/>
      <c r="D353" s="48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spans="1:26" ht="14.25" customHeight="1" x14ac:dyDescent="0.35">
      <c r="A354" s="48"/>
      <c r="B354" s="48"/>
      <c r="C354" s="121"/>
      <c r="D354" s="48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spans="1:26" ht="14.25" customHeight="1" x14ac:dyDescent="0.35">
      <c r="A355" s="48"/>
      <c r="B355" s="48"/>
      <c r="C355" s="121"/>
      <c r="D355" s="48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spans="1:26" ht="14.25" customHeight="1" x14ac:dyDescent="0.35">
      <c r="A356" s="48"/>
      <c r="B356" s="48"/>
      <c r="C356" s="121"/>
      <c r="D356" s="48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spans="1:26" ht="14.25" customHeight="1" x14ac:dyDescent="0.35">
      <c r="A357" s="48"/>
      <c r="B357" s="48"/>
      <c r="C357" s="121"/>
      <c r="D357" s="48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spans="1:26" ht="14.25" customHeight="1" x14ac:dyDescent="0.35">
      <c r="A358" s="48"/>
      <c r="B358" s="48"/>
      <c r="C358" s="121"/>
      <c r="D358" s="48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spans="1:26" ht="14.25" customHeight="1" x14ac:dyDescent="0.35">
      <c r="A359" s="48"/>
      <c r="B359" s="48"/>
      <c r="C359" s="121"/>
      <c r="D359" s="48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spans="1:26" ht="14.25" customHeight="1" x14ac:dyDescent="0.35">
      <c r="A360" s="48"/>
      <c r="B360" s="48"/>
      <c r="C360" s="121"/>
      <c r="D360" s="48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spans="1:26" ht="14.25" customHeight="1" x14ac:dyDescent="0.35">
      <c r="A361" s="48"/>
      <c r="B361" s="48"/>
      <c r="C361" s="121"/>
      <c r="D361" s="48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spans="1:26" ht="14.25" customHeight="1" x14ac:dyDescent="0.35">
      <c r="A362" s="48"/>
      <c r="B362" s="48"/>
      <c r="C362" s="121"/>
      <c r="D362" s="48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spans="1:26" ht="14.25" customHeight="1" x14ac:dyDescent="0.35">
      <c r="A363" s="48"/>
      <c r="B363" s="48"/>
      <c r="C363" s="121"/>
      <c r="D363" s="48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spans="1:26" ht="14.25" customHeight="1" x14ac:dyDescent="0.35">
      <c r="A364" s="48"/>
      <c r="B364" s="48"/>
      <c r="C364" s="121"/>
      <c r="D364" s="48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spans="1:26" ht="14.25" customHeight="1" x14ac:dyDescent="0.35">
      <c r="A365" s="48"/>
      <c r="B365" s="48"/>
      <c r="C365" s="121"/>
      <c r="D365" s="48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spans="1:26" ht="14.25" customHeight="1" x14ac:dyDescent="0.35">
      <c r="A366" s="48"/>
      <c r="B366" s="48"/>
      <c r="C366" s="121"/>
      <c r="D366" s="48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spans="1:26" ht="14.25" customHeight="1" x14ac:dyDescent="0.35">
      <c r="A367" s="48"/>
      <c r="B367" s="48"/>
      <c r="C367" s="121"/>
      <c r="D367" s="48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spans="1:26" ht="14.25" customHeight="1" x14ac:dyDescent="0.35">
      <c r="A368" s="48"/>
      <c r="B368" s="48"/>
      <c r="C368" s="121"/>
      <c r="D368" s="48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spans="1:26" ht="14.25" customHeight="1" x14ac:dyDescent="0.35">
      <c r="A369" s="48"/>
      <c r="B369" s="48"/>
      <c r="C369" s="121"/>
      <c r="D369" s="48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spans="1:26" ht="14.25" customHeight="1" x14ac:dyDescent="0.35">
      <c r="A370" s="48"/>
      <c r="B370" s="48"/>
      <c r="C370" s="121"/>
      <c r="D370" s="48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spans="1:26" ht="14.25" customHeight="1" x14ac:dyDescent="0.35">
      <c r="A371" s="48"/>
      <c r="B371" s="48"/>
      <c r="C371" s="121"/>
      <c r="D371" s="48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spans="1:26" ht="14.25" customHeight="1" x14ac:dyDescent="0.35">
      <c r="A372" s="48"/>
      <c r="B372" s="48"/>
      <c r="C372" s="121"/>
      <c r="D372" s="48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spans="1:26" ht="14.25" customHeight="1" x14ac:dyDescent="0.35">
      <c r="A373" s="48"/>
      <c r="B373" s="48"/>
      <c r="C373" s="121"/>
      <c r="D373" s="48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spans="1:26" ht="14.25" customHeight="1" x14ac:dyDescent="0.35">
      <c r="A374" s="48"/>
      <c r="B374" s="48"/>
      <c r="C374" s="121"/>
      <c r="D374" s="48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spans="1:26" ht="14.25" customHeight="1" x14ac:dyDescent="0.35">
      <c r="A375" s="48"/>
      <c r="B375" s="48"/>
      <c r="C375" s="121"/>
      <c r="D375" s="48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spans="1:26" ht="14.25" customHeight="1" x14ac:dyDescent="0.35">
      <c r="A376" s="48"/>
      <c r="B376" s="48"/>
      <c r="C376" s="121"/>
      <c r="D376" s="48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spans="1:26" ht="14.25" customHeight="1" x14ac:dyDescent="0.35">
      <c r="A377" s="48"/>
      <c r="B377" s="48"/>
      <c r="C377" s="121"/>
      <c r="D377" s="48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spans="1:26" ht="14.25" customHeight="1" x14ac:dyDescent="0.35">
      <c r="A378" s="48"/>
      <c r="B378" s="48"/>
      <c r="C378" s="121"/>
      <c r="D378" s="48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spans="1:26" ht="14.25" customHeight="1" x14ac:dyDescent="0.35">
      <c r="A379" s="48"/>
      <c r="B379" s="48"/>
      <c r="C379" s="121"/>
      <c r="D379" s="48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spans="1:26" ht="14.25" customHeight="1" x14ac:dyDescent="0.35">
      <c r="A380" s="48"/>
      <c r="B380" s="48"/>
      <c r="C380" s="121"/>
      <c r="D380" s="48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spans="1:26" ht="14.25" customHeight="1" x14ac:dyDescent="0.35">
      <c r="A381" s="48"/>
      <c r="B381" s="48"/>
      <c r="C381" s="121"/>
      <c r="D381" s="48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spans="1:26" ht="14.25" customHeight="1" x14ac:dyDescent="0.35">
      <c r="A382" s="48"/>
      <c r="B382" s="48"/>
      <c r="C382" s="121"/>
      <c r="D382" s="48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spans="1:26" ht="14.25" customHeight="1" x14ac:dyDescent="0.35">
      <c r="A383" s="48"/>
      <c r="B383" s="48"/>
      <c r="C383" s="121"/>
      <c r="D383" s="48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spans="1:26" ht="14.25" customHeight="1" x14ac:dyDescent="0.35">
      <c r="A384" s="48"/>
      <c r="B384" s="48"/>
      <c r="C384" s="121"/>
      <c r="D384" s="48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spans="1:26" ht="14.25" customHeight="1" x14ac:dyDescent="0.35">
      <c r="A385" s="48"/>
      <c r="B385" s="48"/>
      <c r="C385" s="121"/>
      <c r="D385" s="48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spans="1:26" ht="14.25" customHeight="1" x14ac:dyDescent="0.35">
      <c r="A386" s="48"/>
      <c r="B386" s="48"/>
      <c r="C386" s="121"/>
      <c r="D386" s="48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spans="1:26" ht="14.25" customHeight="1" x14ac:dyDescent="0.35">
      <c r="A387" s="48"/>
      <c r="B387" s="48"/>
      <c r="C387" s="121"/>
      <c r="D387" s="48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spans="1:26" ht="14.25" customHeight="1" x14ac:dyDescent="0.35">
      <c r="A388" s="48"/>
      <c r="B388" s="48"/>
      <c r="C388" s="121"/>
      <c r="D388" s="48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spans="1:26" ht="14.25" customHeight="1" x14ac:dyDescent="0.35">
      <c r="A389" s="48"/>
      <c r="B389" s="48"/>
      <c r="C389" s="121"/>
      <c r="D389" s="48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spans="1:26" ht="14.25" customHeight="1" x14ac:dyDescent="0.35">
      <c r="A390" s="48"/>
      <c r="B390" s="48"/>
      <c r="C390" s="121"/>
      <c r="D390" s="48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spans="1:26" ht="14.25" customHeight="1" x14ac:dyDescent="0.35">
      <c r="A391" s="48"/>
      <c r="B391" s="48"/>
      <c r="C391" s="121"/>
      <c r="D391" s="48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spans="1:26" ht="14.25" customHeight="1" x14ac:dyDescent="0.35">
      <c r="A392" s="48"/>
      <c r="B392" s="48"/>
      <c r="C392" s="121"/>
      <c r="D392" s="48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spans="1:26" ht="14.25" customHeight="1" x14ac:dyDescent="0.35">
      <c r="A393" s="48"/>
      <c r="B393" s="48"/>
      <c r="C393" s="121"/>
      <c r="D393" s="48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spans="1:26" ht="14.25" customHeight="1" x14ac:dyDescent="0.35">
      <c r="A394" s="48"/>
      <c r="B394" s="48"/>
      <c r="C394" s="121"/>
      <c r="D394" s="48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spans="1:26" ht="14.25" customHeight="1" x14ac:dyDescent="0.35">
      <c r="A395" s="48"/>
      <c r="B395" s="48"/>
      <c r="C395" s="121"/>
      <c r="D395" s="48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spans="1:26" ht="14.25" customHeight="1" x14ac:dyDescent="0.35">
      <c r="A396" s="48"/>
      <c r="B396" s="48"/>
      <c r="C396" s="121"/>
      <c r="D396" s="48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spans="1:26" ht="14.25" customHeight="1" x14ac:dyDescent="0.35">
      <c r="A397" s="48"/>
      <c r="B397" s="48"/>
      <c r="C397" s="121"/>
      <c r="D397" s="48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spans="1:26" ht="14.25" customHeight="1" x14ac:dyDescent="0.35">
      <c r="A398" s="48"/>
      <c r="B398" s="48"/>
      <c r="C398" s="121"/>
      <c r="D398" s="48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spans="1:26" ht="14.25" customHeight="1" x14ac:dyDescent="0.35">
      <c r="A399" s="48"/>
      <c r="B399" s="48"/>
      <c r="C399" s="121"/>
      <c r="D399" s="48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spans="1:26" ht="14.25" customHeight="1" x14ac:dyDescent="0.35">
      <c r="A400" s="48"/>
      <c r="B400" s="48"/>
      <c r="C400" s="121"/>
      <c r="D400" s="48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spans="1:26" ht="14.25" customHeight="1" x14ac:dyDescent="0.35">
      <c r="A401" s="48"/>
      <c r="B401" s="48"/>
      <c r="C401" s="121"/>
      <c r="D401" s="48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spans="1:26" ht="14.25" customHeight="1" x14ac:dyDescent="0.35">
      <c r="A402" s="48"/>
      <c r="B402" s="48"/>
      <c r="C402" s="121"/>
      <c r="D402" s="48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spans="1:26" ht="14.25" customHeight="1" x14ac:dyDescent="0.35">
      <c r="A403" s="48"/>
      <c r="B403" s="48"/>
      <c r="C403" s="121"/>
      <c r="D403" s="48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spans="1:26" ht="14.25" customHeight="1" x14ac:dyDescent="0.35">
      <c r="A404" s="48"/>
      <c r="B404" s="48"/>
      <c r="C404" s="121"/>
      <c r="D404" s="48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spans="1:26" ht="14.25" customHeight="1" x14ac:dyDescent="0.35">
      <c r="A405" s="48"/>
      <c r="B405" s="48"/>
      <c r="C405" s="121"/>
      <c r="D405" s="48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spans="1:26" ht="14.25" customHeight="1" x14ac:dyDescent="0.35">
      <c r="A406" s="48"/>
      <c r="B406" s="48"/>
      <c r="C406" s="121"/>
      <c r="D406" s="48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spans="1:26" ht="14.25" customHeight="1" x14ac:dyDescent="0.35">
      <c r="A407" s="48"/>
      <c r="B407" s="48"/>
      <c r="C407" s="121"/>
      <c r="D407" s="48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spans="1:26" ht="14.25" customHeight="1" x14ac:dyDescent="0.35">
      <c r="A408" s="48"/>
      <c r="B408" s="48"/>
      <c r="C408" s="121"/>
      <c r="D408" s="48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spans="1:26" ht="14.25" customHeight="1" x14ac:dyDescent="0.35">
      <c r="A409" s="48"/>
      <c r="B409" s="48"/>
      <c r="C409" s="121"/>
      <c r="D409" s="48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spans="1:26" ht="14.25" customHeight="1" x14ac:dyDescent="0.35">
      <c r="A410" s="48"/>
      <c r="B410" s="48"/>
      <c r="C410" s="121"/>
      <c r="D410" s="48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spans="1:26" ht="14.25" customHeight="1" x14ac:dyDescent="0.35">
      <c r="A411" s="48"/>
      <c r="B411" s="48"/>
      <c r="C411" s="121"/>
      <c r="D411" s="48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spans="1:26" ht="14.25" customHeight="1" x14ac:dyDescent="0.35">
      <c r="A412" s="48"/>
      <c r="B412" s="48"/>
      <c r="C412" s="121"/>
      <c r="D412" s="48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spans="1:26" ht="14.25" customHeight="1" x14ac:dyDescent="0.35">
      <c r="A413" s="48"/>
      <c r="B413" s="48"/>
      <c r="C413" s="121"/>
      <c r="D413" s="48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spans="1:26" ht="14.25" customHeight="1" x14ac:dyDescent="0.35">
      <c r="A414" s="48"/>
      <c r="B414" s="48"/>
      <c r="C414" s="121"/>
      <c r="D414" s="48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spans="1:26" ht="14.25" customHeight="1" x14ac:dyDescent="0.35">
      <c r="A415" s="48"/>
      <c r="B415" s="48"/>
      <c r="C415" s="121"/>
      <c r="D415" s="48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spans="1:26" ht="14.25" customHeight="1" x14ac:dyDescent="0.35">
      <c r="A416" s="48"/>
      <c r="B416" s="48"/>
      <c r="C416" s="121"/>
      <c r="D416" s="48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spans="1:26" ht="14.25" customHeight="1" x14ac:dyDescent="0.35">
      <c r="A417" s="48"/>
      <c r="B417" s="48"/>
      <c r="C417" s="121"/>
      <c r="D417" s="48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spans="1:26" ht="14.25" customHeight="1" x14ac:dyDescent="0.35">
      <c r="A418" s="48"/>
      <c r="B418" s="48"/>
      <c r="C418" s="121"/>
      <c r="D418" s="48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spans="1:26" ht="14.25" customHeight="1" x14ac:dyDescent="0.35">
      <c r="A419" s="48"/>
      <c r="B419" s="48"/>
      <c r="C419" s="121"/>
      <c r="D419" s="48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spans="1:26" ht="14.25" customHeight="1" x14ac:dyDescent="0.35">
      <c r="A420" s="48"/>
      <c r="B420" s="48"/>
      <c r="C420" s="121"/>
      <c r="D420" s="48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spans="1:26" ht="14.25" customHeight="1" x14ac:dyDescent="0.35">
      <c r="A421" s="48"/>
      <c r="B421" s="48"/>
      <c r="C421" s="121"/>
      <c r="D421" s="48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spans="1:26" ht="14.25" customHeight="1" x14ac:dyDescent="0.35">
      <c r="A422" s="48"/>
      <c r="B422" s="48"/>
      <c r="C422" s="121"/>
      <c r="D422" s="48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spans="1:26" ht="14.25" customHeight="1" x14ac:dyDescent="0.35">
      <c r="A423" s="48"/>
      <c r="B423" s="48"/>
      <c r="C423" s="121"/>
      <c r="D423" s="48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spans="1:26" ht="14.25" customHeight="1" x14ac:dyDescent="0.35">
      <c r="A424" s="48"/>
      <c r="B424" s="48"/>
      <c r="C424" s="121"/>
      <c r="D424" s="48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spans="1:26" ht="14.25" customHeight="1" x14ac:dyDescent="0.35">
      <c r="A425" s="48"/>
      <c r="B425" s="48"/>
      <c r="C425" s="121"/>
      <c r="D425" s="48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spans="1:26" ht="14.25" customHeight="1" x14ac:dyDescent="0.35">
      <c r="A426" s="48"/>
      <c r="B426" s="48"/>
      <c r="C426" s="121"/>
      <c r="D426" s="48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spans="1:26" ht="14.25" customHeight="1" x14ac:dyDescent="0.35">
      <c r="A427" s="48"/>
      <c r="B427" s="48"/>
      <c r="C427" s="121"/>
      <c r="D427" s="48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spans="1:26" ht="14.25" customHeight="1" x14ac:dyDescent="0.35">
      <c r="A428" s="48"/>
      <c r="B428" s="48"/>
      <c r="C428" s="121"/>
      <c r="D428" s="48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spans="1:26" ht="14.25" customHeight="1" x14ac:dyDescent="0.35">
      <c r="A429" s="48"/>
      <c r="B429" s="48"/>
      <c r="C429" s="121"/>
      <c r="D429" s="48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spans="1:26" ht="14.25" customHeight="1" x14ac:dyDescent="0.35">
      <c r="A430" s="48"/>
      <c r="B430" s="48"/>
      <c r="C430" s="121"/>
      <c r="D430" s="48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spans="1:26" ht="14.25" customHeight="1" x14ac:dyDescent="0.35">
      <c r="A431" s="48"/>
      <c r="B431" s="48"/>
      <c r="C431" s="121"/>
      <c r="D431" s="48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spans="1:26" ht="14.25" customHeight="1" x14ac:dyDescent="0.35">
      <c r="A432" s="48"/>
      <c r="B432" s="48"/>
      <c r="C432" s="121"/>
      <c r="D432" s="48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spans="1:26" ht="14.25" customHeight="1" x14ac:dyDescent="0.35">
      <c r="A433" s="48"/>
      <c r="B433" s="48"/>
      <c r="C433" s="121"/>
      <c r="D433" s="48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spans="1:26" ht="14.25" customHeight="1" x14ac:dyDescent="0.35">
      <c r="A434" s="48"/>
      <c r="B434" s="48"/>
      <c r="C434" s="121"/>
      <c r="D434" s="48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spans="1:26" ht="14.25" customHeight="1" x14ac:dyDescent="0.35">
      <c r="A435" s="48"/>
      <c r="B435" s="48"/>
      <c r="C435" s="121"/>
      <c r="D435" s="48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spans="1:26" ht="14.25" customHeight="1" x14ac:dyDescent="0.35">
      <c r="A436" s="48"/>
      <c r="B436" s="48"/>
      <c r="C436" s="121"/>
      <c r="D436" s="48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spans="1:26" ht="14.25" customHeight="1" x14ac:dyDescent="0.35">
      <c r="A437" s="48"/>
      <c r="B437" s="48"/>
      <c r="C437" s="121"/>
      <c r="D437" s="48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spans="1:26" ht="14.25" customHeight="1" x14ac:dyDescent="0.35">
      <c r="A438" s="48"/>
      <c r="B438" s="48"/>
      <c r="C438" s="121"/>
      <c r="D438" s="48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spans="1:26" ht="14.25" customHeight="1" x14ac:dyDescent="0.35">
      <c r="A439" s="48"/>
      <c r="B439" s="48"/>
      <c r="C439" s="121"/>
      <c r="D439" s="48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spans="1:26" ht="14.25" customHeight="1" x14ac:dyDescent="0.35">
      <c r="A440" s="48"/>
      <c r="B440" s="48"/>
      <c r="C440" s="121"/>
      <c r="D440" s="48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spans="1:26" ht="14.25" customHeight="1" x14ac:dyDescent="0.35">
      <c r="A441" s="48"/>
      <c r="B441" s="48"/>
      <c r="C441" s="121"/>
      <c r="D441" s="48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spans="1:26" ht="14.25" customHeight="1" x14ac:dyDescent="0.35">
      <c r="A442" s="48"/>
      <c r="B442" s="48"/>
      <c r="C442" s="121"/>
      <c r="D442" s="48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spans="1:26" ht="14.25" customHeight="1" x14ac:dyDescent="0.35">
      <c r="A443" s="48"/>
      <c r="B443" s="48"/>
      <c r="C443" s="121"/>
      <c r="D443" s="48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spans="1:26" ht="14.25" customHeight="1" x14ac:dyDescent="0.35">
      <c r="A444" s="48"/>
      <c r="B444" s="48"/>
      <c r="C444" s="121"/>
      <c r="D444" s="48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spans="1:26" ht="14.25" customHeight="1" x14ac:dyDescent="0.35">
      <c r="A445" s="48"/>
      <c r="B445" s="48"/>
      <c r="C445" s="121"/>
      <c r="D445" s="48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spans="1:26" ht="14.25" customHeight="1" x14ac:dyDescent="0.35">
      <c r="A446" s="48"/>
      <c r="B446" s="48"/>
      <c r="C446" s="121"/>
      <c r="D446" s="48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spans="1:26" ht="14.25" customHeight="1" x14ac:dyDescent="0.35">
      <c r="A447" s="48"/>
      <c r="B447" s="48"/>
      <c r="C447" s="121"/>
      <c r="D447" s="48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spans="1:26" ht="14.25" customHeight="1" x14ac:dyDescent="0.35">
      <c r="A448" s="48"/>
      <c r="B448" s="48"/>
      <c r="C448" s="121"/>
      <c r="D448" s="48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spans="1:26" ht="14.25" customHeight="1" x14ac:dyDescent="0.35">
      <c r="A449" s="48"/>
      <c r="B449" s="48"/>
      <c r="C449" s="121"/>
      <c r="D449" s="48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spans="1:26" ht="14.25" customHeight="1" x14ac:dyDescent="0.35">
      <c r="A450" s="48"/>
      <c r="B450" s="48"/>
      <c r="C450" s="121"/>
      <c r="D450" s="48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spans="1:26" ht="14.25" customHeight="1" x14ac:dyDescent="0.35">
      <c r="A451" s="48"/>
      <c r="B451" s="48"/>
      <c r="C451" s="121"/>
      <c r="D451" s="48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spans="1:26" ht="14.25" customHeight="1" x14ac:dyDescent="0.35">
      <c r="A452" s="48"/>
      <c r="B452" s="48"/>
      <c r="C452" s="121"/>
      <c r="D452" s="48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spans="1:26" ht="14.25" customHeight="1" x14ac:dyDescent="0.35">
      <c r="A453" s="48"/>
      <c r="B453" s="48"/>
      <c r="C453" s="121"/>
      <c r="D453" s="48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spans="1:26" ht="14.25" customHeight="1" x14ac:dyDescent="0.35">
      <c r="A454" s="48"/>
      <c r="B454" s="48"/>
      <c r="C454" s="121"/>
      <c r="D454" s="48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spans="1:26" ht="14.25" customHeight="1" x14ac:dyDescent="0.35">
      <c r="A455" s="48"/>
      <c r="B455" s="48"/>
      <c r="C455" s="121"/>
      <c r="D455" s="48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spans="1:26" ht="14.25" customHeight="1" x14ac:dyDescent="0.35">
      <c r="A456" s="48"/>
      <c r="B456" s="48"/>
      <c r="C456" s="121"/>
      <c r="D456" s="48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spans="1:26" ht="14.25" customHeight="1" x14ac:dyDescent="0.35">
      <c r="A457" s="48"/>
      <c r="B457" s="48"/>
      <c r="C457" s="121"/>
      <c r="D457" s="48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spans="1:26" ht="14.25" customHeight="1" x14ac:dyDescent="0.35">
      <c r="A458" s="48"/>
      <c r="B458" s="48"/>
      <c r="C458" s="121"/>
      <c r="D458" s="48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spans="1:26" ht="14.25" customHeight="1" x14ac:dyDescent="0.35">
      <c r="A459" s="48"/>
      <c r="B459" s="48"/>
      <c r="C459" s="121"/>
      <c r="D459" s="48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spans="1:26" ht="14.25" customHeight="1" x14ac:dyDescent="0.35">
      <c r="A460" s="48"/>
      <c r="B460" s="48"/>
      <c r="C460" s="121"/>
      <c r="D460" s="48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spans="1:26" ht="14.25" customHeight="1" x14ac:dyDescent="0.35">
      <c r="A461" s="48"/>
      <c r="B461" s="48"/>
      <c r="C461" s="121"/>
      <c r="D461" s="48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spans="1:26" ht="14.25" customHeight="1" x14ac:dyDescent="0.35">
      <c r="A462" s="48"/>
      <c r="B462" s="48"/>
      <c r="C462" s="121"/>
      <c r="D462" s="48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spans="1:26" ht="14.25" customHeight="1" x14ac:dyDescent="0.35">
      <c r="A463" s="48"/>
      <c r="B463" s="48"/>
      <c r="C463" s="121"/>
      <c r="D463" s="48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spans="1:26" ht="14.25" customHeight="1" x14ac:dyDescent="0.35">
      <c r="A464" s="48"/>
      <c r="B464" s="48"/>
      <c r="C464" s="121"/>
      <c r="D464" s="48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1:26" ht="14.25" customHeight="1" x14ac:dyDescent="0.35">
      <c r="A465" s="48"/>
      <c r="B465" s="48"/>
      <c r="C465" s="121"/>
      <c r="D465" s="48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1:26" ht="14.25" customHeight="1" x14ac:dyDescent="0.35">
      <c r="A466" s="48"/>
      <c r="B466" s="48"/>
      <c r="C466" s="121"/>
      <c r="D466" s="48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1:26" ht="14.25" customHeight="1" x14ac:dyDescent="0.35">
      <c r="A467" s="48"/>
      <c r="B467" s="48"/>
      <c r="C467" s="121"/>
      <c r="D467" s="48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1:26" ht="14.25" customHeight="1" x14ac:dyDescent="0.35">
      <c r="A468" s="48"/>
      <c r="B468" s="48"/>
      <c r="C468" s="121"/>
      <c r="D468" s="48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1:26" ht="14.25" customHeight="1" x14ac:dyDescent="0.35">
      <c r="A469" s="48"/>
      <c r="B469" s="48"/>
      <c r="C469" s="121"/>
      <c r="D469" s="48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1:26" ht="14.25" customHeight="1" x14ac:dyDescent="0.35">
      <c r="A470" s="48"/>
      <c r="B470" s="48"/>
      <c r="C470" s="121"/>
      <c r="D470" s="48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1:26" ht="14.25" customHeight="1" x14ac:dyDescent="0.35">
      <c r="A471" s="48"/>
      <c r="B471" s="48"/>
      <c r="C471" s="121"/>
      <c r="D471" s="48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1:26" ht="14.25" customHeight="1" x14ac:dyDescent="0.35">
      <c r="A472" s="48"/>
      <c r="B472" s="48"/>
      <c r="C472" s="121"/>
      <c r="D472" s="48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1:26" ht="14.25" customHeight="1" x14ac:dyDescent="0.35">
      <c r="A473" s="48"/>
      <c r="B473" s="48"/>
      <c r="C473" s="121"/>
      <c r="D473" s="48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1:26" ht="14.25" customHeight="1" x14ac:dyDescent="0.35">
      <c r="A474" s="48"/>
      <c r="B474" s="48"/>
      <c r="C474" s="121"/>
      <c r="D474" s="48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1:26" ht="14.25" customHeight="1" x14ac:dyDescent="0.35">
      <c r="A475" s="48"/>
      <c r="B475" s="48"/>
      <c r="C475" s="121"/>
      <c r="D475" s="48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1:26" ht="14.25" customHeight="1" x14ac:dyDescent="0.35">
      <c r="A476" s="48"/>
      <c r="B476" s="48"/>
      <c r="C476" s="121"/>
      <c r="D476" s="48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1:26" ht="14.25" customHeight="1" x14ac:dyDescent="0.35">
      <c r="A477" s="48"/>
      <c r="B477" s="48"/>
      <c r="C477" s="121"/>
      <c r="D477" s="48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1:26" ht="14.25" customHeight="1" x14ac:dyDescent="0.35">
      <c r="A478" s="48"/>
      <c r="B478" s="48"/>
      <c r="C478" s="121"/>
      <c r="D478" s="48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1:26" ht="14.25" customHeight="1" x14ac:dyDescent="0.35">
      <c r="A479" s="48"/>
      <c r="B479" s="48"/>
      <c r="C479" s="121"/>
      <c r="D479" s="48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1:26" ht="14.25" customHeight="1" x14ac:dyDescent="0.35">
      <c r="A480" s="48"/>
      <c r="B480" s="48"/>
      <c r="C480" s="121"/>
      <c r="D480" s="48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1:26" ht="14.25" customHeight="1" x14ac:dyDescent="0.35">
      <c r="A481" s="48"/>
      <c r="B481" s="48"/>
      <c r="C481" s="121"/>
      <c r="D481" s="48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1:26" ht="14.25" customHeight="1" x14ac:dyDescent="0.35">
      <c r="A482" s="48"/>
      <c r="B482" s="48"/>
      <c r="C482" s="121"/>
      <c r="D482" s="48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1:26" ht="14.25" customHeight="1" x14ac:dyDescent="0.35">
      <c r="A483" s="48"/>
      <c r="B483" s="48"/>
      <c r="C483" s="121"/>
      <c r="D483" s="48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1:26" ht="14.25" customHeight="1" x14ac:dyDescent="0.35">
      <c r="A484" s="48"/>
      <c r="B484" s="48"/>
      <c r="C484" s="121"/>
      <c r="D484" s="48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1:26" ht="14.25" customHeight="1" x14ac:dyDescent="0.35">
      <c r="A485" s="48"/>
      <c r="B485" s="48"/>
      <c r="C485" s="121"/>
      <c r="D485" s="48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1:26" ht="14.25" customHeight="1" x14ac:dyDescent="0.35">
      <c r="A486" s="48"/>
      <c r="B486" s="48"/>
      <c r="C486" s="121"/>
      <c r="D486" s="48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1:26" ht="14.25" customHeight="1" x14ac:dyDescent="0.35">
      <c r="A487" s="48"/>
      <c r="B487" s="48"/>
      <c r="C487" s="121"/>
      <c r="D487" s="48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1:26" ht="14.25" customHeight="1" x14ac:dyDescent="0.35">
      <c r="A488" s="48"/>
      <c r="B488" s="48"/>
      <c r="C488" s="121"/>
      <c r="D488" s="48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1:26" ht="14.25" customHeight="1" x14ac:dyDescent="0.35">
      <c r="A489" s="48"/>
      <c r="B489" s="48"/>
      <c r="C489" s="121"/>
      <c r="D489" s="48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1:26" ht="14.25" customHeight="1" x14ac:dyDescent="0.35">
      <c r="A490" s="48"/>
      <c r="B490" s="48"/>
      <c r="C490" s="121"/>
      <c r="D490" s="48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1:26" ht="14.25" customHeight="1" x14ac:dyDescent="0.35">
      <c r="A491" s="48"/>
      <c r="B491" s="48"/>
      <c r="C491" s="121"/>
      <c r="D491" s="48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1:26" ht="14.25" customHeight="1" x14ac:dyDescent="0.35">
      <c r="A492" s="48"/>
      <c r="B492" s="48"/>
      <c r="C492" s="121"/>
      <c r="D492" s="48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1:26" ht="14.25" customHeight="1" x14ac:dyDescent="0.35">
      <c r="A493" s="48"/>
      <c r="B493" s="48"/>
      <c r="C493" s="121"/>
      <c r="D493" s="48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1:26" ht="14.25" customHeight="1" x14ac:dyDescent="0.35">
      <c r="A494" s="48"/>
      <c r="B494" s="48"/>
      <c r="C494" s="121"/>
      <c r="D494" s="48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spans="1:26" ht="14.25" customHeight="1" x14ac:dyDescent="0.35">
      <c r="A495" s="48"/>
      <c r="B495" s="48"/>
      <c r="C495" s="121"/>
      <c r="D495" s="48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spans="1:26" ht="14.25" customHeight="1" x14ac:dyDescent="0.35">
      <c r="A496" s="48"/>
      <c r="B496" s="48"/>
      <c r="C496" s="121"/>
      <c r="D496" s="48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spans="1:26" ht="14.25" customHeight="1" x14ac:dyDescent="0.35">
      <c r="A497" s="48"/>
      <c r="B497" s="48"/>
      <c r="C497" s="121"/>
      <c r="D497" s="48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spans="1:26" ht="14.25" customHeight="1" x14ac:dyDescent="0.35">
      <c r="A498" s="48"/>
      <c r="B498" s="48"/>
      <c r="C498" s="121"/>
      <c r="D498" s="48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spans="1:26" ht="14.25" customHeight="1" x14ac:dyDescent="0.35">
      <c r="A499" s="48"/>
      <c r="B499" s="48"/>
      <c r="C499" s="121"/>
      <c r="D499" s="48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spans="1:26" ht="14.25" customHeight="1" x14ac:dyDescent="0.35">
      <c r="A500" s="48"/>
      <c r="B500" s="48"/>
      <c r="C500" s="121"/>
      <c r="D500" s="48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spans="1:26" ht="14.25" customHeight="1" x14ac:dyDescent="0.35">
      <c r="A501" s="48"/>
      <c r="B501" s="48"/>
      <c r="C501" s="121"/>
      <c r="D501" s="48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spans="1:26" ht="14.25" customHeight="1" x14ac:dyDescent="0.35">
      <c r="A502" s="48"/>
      <c r="B502" s="48"/>
      <c r="C502" s="121"/>
      <c r="D502" s="48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spans="1:26" ht="14.25" customHeight="1" x14ac:dyDescent="0.35">
      <c r="A503" s="48"/>
      <c r="B503" s="48"/>
      <c r="C503" s="121"/>
      <c r="D503" s="48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spans="1:26" ht="14.25" customHeight="1" x14ac:dyDescent="0.35">
      <c r="A504" s="48"/>
      <c r="B504" s="48"/>
      <c r="C504" s="121"/>
      <c r="D504" s="48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spans="1:26" ht="14.25" customHeight="1" x14ac:dyDescent="0.35">
      <c r="A505" s="48"/>
      <c r="B505" s="48"/>
      <c r="C505" s="121"/>
      <c r="D505" s="48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spans="1:26" ht="14.25" customHeight="1" x14ac:dyDescent="0.35">
      <c r="A506" s="48"/>
      <c r="B506" s="48"/>
      <c r="C506" s="121"/>
      <c r="D506" s="48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spans="1:26" ht="14.25" customHeight="1" x14ac:dyDescent="0.35">
      <c r="A507" s="48"/>
      <c r="B507" s="48"/>
      <c r="C507" s="121"/>
      <c r="D507" s="48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spans="1:26" ht="14.25" customHeight="1" x14ac:dyDescent="0.35">
      <c r="A508" s="48"/>
      <c r="B508" s="48"/>
      <c r="C508" s="121"/>
      <c r="D508" s="48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spans="1:26" ht="14.25" customHeight="1" x14ac:dyDescent="0.35">
      <c r="A509" s="48"/>
      <c r="B509" s="48"/>
      <c r="C509" s="121"/>
      <c r="D509" s="48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spans="1:26" ht="14.25" customHeight="1" x14ac:dyDescent="0.35">
      <c r="A510" s="48"/>
      <c r="B510" s="48"/>
      <c r="C510" s="121"/>
      <c r="D510" s="48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spans="1:26" ht="14.25" customHeight="1" x14ac:dyDescent="0.35">
      <c r="A511" s="48"/>
      <c r="B511" s="48"/>
      <c r="C511" s="121"/>
      <c r="D511" s="48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spans="1:26" ht="14.25" customHeight="1" x14ac:dyDescent="0.35">
      <c r="A512" s="48"/>
      <c r="B512" s="48"/>
      <c r="C512" s="121"/>
      <c r="D512" s="48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spans="1:26" ht="14.25" customHeight="1" x14ac:dyDescent="0.35">
      <c r="A513" s="48"/>
      <c r="B513" s="48"/>
      <c r="C513" s="121"/>
      <c r="D513" s="48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spans="1:26" ht="14.25" customHeight="1" x14ac:dyDescent="0.35">
      <c r="A514" s="48"/>
      <c r="B514" s="48"/>
      <c r="C514" s="121"/>
      <c r="D514" s="48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spans="1:26" ht="14.25" customHeight="1" x14ac:dyDescent="0.35">
      <c r="A515" s="48"/>
      <c r="B515" s="48"/>
      <c r="C515" s="121"/>
      <c r="D515" s="48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spans="1:26" ht="14.25" customHeight="1" x14ac:dyDescent="0.35">
      <c r="A516" s="48"/>
      <c r="B516" s="48"/>
      <c r="C516" s="121"/>
      <c r="D516" s="48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spans="1:26" ht="14.25" customHeight="1" x14ac:dyDescent="0.35">
      <c r="A517" s="48"/>
      <c r="B517" s="48"/>
      <c r="C517" s="121"/>
      <c r="D517" s="48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spans="1:26" ht="14.25" customHeight="1" x14ac:dyDescent="0.35">
      <c r="A518" s="48"/>
      <c r="B518" s="48"/>
      <c r="C518" s="121"/>
      <c r="D518" s="48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spans="1:26" ht="14.25" customHeight="1" x14ac:dyDescent="0.35">
      <c r="A519" s="48"/>
      <c r="B519" s="48"/>
      <c r="C519" s="121"/>
      <c r="D519" s="48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spans="1:26" ht="14.25" customHeight="1" x14ac:dyDescent="0.35">
      <c r="A520" s="48"/>
      <c r="B520" s="48"/>
      <c r="C520" s="121"/>
      <c r="D520" s="48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spans="1:26" ht="14.25" customHeight="1" x14ac:dyDescent="0.35">
      <c r="A521" s="48"/>
      <c r="B521" s="48"/>
      <c r="C521" s="121"/>
      <c r="D521" s="48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spans="1:26" ht="14.25" customHeight="1" x14ac:dyDescent="0.35">
      <c r="A522" s="48"/>
      <c r="B522" s="48"/>
      <c r="C522" s="121"/>
      <c r="D522" s="48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spans="1:26" ht="14.25" customHeight="1" x14ac:dyDescent="0.35">
      <c r="A523" s="48"/>
      <c r="B523" s="48"/>
      <c r="C523" s="121"/>
      <c r="D523" s="48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spans="1:26" ht="14.25" customHeight="1" x14ac:dyDescent="0.35">
      <c r="A524" s="48"/>
      <c r="B524" s="48"/>
      <c r="C524" s="121"/>
      <c r="D524" s="48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spans="1:26" ht="14.25" customHeight="1" x14ac:dyDescent="0.35">
      <c r="A525" s="48"/>
      <c r="B525" s="48"/>
      <c r="C525" s="121"/>
      <c r="D525" s="48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spans="1:26" ht="14.25" customHeight="1" x14ac:dyDescent="0.35">
      <c r="A526" s="48"/>
      <c r="B526" s="48"/>
      <c r="C526" s="121"/>
      <c r="D526" s="48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spans="1:26" ht="14.25" customHeight="1" x14ac:dyDescent="0.35">
      <c r="A527" s="48"/>
      <c r="B527" s="48"/>
      <c r="C527" s="121"/>
      <c r="D527" s="48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spans="1:26" ht="14.25" customHeight="1" x14ac:dyDescent="0.35">
      <c r="A528" s="48"/>
      <c r="B528" s="48"/>
      <c r="C528" s="121"/>
      <c r="D528" s="48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spans="1:26" ht="14.25" customHeight="1" x14ac:dyDescent="0.35">
      <c r="A529" s="48"/>
      <c r="B529" s="48"/>
      <c r="C529" s="121"/>
      <c r="D529" s="48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spans="1:26" ht="14.25" customHeight="1" x14ac:dyDescent="0.35">
      <c r="A530" s="48"/>
      <c r="B530" s="48"/>
      <c r="C530" s="121"/>
      <c r="D530" s="48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spans="1:26" ht="14.25" customHeight="1" x14ac:dyDescent="0.35">
      <c r="A531" s="48"/>
      <c r="B531" s="48"/>
      <c r="C531" s="121"/>
      <c r="D531" s="48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spans="1:26" ht="14.25" customHeight="1" x14ac:dyDescent="0.35">
      <c r="A532" s="48"/>
      <c r="B532" s="48"/>
      <c r="C532" s="121"/>
      <c r="D532" s="48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spans="1:26" ht="14.25" customHeight="1" x14ac:dyDescent="0.35">
      <c r="A533" s="48"/>
      <c r="B533" s="48"/>
      <c r="C533" s="121"/>
      <c r="D533" s="48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spans="1:26" ht="14.25" customHeight="1" x14ac:dyDescent="0.35">
      <c r="A534" s="48"/>
      <c r="B534" s="48"/>
      <c r="C534" s="121"/>
      <c r="D534" s="48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spans="1:26" ht="14.25" customHeight="1" x14ac:dyDescent="0.35">
      <c r="A535" s="48"/>
      <c r="B535" s="48"/>
      <c r="C535" s="121"/>
      <c r="D535" s="48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spans="1:26" ht="14.25" customHeight="1" x14ac:dyDescent="0.35">
      <c r="A536" s="48"/>
      <c r="B536" s="48"/>
      <c r="C536" s="121"/>
      <c r="D536" s="48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spans="1:26" ht="14.25" customHeight="1" x14ac:dyDescent="0.35">
      <c r="A537" s="48"/>
      <c r="B537" s="48"/>
      <c r="C537" s="121"/>
      <c r="D537" s="48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spans="1:26" ht="14.25" customHeight="1" x14ac:dyDescent="0.35">
      <c r="A538" s="48"/>
      <c r="B538" s="48"/>
      <c r="C538" s="121"/>
      <c r="D538" s="48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spans="1:26" ht="14.25" customHeight="1" x14ac:dyDescent="0.35">
      <c r="A539" s="48"/>
      <c r="B539" s="48"/>
      <c r="C539" s="121"/>
      <c r="D539" s="48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spans="1:26" ht="14.25" customHeight="1" x14ac:dyDescent="0.35">
      <c r="A540" s="48"/>
      <c r="B540" s="48"/>
      <c r="C540" s="121"/>
      <c r="D540" s="48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spans="1:26" ht="14.25" customHeight="1" x14ac:dyDescent="0.35">
      <c r="A541" s="48"/>
      <c r="B541" s="48"/>
      <c r="C541" s="121"/>
      <c r="D541" s="48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spans="1:26" ht="14.25" customHeight="1" x14ac:dyDescent="0.35">
      <c r="A542" s="48"/>
      <c r="B542" s="48"/>
      <c r="C542" s="121"/>
      <c r="D542" s="48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spans="1:26" ht="14.25" customHeight="1" x14ac:dyDescent="0.35">
      <c r="A543" s="48"/>
      <c r="B543" s="48"/>
      <c r="C543" s="121"/>
      <c r="D543" s="48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spans="1:26" ht="14.25" customHeight="1" x14ac:dyDescent="0.35">
      <c r="A544" s="48"/>
      <c r="B544" s="48"/>
      <c r="C544" s="121"/>
      <c r="D544" s="48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spans="1:26" ht="14.25" customHeight="1" x14ac:dyDescent="0.35">
      <c r="A545" s="48"/>
      <c r="B545" s="48"/>
      <c r="C545" s="121"/>
      <c r="D545" s="48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spans="1:26" ht="14.25" customHeight="1" x14ac:dyDescent="0.35">
      <c r="A546" s="48"/>
      <c r="B546" s="48"/>
      <c r="C546" s="121"/>
      <c r="D546" s="48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spans="1:26" ht="14.25" customHeight="1" x14ac:dyDescent="0.35">
      <c r="A547" s="48"/>
      <c r="B547" s="48"/>
      <c r="C547" s="121"/>
      <c r="D547" s="48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spans="1:26" ht="14.25" customHeight="1" x14ac:dyDescent="0.35">
      <c r="A548" s="48"/>
      <c r="B548" s="48"/>
      <c r="C548" s="121"/>
      <c r="D548" s="48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spans="1:26" ht="14.25" customHeight="1" x14ac:dyDescent="0.35">
      <c r="A549" s="48"/>
      <c r="B549" s="48"/>
      <c r="C549" s="121"/>
      <c r="D549" s="48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spans="1:26" ht="14.25" customHeight="1" x14ac:dyDescent="0.35">
      <c r="A550" s="48"/>
      <c r="B550" s="48"/>
      <c r="C550" s="121"/>
      <c r="D550" s="48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spans="1:26" ht="14.25" customHeight="1" x14ac:dyDescent="0.35">
      <c r="A551" s="48"/>
      <c r="B551" s="48"/>
      <c r="C551" s="121"/>
      <c r="D551" s="48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spans="1:26" ht="14.25" customHeight="1" x14ac:dyDescent="0.35">
      <c r="A552" s="48"/>
      <c r="B552" s="48"/>
      <c r="C552" s="121"/>
      <c r="D552" s="48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spans="1:26" ht="14.25" customHeight="1" x14ac:dyDescent="0.35">
      <c r="A553" s="48"/>
      <c r="B553" s="48"/>
      <c r="C553" s="121"/>
      <c r="D553" s="48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spans="1:26" ht="14.25" customHeight="1" x14ac:dyDescent="0.35">
      <c r="A554" s="48"/>
      <c r="B554" s="48"/>
      <c r="C554" s="121"/>
      <c r="D554" s="48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spans="1:26" ht="14.25" customHeight="1" x14ac:dyDescent="0.35">
      <c r="A555" s="48"/>
      <c r="B555" s="48"/>
      <c r="C555" s="121"/>
      <c r="D555" s="48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spans="1:26" ht="14.25" customHeight="1" x14ac:dyDescent="0.35">
      <c r="A556" s="48"/>
      <c r="B556" s="48"/>
      <c r="C556" s="121"/>
      <c r="D556" s="48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spans="1:26" ht="14.25" customHeight="1" x14ac:dyDescent="0.35">
      <c r="A557" s="48"/>
      <c r="B557" s="48"/>
      <c r="C557" s="121"/>
      <c r="D557" s="48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spans="1:26" ht="14.25" customHeight="1" x14ac:dyDescent="0.35">
      <c r="A558" s="48"/>
      <c r="B558" s="48"/>
      <c r="C558" s="121"/>
      <c r="D558" s="48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spans="1:26" ht="14.25" customHeight="1" x14ac:dyDescent="0.35">
      <c r="A559" s="48"/>
      <c r="B559" s="48"/>
      <c r="C559" s="121"/>
      <c r="D559" s="48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spans="1:26" ht="14.25" customHeight="1" x14ac:dyDescent="0.35">
      <c r="A560" s="48"/>
      <c r="B560" s="48"/>
      <c r="C560" s="121"/>
      <c r="D560" s="48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spans="1:26" ht="14.25" customHeight="1" x14ac:dyDescent="0.35">
      <c r="A561" s="48"/>
      <c r="B561" s="48"/>
      <c r="C561" s="121"/>
      <c r="D561" s="48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spans="1:26" ht="14.25" customHeight="1" x14ac:dyDescent="0.35">
      <c r="A562" s="48"/>
      <c r="B562" s="48"/>
      <c r="C562" s="121"/>
      <c r="D562" s="48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spans="1:26" ht="14.25" customHeight="1" x14ac:dyDescent="0.35">
      <c r="A563" s="48"/>
      <c r="B563" s="48"/>
      <c r="C563" s="121"/>
      <c r="D563" s="48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spans="1:26" ht="14.25" customHeight="1" x14ac:dyDescent="0.35">
      <c r="A564" s="48"/>
      <c r="B564" s="48"/>
      <c r="C564" s="121"/>
      <c r="D564" s="48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spans="1:26" ht="14.25" customHeight="1" x14ac:dyDescent="0.35">
      <c r="A565" s="48"/>
      <c r="B565" s="48"/>
      <c r="C565" s="121"/>
      <c r="D565" s="48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spans="1:26" ht="14.25" customHeight="1" x14ac:dyDescent="0.35">
      <c r="A566" s="48"/>
      <c r="B566" s="48"/>
      <c r="C566" s="121"/>
      <c r="D566" s="48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spans="1:26" ht="14.25" customHeight="1" x14ac:dyDescent="0.35">
      <c r="A567" s="48"/>
      <c r="B567" s="48"/>
      <c r="C567" s="121"/>
      <c r="D567" s="48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spans="1:26" ht="14.25" customHeight="1" x14ac:dyDescent="0.35">
      <c r="A568" s="48"/>
      <c r="B568" s="48"/>
      <c r="C568" s="121"/>
      <c r="D568" s="48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spans="1:26" ht="14.25" customHeight="1" x14ac:dyDescent="0.35">
      <c r="A569" s="48"/>
      <c r="B569" s="48"/>
      <c r="C569" s="121"/>
      <c r="D569" s="48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spans="1:26" ht="14.25" customHeight="1" x14ac:dyDescent="0.35">
      <c r="A570" s="48"/>
      <c r="B570" s="48"/>
      <c r="C570" s="121"/>
      <c r="D570" s="48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spans="1:26" ht="14.25" customHeight="1" x14ac:dyDescent="0.35">
      <c r="A571" s="48"/>
      <c r="B571" s="48"/>
      <c r="C571" s="121"/>
      <c r="D571" s="48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spans="1:26" ht="14.25" customHeight="1" x14ac:dyDescent="0.35">
      <c r="A572" s="48"/>
      <c r="B572" s="48"/>
      <c r="C572" s="121"/>
      <c r="D572" s="48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spans="1:26" ht="14.25" customHeight="1" x14ac:dyDescent="0.35">
      <c r="A573" s="48"/>
      <c r="B573" s="48"/>
      <c r="C573" s="121"/>
      <c r="D573" s="48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spans="1:26" ht="14.25" customHeight="1" x14ac:dyDescent="0.35">
      <c r="A574" s="48"/>
      <c r="B574" s="48"/>
      <c r="C574" s="121"/>
      <c r="D574" s="48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spans="1:26" ht="14.25" customHeight="1" x14ac:dyDescent="0.35">
      <c r="A575" s="48"/>
      <c r="B575" s="48"/>
      <c r="C575" s="121"/>
      <c r="D575" s="48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spans="1:26" ht="14.25" customHeight="1" x14ac:dyDescent="0.35">
      <c r="A576" s="48"/>
      <c r="B576" s="48"/>
      <c r="C576" s="121"/>
      <c r="D576" s="48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spans="1:26" ht="14.25" customHeight="1" x14ac:dyDescent="0.35">
      <c r="A577" s="48"/>
      <c r="B577" s="48"/>
      <c r="C577" s="121"/>
      <c r="D577" s="48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spans="1:26" ht="14.25" customHeight="1" x14ac:dyDescent="0.35">
      <c r="A578" s="48"/>
      <c r="B578" s="48"/>
      <c r="C578" s="121"/>
      <c r="D578" s="48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spans="1:26" ht="14.25" customHeight="1" x14ac:dyDescent="0.35">
      <c r="A579" s="48"/>
      <c r="B579" s="48"/>
      <c r="C579" s="121"/>
      <c r="D579" s="48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spans="1:26" ht="14.25" customHeight="1" x14ac:dyDescent="0.35">
      <c r="A580" s="48"/>
      <c r="B580" s="48"/>
      <c r="C580" s="121"/>
      <c r="D580" s="48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spans="1:26" ht="14.25" customHeight="1" x14ac:dyDescent="0.35">
      <c r="A581" s="48"/>
      <c r="B581" s="48"/>
      <c r="C581" s="121"/>
      <c r="D581" s="48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spans="1:26" ht="14.25" customHeight="1" x14ac:dyDescent="0.35">
      <c r="A582" s="48"/>
      <c r="B582" s="48"/>
      <c r="C582" s="121"/>
      <c r="D582" s="48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spans="1:26" ht="14.25" customHeight="1" x14ac:dyDescent="0.35">
      <c r="A583" s="48"/>
      <c r="B583" s="48"/>
      <c r="C583" s="121"/>
      <c r="D583" s="48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spans="1:26" ht="14.25" customHeight="1" x14ac:dyDescent="0.35">
      <c r="A584" s="48"/>
      <c r="B584" s="48"/>
      <c r="C584" s="121"/>
      <c r="D584" s="48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spans="1:26" ht="14.25" customHeight="1" x14ac:dyDescent="0.35">
      <c r="A585" s="48"/>
      <c r="B585" s="48"/>
      <c r="C585" s="121"/>
      <c r="D585" s="48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spans="1:26" ht="14.25" customHeight="1" x14ac:dyDescent="0.35">
      <c r="A586" s="48"/>
      <c r="B586" s="48"/>
      <c r="C586" s="121"/>
      <c r="D586" s="48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spans="1:26" ht="14.25" customHeight="1" x14ac:dyDescent="0.35">
      <c r="A587" s="48"/>
      <c r="B587" s="48"/>
      <c r="C587" s="121"/>
      <c r="D587" s="48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spans="1:26" ht="14.25" customHeight="1" x14ac:dyDescent="0.35">
      <c r="A588" s="48"/>
      <c r="B588" s="48"/>
      <c r="C588" s="121"/>
      <c r="D588" s="48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spans="1:26" ht="14.25" customHeight="1" x14ac:dyDescent="0.35">
      <c r="A589" s="48"/>
      <c r="B589" s="48"/>
      <c r="C589" s="121"/>
      <c r="D589" s="48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spans="1:26" ht="14.25" customHeight="1" x14ac:dyDescent="0.35">
      <c r="A590" s="48"/>
      <c r="B590" s="48"/>
      <c r="C590" s="121"/>
      <c r="D590" s="48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spans="1:26" ht="14.25" customHeight="1" x14ac:dyDescent="0.35">
      <c r="A591" s="48"/>
      <c r="B591" s="48"/>
      <c r="C591" s="121"/>
      <c r="D591" s="48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spans="1:26" ht="14.25" customHeight="1" x14ac:dyDescent="0.35">
      <c r="A592" s="48"/>
      <c r="B592" s="48"/>
      <c r="C592" s="121"/>
      <c r="D592" s="48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spans="1:26" ht="14.25" customHeight="1" x14ac:dyDescent="0.35">
      <c r="A593" s="48"/>
      <c r="B593" s="48"/>
      <c r="C593" s="121"/>
      <c r="D593" s="48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spans="1:26" ht="14.25" customHeight="1" x14ac:dyDescent="0.35">
      <c r="A594" s="48"/>
      <c r="B594" s="48"/>
      <c r="C594" s="121"/>
      <c r="D594" s="48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spans="1:26" ht="14.25" customHeight="1" x14ac:dyDescent="0.35">
      <c r="A595" s="48"/>
      <c r="B595" s="48"/>
      <c r="C595" s="121"/>
      <c r="D595" s="48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spans="1:26" ht="14.25" customHeight="1" x14ac:dyDescent="0.35">
      <c r="A596" s="48"/>
      <c r="B596" s="48"/>
      <c r="C596" s="121"/>
      <c r="D596" s="48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spans="1:26" ht="14.25" customHeight="1" x14ac:dyDescent="0.35">
      <c r="A597" s="48"/>
      <c r="B597" s="48"/>
      <c r="C597" s="121"/>
      <c r="D597" s="48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spans="1:26" ht="14.25" customHeight="1" x14ac:dyDescent="0.35">
      <c r="A598" s="48"/>
      <c r="B598" s="48"/>
      <c r="C598" s="121"/>
      <c r="D598" s="48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spans="1:26" ht="14.25" customHeight="1" x14ac:dyDescent="0.35">
      <c r="A599" s="48"/>
      <c r="B599" s="48"/>
      <c r="C599" s="121"/>
      <c r="D599" s="48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spans="1:26" ht="14.25" customHeight="1" x14ac:dyDescent="0.35">
      <c r="A600" s="48"/>
      <c r="B600" s="48"/>
      <c r="C600" s="121"/>
      <c r="D600" s="48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spans="1:26" ht="14.25" customHeight="1" x14ac:dyDescent="0.35">
      <c r="A601" s="48"/>
      <c r="B601" s="48"/>
      <c r="C601" s="121"/>
      <c r="D601" s="48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spans="1:26" ht="14.25" customHeight="1" x14ac:dyDescent="0.35">
      <c r="A602" s="48"/>
      <c r="B602" s="48"/>
      <c r="C602" s="121"/>
      <c r="D602" s="48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spans="1:26" ht="14.25" customHeight="1" x14ac:dyDescent="0.35">
      <c r="A603" s="48"/>
      <c r="B603" s="48"/>
      <c r="C603" s="121"/>
      <c r="D603" s="48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spans="1:26" ht="14.25" customHeight="1" x14ac:dyDescent="0.35">
      <c r="A604" s="48"/>
      <c r="B604" s="48"/>
      <c r="C604" s="121"/>
      <c r="D604" s="48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spans="1:26" ht="14.25" customHeight="1" x14ac:dyDescent="0.35">
      <c r="A605" s="48"/>
      <c r="B605" s="48"/>
      <c r="C605" s="121"/>
      <c r="D605" s="48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spans="1:26" ht="14.25" customHeight="1" x14ac:dyDescent="0.35">
      <c r="A606" s="48"/>
      <c r="B606" s="48"/>
      <c r="C606" s="121"/>
      <c r="D606" s="48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spans="1:26" ht="14.25" customHeight="1" x14ac:dyDescent="0.35">
      <c r="A607" s="48"/>
      <c r="B607" s="48"/>
      <c r="C607" s="121"/>
      <c r="D607" s="48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spans="1:26" ht="14.25" customHeight="1" x14ac:dyDescent="0.35">
      <c r="A608" s="48"/>
      <c r="B608" s="48"/>
      <c r="C608" s="121"/>
      <c r="D608" s="48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spans="1:26" ht="14.25" customHeight="1" x14ac:dyDescent="0.35">
      <c r="A609" s="48"/>
      <c r="B609" s="48"/>
      <c r="C609" s="121"/>
      <c r="D609" s="48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spans="1:26" ht="14.25" customHeight="1" x14ac:dyDescent="0.35">
      <c r="A610" s="48"/>
      <c r="B610" s="48"/>
      <c r="C610" s="121"/>
      <c r="D610" s="48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spans="1:26" ht="14.25" customHeight="1" x14ac:dyDescent="0.35">
      <c r="A611" s="48"/>
      <c r="B611" s="48"/>
      <c r="C611" s="121"/>
      <c r="D611" s="48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spans="1:26" ht="14.25" customHeight="1" x14ac:dyDescent="0.35">
      <c r="A612" s="48"/>
      <c r="B612" s="48"/>
      <c r="C612" s="121"/>
      <c r="D612" s="48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spans="1:26" ht="14.25" customHeight="1" x14ac:dyDescent="0.35">
      <c r="A613" s="48"/>
      <c r="B613" s="48"/>
      <c r="C613" s="121"/>
      <c r="D613" s="48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spans="1:26" ht="14.25" customHeight="1" x14ac:dyDescent="0.35">
      <c r="A614" s="48"/>
      <c r="B614" s="48"/>
      <c r="C614" s="121"/>
      <c r="D614" s="48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spans="1:26" ht="14.25" customHeight="1" x14ac:dyDescent="0.35">
      <c r="A615" s="48"/>
      <c r="B615" s="48"/>
      <c r="C615" s="121"/>
      <c r="D615" s="48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spans="1:26" ht="14.25" customHeight="1" x14ac:dyDescent="0.35">
      <c r="A616" s="48"/>
      <c r="B616" s="48"/>
      <c r="C616" s="121"/>
      <c r="D616" s="48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spans="1:26" ht="14.25" customHeight="1" x14ac:dyDescent="0.35">
      <c r="A617" s="48"/>
      <c r="B617" s="48"/>
      <c r="C617" s="121"/>
      <c r="D617" s="48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spans="1:26" ht="14.25" customHeight="1" x14ac:dyDescent="0.35">
      <c r="A618" s="48"/>
      <c r="B618" s="48"/>
      <c r="C618" s="121"/>
      <c r="D618" s="48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spans="1:26" ht="14.25" customHeight="1" x14ac:dyDescent="0.35">
      <c r="A619" s="48"/>
      <c r="B619" s="48"/>
      <c r="C619" s="121"/>
      <c r="D619" s="48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spans="1:26" ht="14.25" customHeight="1" x14ac:dyDescent="0.35">
      <c r="A620" s="48"/>
      <c r="B620" s="48"/>
      <c r="C620" s="121"/>
      <c r="D620" s="48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spans="1:26" ht="14.25" customHeight="1" x14ac:dyDescent="0.35">
      <c r="A621" s="48"/>
      <c r="B621" s="48"/>
      <c r="C621" s="121"/>
      <c r="D621" s="48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spans="1:26" ht="14.25" customHeight="1" x14ac:dyDescent="0.35">
      <c r="A622" s="48"/>
      <c r="B622" s="48"/>
      <c r="C622" s="121"/>
      <c r="D622" s="48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spans="1:26" ht="14.25" customHeight="1" x14ac:dyDescent="0.35">
      <c r="A623" s="48"/>
      <c r="B623" s="48"/>
      <c r="C623" s="121"/>
      <c r="D623" s="48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spans="1:26" ht="14.25" customHeight="1" x14ac:dyDescent="0.35">
      <c r="A624" s="48"/>
      <c r="B624" s="48"/>
      <c r="C624" s="121"/>
      <c r="D624" s="48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spans="1:26" ht="14.25" customHeight="1" x14ac:dyDescent="0.35">
      <c r="A625" s="48"/>
      <c r="B625" s="48"/>
      <c r="C625" s="121"/>
      <c r="D625" s="48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spans="1:26" ht="14.25" customHeight="1" x14ac:dyDescent="0.35">
      <c r="A626" s="48"/>
      <c r="B626" s="48"/>
      <c r="C626" s="121"/>
      <c r="D626" s="48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spans="1:26" ht="14.25" customHeight="1" x14ac:dyDescent="0.35">
      <c r="A627" s="48"/>
      <c r="B627" s="48"/>
      <c r="C627" s="121"/>
      <c r="D627" s="48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spans="1:26" ht="14.25" customHeight="1" x14ac:dyDescent="0.35">
      <c r="A628" s="48"/>
      <c r="B628" s="48"/>
      <c r="C628" s="121"/>
      <c r="D628" s="48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spans="1:26" ht="14.25" customHeight="1" x14ac:dyDescent="0.35">
      <c r="A629" s="48"/>
      <c r="B629" s="48"/>
      <c r="C629" s="121"/>
      <c r="D629" s="48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spans="1:26" ht="14.25" customHeight="1" x14ac:dyDescent="0.35">
      <c r="A630" s="48"/>
      <c r="B630" s="48"/>
      <c r="C630" s="121"/>
      <c r="D630" s="48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spans="1:26" ht="14.25" customHeight="1" x14ac:dyDescent="0.35">
      <c r="A631" s="48"/>
      <c r="B631" s="48"/>
      <c r="C631" s="121"/>
      <c r="D631" s="48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spans="1:26" ht="14.25" customHeight="1" x14ac:dyDescent="0.35">
      <c r="A632" s="48"/>
      <c r="B632" s="48"/>
      <c r="C632" s="121"/>
      <c r="D632" s="48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spans="1:26" ht="14.25" customHeight="1" x14ac:dyDescent="0.35">
      <c r="A633" s="48"/>
      <c r="B633" s="48"/>
      <c r="C633" s="121"/>
      <c r="D633" s="48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spans="1:26" ht="14.25" customHeight="1" x14ac:dyDescent="0.35">
      <c r="A634" s="48"/>
      <c r="B634" s="48"/>
      <c r="C634" s="121"/>
      <c r="D634" s="48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spans="1:26" ht="14.25" customHeight="1" x14ac:dyDescent="0.35">
      <c r="A635" s="48"/>
      <c r="B635" s="48"/>
      <c r="C635" s="121"/>
      <c r="D635" s="48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spans="1:26" ht="14.25" customHeight="1" x14ac:dyDescent="0.35">
      <c r="A636" s="48"/>
      <c r="B636" s="48"/>
      <c r="C636" s="121"/>
      <c r="D636" s="48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spans="1:26" ht="14.25" customHeight="1" x14ac:dyDescent="0.35">
      <c r="A637" s="48"/>
      <c r="B637" s="48"/>
      <c r="C637" s="121"/>
      <c r="D637" s="48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spans="1:26" ht="14.25" customHeight="1" x14ac:dyDescent="0.35">
      <c r="A638" s="48"/>
      <c r="B638" s="48"/>
      <c r="C638" s="121"/>
      <c r="D638" s="48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spans="1:26" ht="14.25" customHeight="1" x14ac:dyDescent="0.35">
      <c r="A639" s="48"/>
      <c r="B639" s="48"/>
      <c r="C639" s="121"/>
      <c r="D639" s="48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spans="1:26" ht="14.25" customHeight="1" x14ac:dyDescent="0.35">
      <c r="A640" s="48"/>
      <c r="B640" s="48"/>
      <c r="C640" s="121"/>
      <c r="D640" s="48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spans="1:26" ht="14.25" customHeight="1" x14ac:dyDescent="0.35">
      <c r="A641" s="48"/>
      <c r="B641" s="48"/>
      <c r="C641" s="121"/>
      <c r="D641" s="48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spans="1:26" ht="14.25" customHeight="1" x14ac:dyDescent="0.35">
      <c r="A642" s="48"/>
      <c r="B642" s="48"/>
      <c r="C642" s="121"/>
      <c r="D642" s="48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spans="1:26" ht="14.25" customHeight="1" x14ac:dyDescent="0.35">
      <c r="A643" s="48"/>
      <c r="B643" s="48"/>
      <c r="C643" s="121"/>
      <c r="D643" s="48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spans="1:26" ht="14.25" customHeight="1" x14ac:dyDescent="0.35">
      <c r="A644" s="48"/>
      <c r="B644" s="48"/>
      <c r="C644" s="121"/>
      <c r="D644" s="48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spans="1:26" ht="14.25" customHeight="1" x14ac:dyDescent="0.35">
      <c r="A645" s="48"/>
      <c r="B645" s="48"/>
      <c r="C645" s="121"/>
      <c r="D645" s="48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spans="1:26" ht="14.25" customHeight="1" x14ac:dyDescent="0.35">
      <c r="A646" s="48"/>
      <c r="B646" s="48"/>
      <c r="C646" s="121"/>
      <c r="D646" s="48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spans="1:26" ht="14.25" customHeight="1" x14ac:dyDescent="0.35">
      <c r="A647" s="48"/>
      <c r="B647" s="48"/>
      <c r="C647" s="121"/>
      <c r="D647" s="48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spans="1:26" ht="14.25" customHeight="1" x14ac:dyDescent="0.35">
      <c r="A648" s="48"/>
      <c r="B648" s="48"/>
      <c r="C648" s="121"/>
      <c r="D648" s="48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spans="1:26" ht="14.25" customHeight="1" x14ac:dyDescent="0.35">
      <c r="A649" s="48"/>
      <c r="B649" s="48"/>
      <c r="C649" s="121"/>
      <c r="D649" s="48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spans="1:26" ht="14.25" customHeight="1" x14ac:dyDescent="0.35">
      <c r="A650" s="48"/>
      <c r="B650" s="48"/>
      <c r="C650" s="121"/>
      <c r="D650" s="48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spans="1:26" ht="14.25" customHeight="1" x14ac:dyDescent="0.35">
      <c r="A651" s="48"/>
      <c r="B651" s="48"/>
      <c r="C651" s="121"/>
      <c r="D651" s="48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spans="1:26" ht="14.25" customHeight="1" x14ac:dyDescent="0.35">
      <c r="A652" s="48"/>
      <c r="B652" s="48"/>
      <c r="C652" s="121"/>
      <c r="D652" s="48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spans="1:26" ht="14.25" customHeight="1" x14ac:dyDescent="0.35">
      <c r="A653" s="48"/>
      <c r="B653" s="48"/>
      <c r="C653" s="121"/>
      <c r="D653" s="48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spans="1:26" ht="14.25" customHeight="1" x14ac:dyDescent="0.35">
      <c r="A654" s="48"/>
      <c r="B654" s="48"/>
      <c r="C654" s="121"/>
      <c r="D654" s="48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spans="1:26" ht="14.25" customHeight="1" x14ac:dyDescent="0.35">
      <c r="A655" s="48"/>
      <c r="B655" s="48"/>
      <c r="C655" s="121"/>
      <c r="D655" s="48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spans="1:26" ht="14.25" customHeight="1" x14ac:dyDescent="0.35">
      <c r="A656" s="48"/>
      <c r="B656" s="48"/>
      <c r="C656" s="121"/>
      <c r="D656" s="48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spans="1:26" ht="14.25" customHeight="1" x14ac:dyDescent="0.35">
      <c r="A657" s="48"/>
      <c r="B657" s="48"/>
      <c r="C657" s="121"/>
      <c r="D657" s="48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spans="1:26" ht="14.25" customHeight="1" x14ac:dyDescent="0.35">
      <c r="A658" s="48"/>
      <c r="B658" s="48"/>
      <c r="C658" s="121"/>
      <c r="D658" s="48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spans="1:26" ht="14.25" customHeight="1" x14ac:dyDescent="0.35">
      <c r="A659" s="48"/>
      <c r="B659" s="48"/>
      <c r="C659" s="121"/>
      <c r="D659" s="48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spans="1:26" ht="14.25" customHeight="1" x14ac:dyDescent="0.35">
      <c r="A660" s="48"/>
      <c r="B660" s="48"/>
      <c r="C660" s="121"/>
      <c r="D660" s="48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spans="1:26" ht="14.25" customHeight="1" x14ac:dyDescent="0.35">
      <c r="A661" s="48"/>
      <c r="B661" s="48"/>
      <c r="C661" s="121"/>
      <c r="D661" s="48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spans="1:26" ht="14.25" customHeight="1" x14ac:dyDescent="0.35">
      <c r="A662" s="48"/>
      <c r="B662" s="48"/>
      <c r="C662" s="121"/>
      <c r="D662" s="48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spans="1:26" ht="14.25" customHeight="1" x14ac:dyDescent="0.35">
      <c r="A663" s="48"/>
      <c r="B663" s="48"/>
      <c r="C663" s="121"/>
      <c r="D663" s="48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spans="1:26" ht="14.25" customHeight="1" x14ac:dyDescent="0.35">
      <c r="A664" s="48"/>
      <c r="B664" s="48"/>
      <c r="C664" s="121"/>
      <c r="D664" s="48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spans="1:26" ht="14.25" customHeight="1" x14ac:dyDescent="0.35">
      <c r="A665" s="48"/>
      <c r="B665" s="48"/>
      <c r="C665" s="121"/>
      <c r="D665" s="48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spans="1:26" ht="14.25" customHeight="1" x14ac:dyDescent="0.35">
      <c r="A666" s="48"/>
      <c r="B666" s="48"/>
      <c r="C666" s="121"/>
      <c r="D666" s="48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spans="1:26" ht="14.25" customHeight="1" x14ac:dyDescent="0.35">
      <c r="A667" s="48"/>
      <c r="B667" s="48"/>
      <c r="C667" s="121"/>
      <c r="D667" s="48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spans="1:26" ht="14.25" customHeight="1" x14ac:dyDescent="0.35">
      <c r="A668" s="48"/>
      <c r="B668" s="48"/>
      <c r="C668" s="121"/>
      <c r="D668" s="48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spans="1:26" ht="14.25" customHeight="1" x14ac:dyDescent="0.35">
      <c r="A669" s="48"/>
      <c r="B669" s="48"/>
      <c r="C669" s="121"/>
      <c r="D669" s="48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spans="1:26" ht="14.25" customHeight="1" x14ac:dyDescent="0.35">
      <c r="A670" s="48"/>
      <c r="B670" s="48"/>
      <c r="C670" s="121"/>
      <c r="D670" s="48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spans="1:26" ht="14.25" customHeight="1" x14ac:dyDescent="0.35">
      <c r="A671" s="48"/>
      <c r="B671" s="48"/>
      <c r="C671" s="121"/>
      <c r="D671" s="48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spans="1:26" ht="14.25" customHeight="1" x14ac:dyDescent="0.35">
      <c r="A672" s="48"/>
      <c r="B672" s="48"/>
      <c r="C672" s="121"/>
      <c r="D672" s="48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spans="1:26" ht="14.25" customHeight="1" x14ac:dyDescent="0.35">
      <c r="A673" s="48"/>
      <c r="B673" s="48"/>
      <c r="C673" s="121"/>
      <c r="D673" s="48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spans="1:26" ht="14.25" customHeight="1" x14ac:dyDescent="0.35">
      <c r="A674" s="48"/>
      <c r="B674" s="48"/>
      <c r="C674" s="121"/>
      <c r="D674" s="48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spans="1:26" ht="14.25" customHeight="1" x14ac:dyDescent="0.35">
      <c r="A675" s="48"/>
      <c r="B675" s="48"/>
      <c r="C675" s="121"/>
      <c r="D675" s="48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spans="1:26" ht="14.25" customHeight="1" x14ac:dyDescent="0.35">
      <c r="A676" s="48"/>
      <c r="B676" s="48"/>
      <c r="C676" s="121"/>
      <c r="D676" s="48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spans="1:26" ht="14.25" customHeight="1" x14ac:dyDescent="0.35">
      <c r="A677" s="48"/>
      <c r="B677" s="48"/>
      <c r="C677" s="121"/>
      <c r="D677" s="48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spans="1:26" ht="14.25" customHeight="1" x14ac:dyDescent="0.35">
      <c r="A678" s="48"/>
      <c r="B678" s="48"/>
      <c r="C678" s="121"/>
      <c r="D678" s="48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spans="1:26" ht="14.25" customHeight="1" x14ac:dyDescent="0.35">
      <c r="A679" s="48"/>
      <c r="B679" s="48"/>
      <c r="C679" s="121"/>
      <c r="D679" s="48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spans="1:26" ht="14.25" customHeight="1" x14ac:dyDescent="0.35">
      <c r="A680" s="48"/>
      <c r="B680" s="48"/>
      <c r="C680" s="121"/>
      <c r="D680" s="48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spans="1:26" ht="14.25" customHeight="1" x14ac:dyDescent="0.35">
      <c r="A681" s="48"/>
      <c r="B681" s="48"/>
      <c r="C681" s="121"/>
      <c r="D681" s="48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spans="1:26" ht="14.25" customHeight="1" x14ac:dyDescent="0.35">
      <c r="A682" s="48"/>
      <c r="B682" s="48"/>
      <c r="C682" s="121"/>
      <c r="D682" s="48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spans="1:26" ht="14.25" customHeight="1" x14ac:dyDescent="0.35">
      <c r="A683" s="48"/>
      <c r="B683" s="48"/>
      <c r="C683" s="121"/>
      <c r="D683" s="48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spans="1:26" ht="14.25" customHeight="1" x14ac:dyDescent="0.35">
      <c r="A684" s="48"/>
      <c r="B684" s="48"/>
      <c r="C684" s="121"/>
      <c r="D684" s="48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spans="1:26" ht="14.25" customHeight="1" x14ac:dyDescent="0.35">
      <c r="A685" s="48"/>
      <c r="B685" s="48"/>
      <c r="C685" s="121"/>
      <c r="D685" s="48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spans="1:26" ht="14.25" customHeight="1" x14ac:dyDescent="0.35">
      <c r="A686" s="48"/>
      <c r="B686" s="48"/>
      <c r="C686" s="121"/>
      <c r="D686" s="48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spans="1:26" ht="14.25" customHeight="1" x14ac:dyDescent="0.35">
      <c r="A687" s="48"/>
      <c r="B687" s="48"/>
      <c r="C687" s="121"/>
      <c r="D687" s="48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spans="1:26" ht="14.25" customHeight="1" x14ac:dyDescent="0.35">
      <c r="A688" s="48"/>
      <c r="B688" s="48"/>
      <c r="C688" s="121"/>
      <c r="D688" s="48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spans="1:26" ht="14.25" customHeight="1" x14ac:dyDescent="0.35">
      <c r="A689" s="48"/>
      <c r="B689" s="48"/>
      <c r="C689" s="121"/>
      <c r="D689" s="48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spans="1:26" ht="14.25" customHeight="1" x14ac:dyDescent="0.35">
      <c r="A690" s="48"/>
      <c r="B690" s="48"/>
      <c r="C690" s="121"/>
      <c r="D690" s="48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spans="1:26" ht="14.25" customHeight="1" x14ac:dyDescent="0.35">
      <c r="A691" s="48"/>
      <c r="B691" s="48"/>
      <c r="C691" s="121"/>
      <c r="D691" s="48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spans="1:26" ht="14.25" customHeight="1" x14ac:dyDescent="0.35">
      <c r="A692" s="48"/>
      <c r="B692" s="48"/>
      <c r="C692" s="121"/>
      <c r="D692" s="48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spans="1:26" ht="14.25" customHeight="1" x14ac:dyDescent="0.35">
      <c r="A693" s="48"/>
      <c r="B693" s="48"/>
      <c r="C693" s="121"/>
      <c r="D693" s="48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spans="1:26" ht="14.25" customHeight="1" x14ac:dyDescent="0.35">
      <c r="A694" s="48"/>
      <c r="B694" s="48"/>
      <c r="C694" s="121"/>
      <c r="D694" s="48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spans="1:26" ht="14.25" customHeight="1" x14ac:dyDescent="0.35">
      <c r="A695" s="48"/>
      <c r="B695" s="48"/>
      <c r="C695" s="121"/>
      <c r="D695" s="48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spans="1:26" ht="14.25" customHeight="1" x14ac:dyDescent="0.35">
      <c r="A696" s="48"/>
      <c r="B696" s="48"/>
      <c r="C696" s="121"/>
      <c r="D696" s="48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spans="1:26" ht="14.25" customHeight="1" x14ac:dyDescent="0.35">
      <c r="A697" s="48"/>
      <c r="B697" s="48"/>
      <c r="C697" s="121"/>
      <c r="D697" s="48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spans="1:26" ht="14.25" customHeight="1" x14ac:dyDescent="0.35">
      <c r="A698" s="48"/>
      <c r="B698" s="48"/>
      <c r="C698" s="121"/>
      <c r="D698" s="48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spans="1:26" ht="14.25" customHeight="1" x14ac:dyDescent="0.35">
      <c r="A699" s="48"/>
      <c r="B699" s="48"/>
      <c r="C699" s="121"/>
      <c r="D699" s="48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spans="1:26" ht="14.25" customHeight="1" x14ac:dyDescent="0.35">
      <c r="A700" s="48"/>
      <c r="B700" s="48"/>
      <c r="C700" s="121"/>
      <c r="D700" s="48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spans="1:26" ht="14.25" customHeight="1" x14ac:dyDescent="0.35">
      <c r="A701" s="48"/>
      <c r="B701" s="48"/>
      <c r="C701" s="121"/>
      <c r="D701" s="48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spans="1:26" ht="14.25" customHeight="1" x14ac:dyDescent="0.35">
      <c r="A702" s="48"/>
      <c r="B702" s="48"/>
      <c r="C702" s="121"/>
      <c r="D702" s="48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spans="1:26" ht="14.25" customHeight="1" x14ac:dyDescent="0.35">
      <c r="A703" s="48"/>
      <c r="B703" s="48"/>
      <c r="C703" s="121"/>
      <c r="D703" s="48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spans="1:26" ht="14.25" customHeight="1" x14ac:dyDescent="0.35">
      <c r="A704" s="48"/>
      <c r="B704" s="48"/>
      <c r="C704" s="121"/>
      <c r="D704" s="48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spans="1:26" ht="14.25" customHeight="1" x14ac:dyDescent="0.35">
      <c r="A705" s="48"/>
      <c r="B705" s="48"/>
      <c r="C705" s="121"/>
      <c r="D705" s="48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spans="1:26" ht="14.25" customHeight="1" x14ac:dyDescent="0.35">
      <c r="A706" s="48"/>
      <c r="B706" s="48"/>
      <c r="C706" s="121"/>
      <c r="D706" s="48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spans="1:26" ht="14.25" customHeight="1" x14ac:dyDescent="0.35">
      <c r="A707" s="48"/>
      <c r="B707" s="48"/>
      <c r="C707" s="121"/>
      <c r="D707" s="48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spans="1:26" ht="14.25" customHeight="1" x14ac:dyDescent="0.35">
      <c r="A708" s="48"/>
      <c r="B708" s="48"/>
      <c r="C708" s="121"/>
      <c r="D708" s="48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spans="1:26" ht="14.25" customHeight="1" x14ac:dyDescent="0.35">
      <c r="A709" s="48"/>
      <c r="B709" s="48"/>
      <c r="C709" s="121"/>
      <c r="D709" s="48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spans="1:26" ht="14.25" customHeight="1" x14ac:dyDescent="0.35">
      <c r="A710" s="48"/>
      <c r="B710" s="48"/>
      <c r="C710" s="121"/>
      <c r="D710" s="48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spans="1:26" ht="14.25" customHeight="1" x14ac:dyDescent="0.35">
      <c r="A711" s="48"/>
      <c r="B711" s="48"/>
      <c r="C711" s="121"/>
      <c r="D711" s="48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spans="1:26" ht="14.25" customHeight="1" x14ac:dyDescent="0.35">
      <c r="A712" s="48"/>
      <c r="B712" s="48"/>
      <c r="C712" s="121"/>
      <c r="D712" s="48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spans="1:26" ht="14.25" customHeight="1" x14ac:dyDescent="0.35">
      <c r="A713" s="48"/>
      <c r="B713" s="48"/>
      <c r="C713" s="121"/>
      <c r="D713" s="48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spans="1:26" ht="14.25" customHeight="1" x14ac:dyDescent="0.35">
      <c r="A714" s="48"/>
      <c r="B714" s="48"/>
      <c r="C714" s="121"/>
      <c r="D714" s="48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spans="1:26" ht="14.25" customHeight="1" x14ac:dyDescent="0.35">
      <c r="A715" s="48"/>
      <c r="B715" s="48"/>
      <c r="C715" s="121"/>
      <c r="D715" s="48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spans="1:26" ht="14.25" customHeight="1" x14ac:dyDescent="0.35">
      <c r="A716" s="48"/>
      <c r="B716" s="48"/>
      <c r="C716" s="121"/>
      <c r="D716" s="48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spans="1:26" ht="14.25" customHeight="1" x14ac:dyDescent="0.35">
      <c r="A717" s="48"/>
      <c r="B717" s="48"/>
      <c r="C717" s="121"/>
      <c r="D717" s="48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spans="1:26" ht="14.25" customHeight="1" x14ac:dyDescent="0.35">
      <c r="A718" s="48"/>
      <c r="B718" s="48"/>
      <c r="C718" s="121"/>
      <c r="D718" s="48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spans="1:26" ht="14.25" customHeight="1" x14ac:dyDescent="0.35">
      <c r="A719" s="48"/>
      <c r="B719" s="48"/>
      <c r="C719" s="121"/>
      <c r="D719" s="48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spans="1:26" ht="14.25" customHeight="1" x14ac:dyDescent="0.35">
      <c r="A720" s="48"/>
      <c r="B720" s="48"/>
      <c r="C720" s="121"/>
      <c r="D720" s="48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spans="1:26" ht="14.25" customHeight="1" x14ac:dyDescent="0.35">
      <c r="A721" s="48"/>
      <c r="B721" s="48"/>
      <c r="C721" s="121"/>
      <c r="D721" s="48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spans="1:26" ht="14.25" customHeight="1" x14ac:dyDescent="0.35">
      <c r="A722" s="48"/>
      <c r="B722" s="48"/>
      <c r="C722" s="121"/>
      <c r="D722" s="48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spans="1:26" ht="14.25" customHeight="1" x14ac:dyDescent="0.35">
      <c r="A723" s="48"/>
      <c r="B723" s="48"/>
      <c r="C723" s="121"/>
      <c r="D723" s="48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spans="1:26" ht="14.25" customHeight="1" x14ac:dyDescent="0.35">
      <c r="A724" s="48"/>
      <c r="B724" s="48"/>
      <c r="C724" s="121"/>
      <c r="D724" s="48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spans="1:26" ht="14.25" customHeight="1" x14ac:dyDescent="0.35">
      <c r="A725" s="48"/>
      <c r="B725" s="48"/>
      <c r="C725" s="121"/>
      <c r="D725" s="48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spans="1:26" ht="14.25" customHeight="1" x14ac:dyDescent="0.35">
      <c r="A726" s="48"/>
      <c r="B726" s="48"/>
      <c r="C726" s="121"/>
      <c r="D726" s="48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spans="1:26" ht="14.25" customHeight="1" x14ac:dyDescent="0.35">
      <c r="A727" s="48"/>
      <c r="B727" s="48"/>
      <c r="C727" s="121"/>
      <c r="D727" s="48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spans="1:26" ht="14.25" customHeight="1" x14ac:dyDescent="0.35">
      <c r="A728" s="48"/>
      <c r="B728" s="48"/>
      <c r="C728" s="121"/>
      <c r="D728" s="48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spans="1:26" ht="14.25" customHeight="1" x14ac:dyDescent="0.35">
      <c r="A729" s="48"/>
      <c r="B729" s="48"/>
      <c r="C729" s="121"/>
      <c r="D729" s="48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spans="1:26" ht="14.25" customHeight="1" x14ac:dyDescent="0.35">
      <c r="A730" s="48"/>
      <c r="B730" s="48"/>
      <c r="C730" s="121"/>
      <c r="D730" s="48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spans="1:26" ht="14.25" customHeight="1" x14ac:dyDescent="0.35">
      <c r="A731" s="48"/>
      <c r="B731" s="48"/>
      <c r="C731" s="121"/>
      <c r="D731" s="48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spans="1:26" ht="14.25" customHeight="1" x14ac:dyDescent="0.35">
      <c r="A732" s="48"/>
      <c r="B732" s="48"/>
      <c r="C732" s="121"/>
      <c r="D732" s="48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spans="1:26" ht="14.25" customHeight="1" x14ac:dyDescent="0.35">
      <c r="A733" s="48"/>
      <c r="B733" s="48"/>
      <c r="C733" s="121"/>
      <c r="D733" s="48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spans="1:26" ht="14.25" customHeight="1" x14ac:dyDescent="0.35">
      <c r="A734" s="48"/>
      <c r="B734" s="48"/>
      <c r="C734" s="121"/>
      <c r="D734" s="48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spans="1:26" ht="14.25" customHeight="1" x14ac:dyDescent="0.35">
      <c r="A735" s="48"/>
      <c r="B735" s="48"/>
      <c r="C735" s="121"/>
      <c r="D735" s="48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spans="1:26" ht="14.25" customHeight="1" x14ac:dyDescent="0.35">
      <c r="A736" s="48"/>
      <c r="B736" s="48"/>
      <c r="C736" s="121"/>
      <c r="D736" s="48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spans="1:26" ht="14.25" customHeight="1" x14ac:dyDescent="0.35">
      <c r="A737" s="48"/>
      <c r="B737" s="48"/>
      <c r="C737" s="121"/>
      <c r="D737" s="48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spans="1:26" ht="14.25" customHeight="1" x14ac:dyDescent="0.35">
      <c r="A738" s="48"/>
      <c r="B738" s="48"/>
      <c r="C738" s="121"/>
      <c r="D738" s="48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spans="1:26" ht="14.25" customHeight="1" x14ac:dyDescent="0.35">
      <c r="A739" s="48"/>
      <c r="B739" s="48"/>
      <c r="C739" s="121"/>
      <c r="D739" s="48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spans="1:26" ht="14.25" customHeight="1" x14ac:dyDescent="0.35">
      <c r="A740" s="48"/>
      <c r="B740" s="48"/>
      <c r="C740" s="121"/>
      <c r="D740" s="48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spans="1:26" ht="14.25" customHeight="1" x14ac:dyDescent="0.35">
      <c r="A741" s="48"/>
      <c r="B741" s="48"/>
      <c r="C741" s="121"/>
      <c r="D741" s="48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spans="1:26" ht="14.25" customHeight="1" x14ac:dyDescent="0.35">
      <c r="A742" s="48"/>
      <c r="B742" s="48"/>
      <c r="C742" s="121"/>
      <c r="D742" s="48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spans="1:26" ht="14.25" customHeight="1" x14ac:dyDescent="0.35">
      <c r="A743" s="48"/>
      <c r="B743" s="48"/>
      <c r="C743" s="121"/>
      <c r="D743" s="48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spans="1:26" ht="14.25" customHeight="1" x14ac:dyDescent="0.35">
      <c r="A744" s="48"/>
      <c r="B744" s="48"/>
      <c r="C744" s="121"/>
      <c r="D744" s="48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spans="1:26" ht="14.25" customHeight="1" x14ac:dyDescent="0.35">
      <c r="A745" s="48"/>
      <c r="B745" s="48"/>
      <c r="C745" s="121"/>
      <c r="D745" s="48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spans="1:26" ht="14.25" customHeight="1" x14ac:dyDescent="0.35">
      <c r="A746" s="48"/>
      <c r="B746" s="48"/>
      <c r="C746" s="121"/>
      <c r="D746" s="48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spans="1:26" ht="14.25" customHeight="1" x14ac:dyDescent="0.35">
      <c r="A747" s="48"/>
      <c r="B747" s="48"/>
      <c r="C747" s="121"/>
      <c r="D747" s="48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spans="1:26" ht="14.25" customHeight="1" x14ac:dyDescent="0.35">
      <c r="A748" s="48"/>
      <c r="B748" s="48"/>
      <c r="C748" s="121"/>
      <c r="D748" s="48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spans="1:26" ht="14.25" customHeight="1" x14ac:dyDescent="0.35">
      <c r="A749" s="48"/>
      <c r="B749" s="48"/>
      <c r="C749" s="121"/>
      <c r="D749" s="48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spans="1:26" ht="14.25" customHeight="1" x14ac:dyDescent="0.35">
      <c r="A750" s="48"/>
      <c r="B750" s="48"/>
      <c r="C750" s="121"/>
      <c r="D750" s="48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spans="1:26" ht="14.25" customHeight="1" x14ac:dyDescent="0.35">
      <c r="A751" s="48"/>
      <c r="B751" s="48"/>
      <c r="C751" s="121"/>
      <c r="D751" s="48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spans="1:26" ht="14.25" customHeight="1" x14ac:dyDescent="0.35">
      <c r="A752" s="48"/>
      <c r="B752" s="48"/>
      <c r="C752" s="121"/>
      <c r="D752" s="48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spans="1:26" ht="14.25" customHeight="1" x14ac:dyDescent="0.35">
      <c r="A753" s="48"/>
      <c r="B753" s="48"/>
      <c r="C753" s="121"/>
      <c r="D753" s="48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spans="1:26" ht="14.25" customHeight="1" x14ac:dyDescent="0.35">
      <c r="A754" s="48"/>
      <c r="B754" s="48"/>
      <c r="C754" s="121"/>
      <c r="D754" s="48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spans="1:26" ht="14.25" customHeight="1" x14ac:dyDescent="0.35">
      <c r="A755" s="48"/>
      <c r="B755" s="48"/>
      <c r="C755" s="121"/>
      <c r="D755" s="48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spans="1:26" ht="14.25" customHeight="1" x14ac:dyDescent="0.35">
      <c r="A756" s="48"/>
      <c r="B756" s="48"/>
      <c r="C756" s="121"/>
      <c r="D756" s="48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spans="1:26" ht="14.25" customHeight="1" x14ac:dyDescent="0.35">
      <c r="A757" s="48"/>
      <c r="B757" s="48"/>
      <c r="C757" s="121"/>
      <c r="D757" s="48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spans="1:26" ht="14.25" customHeight="1" x14ac:dyDescent="0.35">
      <c r="A758" s="48"/>
      <c r="B758" s="48"/>
      <c r="C758" s="121"/>
      <c r="D758" s="48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spans="1:26" ht="14.25" customHeight="1" x14ac:dyDescent="0.35">
      <c r="A759" s="48"/>
      <c r="B759" s="48"/>
      <c r="C759" s="121"/>
      <c r="D759" s="48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spans="1:26" ht="14.25" customHeight="1" x14ac:dyDescent="0.35">
      <c r="A760" s="48"/>
      <c r="B760" s="48"/>
      <c r="C760" s="121"/>
      <c r="D760" s="48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spans="1:26" ht="14.25" customHeight="1" x14ac:dyDescent="0.35">
      <c r="A761" s="48"/>
      <c r="B761" s="48"/>
      <c r="C761" s="121"/>
      <c r="D761" s="48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spans="1:26" ht="14.25" customHeight="1" x14ac:dyDescent="0.35">
      <c r="A762" s="48"/>
      <c r="B762" s="48"/>
      <c r="C762" s="121"/>
      <c r="D762" s="48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spans="1:26" ht="14.25" customHeight="1" x14ac:dyDescent="0.35">
      <c r="A763" s="48"/>
      <c r="B763" s="48"/>
      <c r="C763" s="121"/>
      <c r="D763" s="48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spans="1:26" ht="14.25" customHeight="1" x14ac:dyDescent="0.35">
      <c r="A764" s="48"/>
      <c r="B764" s="48"/>
      <c r="C764" s="121"/>
      <c r="D764" s="48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spans="1:26" ht="14.25" customHeight="1" x14ac:dyDescent="0.35">
      <c r="A765" s="48"/>
      <c r="B765" s="48"/>
      <c r="C765" s="121"/>
      <c r="D765" s="48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spans="1:26" ht="14.25" customHeight="1" x14ac:dyDescent="0.35">
      <c r="A766" s="48"/>
      <c r="B766" s="48"/>
      <c r="C766" s="121"/>
      <c r="D766" s="48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spans="1:26" ht="14.25" customHeight="1" x14ac:dyDescent="0.35">
      <c r="A767" s="48"/>
      <c r="B767" s="48"/>
      <c r="C767" s="121"/>
      <c r="D767" s="48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spans="1:26" ht="14.25" customHeight="1" x14ac:dyDescent="0.35">
      <c r="A768" s="48"/>
      <c r="B768" s="48"/>
      <c r="C768" s="121"/>
      <c r="D768" s="48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spans="1:26" ht="14.25" customHeight="1" x14ac:dyDescent="0.35">
      <c r="A769" s="48"/>
      <c r="B769" s="48"/>
      <c r="C769" s="121"/>
      <c r="D769" s="48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spans="1:26" ht="14.25" customHeight="1" x14ac:dyDescent="0.35">
      <c r="A770" s="48"/>
      <c r="B770" s="48"/>
      <c r="C770" s="121"/>
      <c r="D770" s="48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spans="1:26" ht="14.25" customHeight="1" x14ac:dyDescent="0.35">
      <c r="A771" s="48"/>
      <c r="B771" s="48"/>
      <c r="C771" s="121"/>
      <c r="D771" s="48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spans="1:26" ht="14.25" customHeight="1" x14ac:dyDescent="0.35">
      <c r="A772" s="48"/>
      <c r="B772" s="48"/>
      <c r="C772" s="121"/>
      <c r="D772" s="48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spans="1:26" ht="14.25" customHeight="1" x14ac:dyDescent="0.35">
      <c r="A773" s="48"/>
      <c r="B773" s="48"/>
      <c r="C773" s="121"/>
      <c r="D773" s="48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spans="1:26" ht="14.25" customHeight="1" x14ac:dyDescent="0.35">
      <c r="A774" s="48"/>
      <c r="B774" s="48"/>
      <c r="C774" s="121"/>
      <c r="D774" s="48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spans="1:26" ht="14.25" customHeight="1" x14ac:dyDescent="0.35">
      <c r="A775" s="48"/>
      <c r="B775" s="48"/>
      <c r="C775" s="121"/>
      <c r="D775" s="48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spans="1:26" ht="14.25" customHeight="1" x14ac:dyDescent="0.35">
      <c r="A776" s="48"/>
      <c r="B776" s="48"/>
      <c r="C776" s="121"/>
      <c r="D776" s="48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spans="1:26" ht="14.25" customHeight="1" x14ac:dyDescent="0.35">
      <c r="A777" s="48"/>
      <c r="B777" s="48"/>
      <c r="C777" s="121"/>
      <c r="D777" s="48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spans="1:26" ht="14.25" customHeight="1" x14ac:dyDescent="0.35">
      <c r="A778" s="48"/>
      <c r="B778" s="48"/>
      <c r="C778" s="121"/>
      <c r="D778" s="48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spans="1:26" ht="14.25" customHeight="1" x14ac:dyDescent="0.35">
      <c r="A779" s="48"/>
      <c r="B779" s="48"/>
      <c r="C779" s="121"/>
      <c r="D779" s="48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spans="1:26" ht="14.25" customHeight="1" x14ac:dyDescent="0.35">
      <c r="A780" s="48"/>
      <c r="B780" s="48"/>
      <c r="C780" s="121"/>
      <c r="D780" s="48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spans="1:26" ht="14.25" customHeight="1" x14ac:dyDescent="0.35">
      <c r="A781" s="48"/>
      <c r="B781" s="48"/>
      <c r="C781" s="121"/>
      <c r="D781" s="48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spans="1:26" ht="14.25" customHeight="1" x14ac:dyDescent="0.35">
      <c r="A782" s="48"/>
      <c r="B782" s="48"/>
      <c r="C782" s="121"/>
      <c r="D782" s="48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spans="1:26" ht="14.25" customHeight="1" x14ac:dyDescent="0.35">
      <c r="A783" s="48"/>
      <c r="B783" s="48"/>
      <c r="C783" s="121"/>
      <c r="D783" s="48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spans="1:26" ht="14.25" customHeight="1" x14ac:dyDescent="0.35">
      <c r="A784" s="48"/>
      <c r="B784" s="48"/>
      <c r="C784" s="121"/>
      <c r="D784" s="48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spans="1:26" ht="14.25" customHeight="1" x14ac:dyDescent="0.35">
      <c r="A785" s="48"/>
      <c r="B785" s="48"/>
      <c r="C785" s="121"/>
      <c r="D785" s="48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spans="1:26" ht="14.25" customHeight="1" x14ac:dyDescent="0.35">
      <c r="A786" s="48"/>
      <c r="B786" s="48"/>
      <c r="C786" s="121"/>
      <c r="D786" s="48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spans="1:26" ht="14.25" customHeight="1" x14ac:dyDescent="0.35">
      <c r="A787" s="48"/>
      <c r="B787" s="48"/>
      <c r="C787" s="121"/>
      <c r="D787" s="48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spans="1:26" ht="14.25" customHeight="1" x14ac:dyDescent="0.35">
      <c r="A788" s="48"/>
      <c r="B788" s="48"/>
      <c r="C788" s="121"/>
      <c r="D788" s="48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spans="1:26" ht="14.25" customHeight="1" x14ac:dyDescent="0.35">
      <c r="A789" s="48"/>
      <c r="B789" s="48"/>
      <c r="C789" s="121"/>
      <c r="D789" s="48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spans="1:26" ht="14.25" customHeight="1" x14ac:dyDescent="0.35">
      <c r="A790" s="48"/>
      <c r="B790" s="48"/>
      <c r="C790" s="121"/>
      <c r="D790" s="48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spans="1:26" ht="14.25" customHeight="1" x14ac:dyDescent="0.35">
      <c r="A791" s="48"/>
      <c r="B791" s="48"/>
      <c r="C791" s="121"/>
      <c r="D791" s="48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spans="1:26" ht="14.25" customHeight="1" x14ac:dyDescent="0.35">
      <c r="A792" s="48"/>
      <c r="B792" s="48"/>
      <c r="C792" s="121"/>
      <c r="D792" s="48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spans="1:26" ht="14.25" customHeight="1" x14ac:dyDescent="0.35">
      <c r="A793" s="48"/>
      <c r="B793" s="48"/>
      <c r="C793" s="121"/>
      <c r="D793" s="48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spans="1:26" ht="14.25" customHeight="1" x14ac:dyDescent="0.35">
      <c r="A794" s="48"/>
      <c r="B794" s="48"/>
      <c r="C794" s="121"/>
      <c r="D794" s="48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spans="1:26" ht="14.25" customHeight="1" x14ac:dyDescent="0.35">
      <c r="A795" s="48"/>
      <c r="B795" s="48"/>
      <c r="C795" s="121"/>
      <c r="D795" s="48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spans="1:26" ht="14.25" customHeight="1" x14ac:dyDescent="0.35">
      <c r="A796" s="48"/>
      <c r="B796" s="48"/>
      <c r="C796" s="121"/>
      <c r="D796" s="48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spans="1:26" ht="14.25" customHeight="1" x14ac:dyDescent="0.35">
      <c r="A797" s="48"/>
      <c r="B797" s="48"/>
      <c r="C797" s="121"/>
      <c r="D797" s="48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spans="1:26" ht="14.25" customHeight="1" x14ac:dyDescent="0.35">
      <c r="A798" s="48"/>
      <c r="B798" s="48"/>
      <c r="C798" s="121"/>
      <c r="D798" s="48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spans="1:26" ht="14.25" customHeight="1" x14ac:dyDescent="0.35">
      <c r="A799" s="48"/>
      <c r="B799" s="48"/>
      <c r="C799" s="121"/>
      <c r="D799" s="48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spans="1:26" ht="14.25" customHeight="1" x14ac:dyDescent="0.35">
      <c r="A800" s="48"/>
      <c r="B800" s="48"/>
      <c r="C800" s="121"/>
      <c r="D800" s="48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spans="1:26" ht="14.25" customHeight="1" x14ac:dyDescent="0.35">
      <c r="A801" s="48"/>
      <c r="B801" s="48"/>
      <c r="C801" s="121"/>
      <c r="D801" s="48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spans="1:26" ht="14.25" customHeight="1" x14ac:dyDescent="0.35">
      <c r="A802" s="48"/>
      <c r="B802" s="48"/>
      <c r="C802" s="121"/>
      <c r="D802" s="48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spans="1:26" ht="14.25" customHeight="1" x14ac:dyDescent="0.35">
      <c r="A803" s="48"/>
      <c r="B803" s="48"/>
      <c r="C803" s="121"/>
      <c r="D803" s="48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spans="1:26" ht="14.25" customHeight="1" x14ac:dyDescent="0.35">
      <c r="A804" s="48"/>
      <c r="B804" s="48"/>
      <c r="C804" s="121"/>
      <c r="D804" s="48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spans="1:26" ht="14.25" customHeight="1" x14ac:dyDescent="0.35">
      <c r="A805" s="48"/>
      <c r="B805" s="48"/>
      <c r="C805" s="121"/>
      <c r="D805" s="48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spans="1:26" ht="14.25" customHeight="1" x14ac:dyDescent="0.35">
      <c r="A806" s="48"/>
      <c r="B806" s="48"/>
      <c r="C806" s="121"/>
      <c r="D806" s="48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spans="1:26" ht="14.25" customHeight="1" x14ac:dyDescent="0.35">
      <c r="A807" s="48"/>
      <c r="B807" s="48"/>
      <c r="C807" s="121"/>
      <c r="D807" s="48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spans="1:26" ht="14.25" customHeight="1" x14ac:dyDescent="0.35">
      <c r="A808" s="48"/>
      <c r="B808" s="48"/>
      <c r="C808" s="121"/>
      <c r="D808" s="48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spans="1:26" ht="14.25" customHeight="1" x14ac:dyDescent="0.35">
      <c r="A809" s="48"/>
      <c r="B809" s="48"/>
      <c r="C809" s="121"/>
      <c r="D809" s="48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spans="1:26" ht="14.25" customHeight="1" x14ac:dyDescent="0.35">
      <c r="A810" s="48"/>
      <c r="B810" s="48"/>
      <c r="C810" s="121"/>
      <c r="D810" s="48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spans="1:26" ht="14.25" customHeight="1" x14ac:dyDescent="0.35">
      <c r="A811" s="48"/>
      <c r="B811" s="48"/>
      <c r="C811" s="121"/>
      <c r="D811" s="48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spans="1:26" ht="14.25" customHeight="1" x14ac:dyDescent="0.35">
      <c r="A812" s="48"/>
      <c r="B812" s="48"/>
      <c r="C812" s="121"/>
      <c r="D812" s="48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spans="1:26" ht="14.25" customHeight="1" x14ac:dyDescent="0.35">
      <c r="A813" s="48"/>
      <c r="B813" s="48"/>
      <c r="C813" s="121"/>
      <c r="D813" s="48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spans="1:26" ht="14.25" customHeight="1" x14ac:dyDescent="0.35">
      <c r="A814" s="48"/>
      <c r="B814" s="48"/>
      <c r="C814" s="121"/>
      <c r="D814" s="48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spans="1:26" ht="14.25" customHeight="1" x14ac:dyDescent="0.35">
      <c r="A815" s="48"/>
      <c r="B815" s="48"/>
      <c r="C815" s="121"/>
      <c r="D815" s="48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spans="1:26" ht="14.25" customHeight="1" x14ac:dyDescent="0.35">
      <c r="A816" s="48"/>
      <c r="B816" s="48"/>
      <c r="C816" s="121"/>
      <c r="D816" s="48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spans="1:26" ht="14.25" customHeight="1" x14ac:dyDescent="0.35">
      <c r="A817" s="48"/>
      <c r="B817" s="48"/>
      <c r="C817" s="121"/>
      <c r="D817" s="48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spans="1:26" ht="14.25" customHeight="1" x14ac:dyDescent="0.35">
      <c r="A818" s="48"/>
      <c r="B818" s="48"/>
      <c r="C818" s="121"/>
      <c r="D818" s="48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spans="1:26" ht="14.25" customHeight="1" x14ac:dyDescent="0.35">
      <c r="A819" s="48"/>
      <c r="B819" s="48"/>
      <c r="C819" s="121"/>
      <c r="D819" s="48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spans="1:26" ht="14.25" customHeight="1" x14ac:dyDescent="0.35">
      <c r="A820" s="48"/>
      <c r="B820" s="48"/>
      <c r="C820" s="121"/>
      <c r="D820" s="48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spans="1:26" ht="14.25" customHeight="1" x14ac:dyDescent="0.35">
      <c r="A821" s="48"/>
      <c r="B821" s="48"/>
      <c r="C821" s="121"/>
      <c r="D821" s="48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spans="1:26" ht="14.25" customHeight="1" x14ac:dyDescent="0.35">
      <c r="A822" s="48"/>
      <c r="B822" s="48"/>
      <c r="C822" s="121"/>
      <c r="D822" s="48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spans="1:26" ht="14.25" customHeight="1" x14ac:dyDescent="0.35">
      <c r="A823" s="48"/>
      <c r="B823" s="48"/>
      <c r="C823" s="121"/>
      <c r="D823" s="48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spans="1:26" ht="14.25" customHeight="1" x14ac:dyDescent="0.35">
      <c r="A824" s="48"/>
      <c r="B824" s="48"/>
      <c r="C824" s="121"/>
      <c r="D824" s="48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spans="1:26" ht="14.25" customHeight="1" x14ac:dyDescent="0.35">
      <c r="A825" s="48"/>
      <c r="B825" s="48"/>
      <c r="C825" s="121"/>
      <c r="D825" s="48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spans="1:26" ht="14.25" customHeight="1" x14ac:dyDescent="0.35">
      <c r="A826" s="48"/>
      <c r="B826" s="48"/>
      <c r="C826" s="121"/>
      <c r="D826" s="48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spans="1:26" ht="14.25" customHeight="1" x14ac:dyDescent="0.35">
      <c r="A827" s="48"/>
      <c r="B827" s="48"/>
      <c r="C827" s="121"/>
      <c r="D827" s="48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spans="1:26" ht="14.25" customHeight="1" x14ac:dyDescent="0.35">
      <c r="A828" s="48"/>
      <c r="B828" s="48"/>
      <c r="C828" s="121"/>
      <c r="D828" s="48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spans="1:26" ht="14.25" customHeight="1" x14ac:dyDescent="0.35">
      <c r="A829" s="48"/>
      <c r="B829" s="48"/>
      <c r="C829" s="121"/>
      <c r="D829" s="48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spans="1:26" ht="14.25" customHeight="1" x14ac:dyDescent="0.35">
      <c r="A830" s="48"/>
      <c r="B830" s="48"/>
      <c r="C830" s="121"/>
      <c r="D830" s="48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spans="1:26" ht="14.25" customHeight="1" x14ac:dyDescent="0.35">
      <c r="A831" s="48"/>
      <c r="B831" s="48"/>
      <c r="C831" s="121"/>
      <c r="D831" s="48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spans="1:26" ht="14.25" customHeight="1" x14ac:dyDescent="0.35">
      <c r="A832" s="48"/>
      <c r="B832" s="48"/>
      <c r="C832" s="121"/>
      <c r="D832" s="48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spans="1:26" ht="14.25" customHeight="1" x14ac:dyDescent="0.35">
      <c r="A833" s="48"/>
      <c r="B833" s="48"/>
      <c r="C833" s="121"/>
      <c r="D833" s="48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spans="1:26" ht="14.25" customHeight="1" x14ac:dyDescent="0.35">
      <c r="A834" s="48"/>
      <c r="B834" s="48"/>
      <c r="C834" s="121"/>
      <c r="D834" s="48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spans="1:26" ht="14.25" customHeight="1" x14ac:dyDescent="0.35">
      <c r="A835" s="48"/>
      <c r="B835" s="48"/>
      <c r="C835" s="121"/>
      <c r="D835" s="48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spans="1:26" ht="14.25" customHeight="1" x14ac:dyDescent="0.35">
      <c r="A836" s="48"/>
      <c r="B836" s="48"/>
      <c r="C836" s="121"/>
      <c r="D836" s="48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spans="1:26" ht="14.25" customHeight="1" x14ac:dyDescent="0.35">
      <c r="A837" s="48"/>
      <c r="B837" s="48"/>
      <c r="C837" s="121"/>
      <c r="D837" s="48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spans="1:26" ht="14.25" customHeight="1" x14ac:dyDescent="0.35">
      <c r="A838" s="48"/>
      <c r="B838" s="48"/>
      <c r="C838" s="121"/>
      <c r="D838" s="48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spans="1:26" ht="14.25" customHeight="1" x14ac:dyDescent="0.35">
      <c r="A839" s="48"/>
      <c r="B839" s="48"/>
      <c r="C839" s="121"/>
      <c r="D839" s="48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spans="1:26" ht="14.25" customHeight="1" x14ac:dyDescent="0.35">
      <c r="A840" s="48"/>
      <c r="B840" s="48"/>
      <c r="C840" s="121"/>
      <c r="D840" s="48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spans="1:26" ht="14.25" customHeight="1" x14ac:dyDescent="0.35">
      <c r="A841" s="48"/>
      <c r="B841" s="48"/>
      <c r="C841" s="121"/>
      <c r="D841" s="48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spans="1:26" ht="14.25" customHeight="1" x14ac:dyDescent="0.35">
      <c r="A842" s="48"/>
      <c r="B842" s="48"/>
      <c r="C842" s="121"/>
      <c r="D842" s="48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spans="1:26" ht="14.25" customHeight="1" x14ac:dyDescent="0.35">
      <c r="A843" s="48"/>
      <c r="B843" s="48"/>
      <c r="C843" s="121"/>
      <c r="D843" s="48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spans="1:26" ht="14.25" customHeight="1" x14ac:dyDescent="0.35">
      <c r="A844" s="48"/>
      <c r="B844" s="48"/>
      <c r="C844" s="121"/>
      <c r="D844" s="48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spans="1:26" ht="14.25" customHeight="1" x14ac:dyDescent="0.35">
      <c r="A845" s="48"/>
      <c r="B845" s="48"/>
      <c r="C845" s="121"/>
      <c r="D845" s="48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spans="1:26" ht="14.25" customHeight="1" x14ac:dyDescent="0.35">
      <c r="A846" s="48"/>
      <c r="B846" s="48"/>
      <c r="C846" s="121"/>
      <c r="D846" s="48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spans="1:26" ht="14.25" customHeight="1" x14ac:dyDescent="0.35">
      <c r="A847" s="48"/>
      <c r="B847" s="48"/>
      <c r="C847" s="121"/>
      <c r="D847" s="48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spans="1:26" ht="14.25" customHeight="1" x14ac:dyDescent="0.35">
      <c r="A848" s="48"/>
      <c r="B848" s="48"/>
      <c r="C848" s="121"/>
      <c r="D848" s="48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spans="1:26" ht="14.25" customHeight="1" x14ac:dyDescent="0.35">
      <c r="A849" s="48"/>
      <c r="B849" s="48"/>
      <c r="C849" s="121"/>
      <c r="D849" s="48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spans="1:26" ht="14.25" customHeight="1" x14ac:dyDescent="0.35">
      <c r="A850" s="48"/>
      <c r="B850" s="48"/>
      <c r="C850" s="121"/>
      <c r="D850" s="48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spans="1:26" ht="14.25" customHeight="1" x14ac:dyDescent="0.35">
      <c r="A851" s="48"/>
      <c r="B851" s="48"/>
      <c r="C851" s="121"/>
      <c r="D851" s="48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spans="1:26" ht="14.25" customHeight="1" x14ac:dyDescent="0.35">
      <c r="A852" s="48"/>
      <c r="B852" s="48"/>
      <c r="C852" s="121"/>
      <c r="D852" s="48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spans="1:26" ht="14.25" customHeight="1" x14ac:dyDescent="0.35">
      <c r="A853" s="48"/>
      <c r="B853" s="48"/>
      <c r="C853" s="121"/>
      <c r="D853" s="48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spans="1:26" ht="14.25" customHeight="1" x14ac:dyDescent="0.35">
      <c r="A854" s="48"/>
      <c r="B854" s="48"/>
      <c r="C854" s="121"/>
      <c r="D854" s="48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spans="1:26" ht="14.25" customHeight="1" x14ac:dyDescent="0.35">
      <c r="A855" s="48"/>
      <c r="B855" s="48"/>
      <c r="C855" s="121"/>
      <c r="D855" s="48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spans="1:26" ht="14.25" customHeight="1" x14ac:dyDescent="0.35">
      <c r="A856" s="48"/>
      <c r="B856" s="48"/>
      <c r="C856" s="121"/>
      <c r="D856" s="48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spans="1:26" ht="14.25" customHeight="1" x14ac:dyDescent="0.35">
      <c r="A857" s="48"/>
      <c r="B857" s="48"/>
      <c r="C857" s="121"/>
      <c r="D857" s="48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spans="1:26" ht="14.25" customHeight="1" x14ac:dyDescent="0.35">
      <c r="A858" s="48"/>
      <c r="B858" s="48"/>
      <c r="C858" s="121"/>
      <c r="D858" s="48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spans="1:26" ht="14.25" customHeight="1" x14ac:dyDescent="0.35">
      <c r="A859" s="48"/>
      <c r="B859" s="48"/>
      <c r="C859" s="121"/>
      <c r="D859" s="48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spans="1:26" ht="14.25" customHeight="1" x14ac:dyDescent="0.35">
      <c r="A860" s="48"/>
      <c r="B860" s="48"/>
      <c r="C860" s="121"/>
      <c r="D860" s="48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spans="1:26" ht="14.25" customHeight="1" x14ac:dyDescent="0.35">
      <c r="A861" s="48"/>
      <c r="B861" s="48"/>
      <c r="C861" s="121"/>
      <c r="D861" s="48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spans="1:26" ht="14.25" customHeight="1" x14ac:dyDescent="0.35">
      <c r="A862" s="48"/>
      <c r="B862" s="48"/>
      <c r="C862" s="121"/>
      <c r="D862" s="48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spans="1:26" ht="14.25" customHeight="1" x14ac:dyDescent="0.35">
      <c r="A863" s="48"/>
      <c r="B863" s="48"/>
      <c r="C863" s="121"/>
      <c r="D863" s="48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spans="1:26" ht="14.25" customHeight="1" x14ac:dyDescent="0.35">
      <c r="A864" s="48"/>
      <c r="B864" s="48"/>
      <c r="C864" s="121"/>
      <c r="D864" s="48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spans="1:26" ht="14.25" customHeight="1" x14ac:dyDescent="0.35">
      <c r="A865" s="48"/>
      <c r="B865" s="48"/>
      <c r="C865" s="121"/>
      <c r="D865" s="48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spans="1:26" ht="14.25" customHeight="1" x14ac:dyDescent="0.35">
      <c r="A866" s="48"/>
      <c r="B866" s="48"/>
      <c r="C866" s="121"/>
      <c r="D866" s="48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spans="1:26" ht="14.25" customHeight="1" x14ac:dyDescent="0.35">
      <c r="A867" s="48"/>
      <c r="B867" s="48"/>
      <c r="C867" s="121"/>
      <c r="D867" s="48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spans="1:26" ht="14.25" customHeight="1" x14ac:dyDescent="0.35">
      <c r="A868" s="48"/>
      <c r="B868" s="48"/>
      <c r="C868" s="121"/>
      <c r="D868" s="48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spans="1:26" ht="14.25" customHeight="1" x14ac:dyDescent="0.35">
      <c r="A869" s="48"/>
      <c r="B869" s="48"/>
      <c r="C869" s="121"/>
      <c r="D869" s="48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spans="1:26" ht="14.25" customHeight="1" x14ac:dyDescent="0.35">
      <c r="A870" s="48"/>
      <c r="B870" s="48"/>
      <c r="C870" s="121"/>
      <c r="D870" s="48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spans="1:26" ht="14.25" customHeight="1" x14ac:dyDescent="0.35">
      <c r="A871" s="48"/>
      <c r="B871" s="48"/>
      <c r="C871" s="121"/>
      <c r="D871" s="48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spans="1:26" ht="14.25" customHeight="1" x14ac:dyDescent="0.35">
      <c r="A872" s="48"/>
      <c r="B872" s="48"/>
      <c r="C872" s="121"/>
      <c r="D872" s="48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spans="1:26" ht="14.25" customHeight="1" x14ac:dyDescent="0.35">
      <c r="A873" s="48"/>
      <c r="B873" s="48"/>
      <c r="C873" s="121"/>
      <c r="D873" s="48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spans="1:26" ht="14.25" customHeight="1" x14ac:dyDescent="0.35">
      <c r="A874" s="48"/>
      <c r="B874" s="48"/>
      <c r="C874" s="121"/>
      <c r="D874" s="48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spans="1:26" ht="14.25" customHeight="1" x14ac:dyDescent="0.35">
      <c r="A875" s="48"/>
      <c r="B875" s="48"/>
      <c r="C875" s="121"/>
      <c r="D875" s="48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spans="1:26" ht="14.25" customHeight="1" x14ac:dyDescent="0.35">
      <c r="A876" s="48"/>
      <c r="B876" s="48"/>
      <c r="C876" s="121"/>
      <c r="D876" s="48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spans="1:26" ht="14.25" customHeight="1" x14ac:dyDescent="0.35">
      <c r="A877" s="48"/>
      <c r="B877" s="48"/>
      <c r="C877" s="121"/>
      <c r="D877" s="48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spans="1:26" ht="14.25" customHeight="1" x14ac:dyDescent="0.35">
      <c r="A878" s="48"/>
      <c r="B878" s="48"/>
      <c r="C878" s="121"/>
      <c r="D878" s="48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spans="1:26" ht="14.25" customHeight="1" x14ac:dyDescent="0.35">
      <c r="A879" s="48"/>
      <c r="B879" s="48"/>
      <c r="C879" s="121"/>
      <c r="D879" s="48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spans="1:26" ht="14.25" customHeight="1" x14ac:dyDescent="0.35">
      <c r="A880" s="48"/>
      <c r="B880" s="48"/>
      <c r="C880" s="121"/>
      <c r="D880" s="48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spans="1:26" ht="14.25" customHeight="1" x14ac:dyDescent="0.35">
      <c r="A881" s="48"/>
      <c r="B881" s="48"/>
      <c r="C881" s="121"/>
      <c r="D881" s="48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spans="1:26" ht="14.25" customHeight="1" x14ac:dyDescent="0.35">
      <c r="A882" s="48"/>
      <c r="B882" s="48"/>
      <c r="C882" s="121"/>
      <c r="D882" s="48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spans="1:26" ht="14.25" customHeight="1" x14ac:dyDescent="0.35">
      <c r="A883" s="48"/>
      <c r="B883" s="48"/>
      <c r="C883" s="121"/>
      <c r="D883" s="48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spans="1:26" ht="14.25" customHeight="1" x14ac:dyDescent="0.35">
      <c r="A884" s="48"/>
      <c r="B884" s="48"/>
      <c r="C884" s="121"/>
      <c r="D884" s="48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spans="1:26" ht="14.25" customHeight="1" x14ac:dyDescent="0.35">
      <c r="A885" s="48"/>
      <c r="B885" s="48"/>
      <c r="C885" s="121"/>
      <c r="D885" s="48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spans="1:26" ht="14.25" customHeight="1" x14ac:dyDescent="0.35">
      <c r="A886" s="48"/>
      <c r="B886" s="48"/>
      <c r="C886" s="121"/>
      <c r="D886" s="48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spans="1:26" ht="14.25" customHeight="1" x14ac:dyDescent="0.35">
      <c r="A887" s="48"/>
      <c r="B887" s="48"/>
      <c r="C887" s="121"/>
      <c r="D887" s="48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spans="1:26" ht="14.25" customHeight="1" x14ac:dyDescent="0.35">
      <c r="A888" s="48"/>
      <c r="B888" s="48"/>
      <c r="C888" s="121"/>
      <c r="D888" s="48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spans="1:26" ht="14.25" customHeight="1" x14ac:dyDescent="0.35">
      <c r="A889" s="48"/>
      <c r="B889" s="48"/>
      <c r="C889" s="121"/>
      <c r="D889" s="48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spans="1:26" ht="14.25" customHeight="1" x14ac:dyDescent="0.35">
      <c r="A890" s="48"/>
      <c r="B890" s="48"/>
      <c r="C890" s="121"/>
      <c r="D890" s="48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spans="1:26" ht="14.25" customHeight="1" x14ac:dyDescent="0.35">
      <c r="A891" s="48"/>
      <c r="B891" s="48"/>
      <c r="C891" s="121"/>
      <c r="D891" s="48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spans="1:26" ht="14.25" customHeight="1" x14ac:dyDescent="0.35">
      <c r="A892" s="48"/>
      <c r="B892" s="48"/>
      <c r="C892" s="121"/>
      <c r="D892" s="48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spans="1:26" ht="14.25" customHeight="1" x14ac:dyDescent="0.35">
      <c r="A893" s="48"/>
      <c r="B893" s="48"/>
      <c r="C893" s="121"/>
      <c r="D893" s="48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spans="1:26" ht="14.25" customHeight="1" x14ac:dyDescent="0.35">
      <c r="A894" s="48"/>
      <c r="B894" s="48"/>
      <c r="C894" s="121"/>
      <c r="D894" s="48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spans="1:26" ht="14.25" customHeight="1" x14ac:dyDescent="0.35">
      <c r="A895" s="48"/>
      <c r="B895" s="48"/>
      <c r="C895" s="121"/>
      <c r="D895" s="48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spans="1:26" ht="14.25" customHeight="1" x14ac:dyDescent="0.35">
      <c r="A896" s="48"/>
      <c r="B896" s="48"/>
      <c r="C896" s="121"/>
      <c r="D896" s="48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spans="1:26" ht="14.25" customHeight="1" x14ac:dyDescent="0.35">
      <c r="A897" s="48"/>
      <c r="B897" s="48"/>
      <c r="C897" s="121"/>
      <c r="D897" s="48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spans="1:26" ht="14.25" customHeight="1" x14ac:dyDescent="0.35">
      <c r="A898" s="48"/>
      <c r="B898" s="48"/>
      <c r="C898" s="121"/>
      <c r="D898" s="48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spans="1:26" ht="14.25" customHeight="1" x14ac:dyDescent="0.35">
      <c r="A899" s="48"/>
      <c r="B899" s="48"/>
      <c r="C899" s="121"/>
      <c r="D899" s="48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spans="1:26" ht="14.25" customHeight="1" x14ac:dyDescent="0.35">
      <c r="A900" s="48"/>
      <c r="B900" s="48"/>
      <c r="C900" s="121"/>
      <c r="D900" s="48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spans="1:26" ht="14.25" customHeight="1" x14ac:dyDescent="0.35">
      <c r="A901" s="48"/>
      <c r="B901" s="48"/>
      <c r="C901" s="121"/>
      <c r="D901" s="48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spans="1:26" ht="14.25" customHeight="1" x14ac:dyDescent="0.35">
      <c r="A902" s="48"/>
      <c r="B902" s="48"/>
      <c r="C902" s="121"/>
      <c r="D902" s="48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spans="1:26" ht="14.25" customHeight="1" x14ac:dyDescent="0.35">
      <c r="A903" s="48"/>
      <c r="B903" s="48"/>
      <c r="C903" s="121"/>
      <c r="D903" s="48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spans="1:26" ht="14.25" customHeight="1" x14ac:dyDescent="0.35">
      <c r="A904" s="48"/>
      <c r="B904" s="48"/>
      <c r="C904" s="121"/>
      <c r="D904" s="48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spans="1:26" ht="14.25" customHeight="1" x14ac:dyDescent="0.35">
      <c r="A905" s="48"/>
      <c r="B905" s="48"/>
      <c r="C905" s="121"/>
      <c r="D905" s="48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spans="1:26" ht="14.25" customHeight="1" x14ac:dyDescent="0.35">
      <c r="A906" s="48"/>
      <c r="B906" s="48"/>
      <c r="C906" s="121"/>
      <c r="D906" s="48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spans="1:26" ht="14.25" customHeight="1" x14ac:dyDescent="0.35">
      <c r="A907" s="48"/>
      <c r="B907" s="48"/>
      <c r="C907" s="121"/>
      <c r="D907" s="48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spans="1:26" ht="14.25" customHeight="1" x14ac:dyDescent="0.35">
      <c r="A908" s="48"/>
      <c r="B908" s="48"/>
      <c r="C908" s="121"/>
      <c r="D908" s="48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spans="1:26" ht="14.25" customHeight="1" x14ac:dyDescent="0.35">
      <c r="A909" s="48"/>
      <c r="B909" s="48"/>
      <c r="C909" s="121"/>
      <c r="D909" s="48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spans="1:26" ht="14.25" customHeight="1" x14ac:dyDescent="0.35">
      <c r="A910" s="48"/>
      <c r="B910" s="48"/>
      <c r="C910" s="121"/>
      <c r="D910" s="48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spans="1:26" ht="14.25" customHeight="1" x14ac:dyDescent="0.35">
      <c r="A911" s="48"/>
      <c r="B911" s="48"/>
      <c r="C911" s="121"/>
      <c r="D911" s="48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spans="1:26" ht="14.25" customHeight="1" x14ac:dyDescent="0.35">
      <c r="A912" s="48"/>
      <c r="B912" s="48"/>
      <c r="C912" s="121"/>
      <c r="D912" s="48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spans="1:26" ht="14.25" customHeight="1" x14ac:dyDescent="0.35">
      <c r="A913" s="48"/>
      <c r="B913" s="48"/>
      <c r="C913" s="121"/>
      <c r="D913" s="48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spans="1:26" ht="14.25" customHeight="1" x14ac:dyDescent="0.35">
      <c r="A914" s="48"/>
      <c r="B914" s="48"/>
      <c r="C914" s="121"/>
      <c r="D914" s="48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spans="1:26" ht="14.25" customHeight="1" x14ac:dyDescent="0.35">
      <c r="A915" s="48"/>
      <c r="B915" s="48"/>
      <c r="C915" s="121"/>
      <c r="D915" s="48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spans="1:26" ht="14.25" customHeight="1" x14ac:dyDescent="0.35">
      <c r="A916" s="48"/>
      <c r="B916" s="48"/>
      <c r="C916" s="121"/>
      <c r="D916" s="48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spans="1:26" ht="14.25" customHeight="1" x14ac:dyDescent="0.35">
      <c r="A917" s="48"/>
      <c r="B917" s="48"/>
      <c r="C917" s="121"/>
      <c r="D917" s="48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spans="1:26" ht="14.25" customHeight="1" x14ac:dyDescent="0.35">
      <c r="A918" s="48"/>
      <c r="B918" s="48"/>
      <c r="C918" s="121"/>
      <c r="D918" s="48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spans="1:26" ht="14.25" customHeight="1" x14ac:dyDescent="0.35">
      <c r="A919" s="48"/>
      <c r="B919" s="48"/>
      <c r="C919" s="121"/>
      <c r="D919" s="48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spans="1:26" ht="14.25" customHeight="1" x14ac:dyDescent="0.35">
      <c r="A920" s="48"/>
      <c r="B920" s="48"/>
      <c r="C920" s="121"/>
      <c r="D920" s="48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spans="1:26" ht="14.25" customHeight="1" x14ac:dyDescent="0.35">
      <c r="A921" s="48"/>
      <c r="B921" s="48"/>
      <c r="C921" s="121"/>
      <c r="D921" s="48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spans="1:26" ht="14.25" customHeight="1" x14ac:dyDescent="0.35">
      <c r="A922" s="48"/>
      <c r="B922" s="48"/>
      <c r="C922" s="121"/>
      <c r="D922" s="48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spans="1:26" ht="14.25" customHeight="1" x14ac:dyDescent="0.35">
      <c r="A923" s="48"/>
      <c r="B923" s="48"/>
      <c r="C923" s="121"/>
      <c r="D923" s="48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spans="1:26" ht="14.25" customHeight="1" x14ac:dyDescent="0.35">
      <c r="A924" s="48"/>
      <c r="B924" s="48"/>
      <c r="C924" s="121"/>
      <c r="D924" s="48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spans="1:26" ht="14.25" customHeight="1" x14ac:dyDescent="0.35">
      <c r="A925" s="48"/>
      <c r="B925" s="48"/>
      <c r="C925" s="121"/>
      <c r="D925" s="48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spans="1:26" ht="14.25" customHeight="1" x14ac:dyDescent="0.35">
      <c r="A926" s="48"/>
      <c r="B926" s="48"/>
      <c r="C926" s="121"/>
      <c r="D926" s="48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spans="1:26" ht="14.25" customHeight="1" x14ac:dyDescent="0.35">
      <c r="A927" s="48"/>
      <c r="B927" s="48"/>
      <c r="C927" s="121"/>
      <c r="D927" s="48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spans="1:26" ht="14.25" customHeight="1" x14ac:dyDescent="0.35">
      <c r="A928" s="48"/>
      <c r="B928" s="48"/>
      <c r="C928" s="121"/>
      <c r="D928" s="48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spans="1:26" ht="14.25" customHeight="1" x14ac:dyDescent="0.35">
      <c r="A929" s="48"/>
      <c r="B929" s="48"/>
      <c r="C929" s="121"/>
      <c r="D929" s="48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spans="1:26" ht="14.25" customHeight="1" x14ac:dyDescent="0.35">
      <c r="A930" s="48"/>
      <c r="B930" s="48"/>
      <c r="C930" s="121"/>
      <c r="D930" s="48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spans="1:26" ht="14.25" customHeight="1" x14ac:dyDescent="0.35">
      <c r="A931" s="48"/>
      <c r="B931" s="48"/>
      <c r="C931" s="121"/>
      <c r="D931" s="48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spans="1:26" ht="14.25" customHeight="1" x14ac:dyDescent="0.35">
      <c r="A932" s="48"/>
      <c r="B932" s="48"/>
      <c r="C932" s="121"/>
      <c r="D932" s="48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spans="1:26" ht="14.25" customHeight="1" x14ac:dyDescent="0.35">
      <c r="A933" s="48"/>
      <c r="B933" s="48"/>
      <c r="C933" s="121"/>
      <c r="D933" s="48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spans="1:26" ht="14.25" customHeight="1" x14ac:dyDescent="0.35">
      <c r="A934" s="48"/>
      <c r="B934" s="48"/>
      <c r="C934" s="121"/>
      <c r="D934" s="48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spans="1:26" ht="14.25" customHeight="1" x14ac:dyDescent="0.35">
      <c r="A935" s="48"/>
      <c r="B935" s="48"/>
      <c r="C935" s="121"/>
      <c r="D935" s="48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spans="1:26" ht="14.25" customHeight="1" x14ac:dyDescent="0.35">
      <c r="A936" s="48"/>
      <c r="B936" s="48"/>
      <c r="C936" s="121"/>
      <c r="D936" s="48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spans="1:26" ht="14.25" customHeight="1" x14ac:dyDescent="0.35">
      <c r="A937" s="48"/>
      <c r="B937" s="48"/>
      <c r="C937" s="121"/>
      <c r="D937" s="48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spans="1:26" ht="14.25" customHeight="1" x14ac:dyDescent="0.35">
      <c r="A938" s="48"/>
      <c r="B938" s="48"/>
      <c r="C938" s="121"/>
      <c r="D938" s="48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spans="1:26" ht="14.25" customHeight="1" x14ac:dyDescent="0.35">
      <c r="A939" s="48"/>
      <c r="B939" s="48"/>
      <c r="C939" s="121"/>
      <c r="D939" s="48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spans="1:26" ht="14.25" customHeight="1" x14ac:dyDescent="0.35">
      <c r="A940" s="48"/>
      <c r="B940" s="48"/>
      <c r="C940" s="121"/>
      <c r="D940" s="48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spans="1:26" ht="14.25" customHeight="1" x14ac:dyDescent="0.35">
      <c r="A941" s="48"/>
      <c r="B941" s="48"/>
      <c r="C941" s="121"/>
      <c r="D941" s="48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spans="1:26" ht="14.25" customHeight="1" x14ac:dyDescent="0.35">
      <c r="A942" s="48"/>
      <c r="B942" s="48"/>
      <c r="C942" s="121"/>
      <c r="D942" s="48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spans="1:26" ht="14.25" customHeight="1" x14ac:dyDescent="0.35">
      <c r="A943" s="48"/>
      <c r="B943" s="48"/>
      <c r="C943" s="121"/>
      <c r="D943" s="48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spans="1:26" ht="14.25" customHeight="1" x14ac:dyDescent="0.35">
      <c r="A944" s="48"/>
      <c r="B944" s="48"/>
      <c r="C944" s="121"/>
      <c r="D944" s="48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spans="1:26" ht="14.25" customHeight="1" x14ac:dyDescent="0.35">
      <c r="A945" s="48"/>
      <c r="B945" s="48"/>
      <c r="C945" s="121"/>
      <c r="D945" s="48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spans="1:26" ht="14.25" customHeight="1" x14ac:dyDescent="0.35">
      <c r="A946" s="48"/>
      <c r="B946" s="48"/>
      <c r="C946" s="121"/>
      <c r="D946" s="48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spans="1:26" ht="14.25" customHeight="1" x14ac:dyDescent="0.35">
      <c r="A947" s="48"/>
      <c r="B947" s="48"/>
      <c r="C947" s="121"/>
      <c r="D947" s="48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spans="1:26" ht="14.25" customHeight="1" x14ac:dyDescent="0.35">
      <c r="A948" s="48"/>
      <c r="B948" s="48"/>
      <c r="C948" s="121"/>
      <c r="D948" s="48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spans="1:26" ht="14.25" customHeight="1" x14ac:dyDescent="0.35">
      <c r="A949" s="48"/>
      <c r="B949" s="48"/>
      <c r="C949" s="121"/>
      <c r="D949" s="48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spans="1:26" ht="14.25" customHeight="1" x14ac:dyDescent="0.35">
      <c r="A950" s="48"/>
      <c r="B950" s="48"/>
      <c r="C950" s="121"/>
      <c r="D950" s="48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spans="1:26" ht="14.25" customHeight="1" x14ac:dyDescent="0.35">
      <c r="A951" s="48"/>
      <c r="B951" s="48"/>
      <c r="C951" s="121"/>
      <c r="D951" s="48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spans="1:26" ht="14.25" customHeight="1" x14ac:dyDescent="0.35">
      <c r="A952" s="48"/>
      <c r="B952" s="48"/>
      <c r="C952" s="121"/>
      <c r="D952" s="48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spans="1:26" ht="14.25" customHeight="1" x14ac:dyDescent="0.35">
      <c r="A953" s="48"/>
      <c r="B953" s="48"/>
      <c r="C953" s="121"/>
      <c r="D953" s="48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spans="1:26" ht="14.25" customHeight="1" x14ac:dyDescent="0.35">
      <c r="A954" s="48"/>
      <c r="B954" s="48"/>
      <c r="C954" s="121"/>
      <c r="D954" s="48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spans="1:26" ht="14.25" customHeight="1" x14ac:dyDescent="0.35">
      <c r="A955" s="48"/>
      <c r="B955" s="48"/>
      <c r="C955" s="121"/>
      <c r="D955" s="48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spans="1:26" ht="14.25" customHeight="1" x14ac:dyDescent="0.35">
      <c r="A956" s="48"/>
      <c r="B956" s="48"/>
      <c r="C956" s="121"/>
      <c r="D956" s="48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spans="1:26" ht="14.25" customHeight="1" x14ac:dyDescent="0.35">
      <c r="A957" s="48"/>
      <c r="B957" s="48"/>
      <c r="C957" s="121"/>
      <c r="D957" s="48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spans="1:26" ht="14.25" customHeight="1" x14ac:dyDescent="0.35">
      <c r="A958" s="48"/>
      <c r="B958" s="48"/>
      <c r="C958" s="121"/>
      <c r="D958" s="48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spans="1:26" ht="14.25" customHeight="1" x14ac:dyDescent="0.35">
      <c r="A959" s="48"/>
      <c r="B959" s="48"/>
      <c r="C959" s="121"/>
      <c r="D959" s="48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spans="1:26" ht="14.25" customHeight="1" x14ac:dyDescent="0.35">
      <c r="A960" s="48"/>
      <c r="B960" s="48"/>
      <c r="C960" s="121"/>
      <c r="D960" s="48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spans="1:26" ht="14.25" customHeight="1" x14ac:dyDescent="0.35">
      <c r="A961" s="48"/>
      <c r="B961" s="48"/>
      <c r="C961" s="121"/>
      <c r="D961" s="48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spans="1:26" ht="14.25" customHeight="1" x14ac:dyDescent="0.35">
      <c r="A962" s="48"/>
      <c r="B962" s="48"/>
      <c r="C962" s="121"/>
      <c r="D962" s="48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spans="1:26" ht="14.25" customHeight="1" x14ac:dyDescent="0.35">
      <c r="A963" s="48"/>
      <c r="B963" s="48"/>
      <c r="C963" s="121"/>
      <c r="D963" s="48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spans="1:26" ht="14.25" customHeight="1" x14ac:dyDescent="0.35">
      <c r="A964" s="48"/>
      <c r="B964" s="48"/>
      <c r="C964" s="121"/>
      <c r="D964" s="48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spans="1:26" ht="14.25" customHeight="1" x14ac:dyDescent="0.35">
      <c r="A965" s="48"/>
      <c r="B965" s="48"/>
      <c r="C965" s="121"/>
      <c r="D965" s="48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spans="1:26" ht="14.25" customHeight="1" x14ac:dyDescent="0.35">
      <c r="A966" s="48"/>
      <c r="B966" s="48"/>
      <c r="C966" s="121"/>
      <c r="D966" s="48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spans="1:26" ht="14.25" customHeight="1" x14ac:dyDescent="0.35">
      <c r="A967" s="48"/>
      <c r="B967" s="48"/>
      <c r="C967" s="121"/>
      <c r="D967" s="48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spans="1:26" ht="14.25" customHeight="1" x14ac:dyDescent="0.35">
      <c r="A968" s="48"/>
      <c r="B968" s="48"/>
      <c r="C968" s="121"/>
      <c r="D968" s="48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spans="1:26" ht="14.25" customHeight="1" x14ac:dyDescent="0.35">
      <c r="A969" s="48"/>
      <c r="B969" s="48"/>
      <c r="C969" s="121"/>
      <c r="D969" s="48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spans="1:26" ht="14.25" customHeight="1" x14ac:dyDescent="0.35">
      <c r="A970" s="48"/>
      <c r="B970" s="48"/>
      <c r="C970" s="121"/>
      <c r="D970" s="48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spans="1:26" ht="14.25" customHeight="1" x14ac:dyDescent="0.35">
      <c r="A971" s="48"/>
      <c r="B971" s="48"/>
      <c r="C971" s="121"/>
      <c r="D971" s="48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spans="1:26" ht="14.25" customHeight="1" x14ac:dyDescent="0.35">
      <c r="A972" s="48"/>
      <c r="B972" s="48"/>
      <c r="C972" s="121"/>
      <c r="D972" s="48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spans="1:26" ht="14.25" customHeight="1" x14ac:dyDescent="0.35">
      <c r="A973" s="48"/>
      <c r="B973" s="48"/>
      <c r="C973" s="121"/>
      <c r="D973" s="48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spans="1:26" ht="14.25" customHeight="1" x14ac:dyDescent="0.35">
      <c r="A974" s="48"/>
      <c r="B974" s="48"/>
      <c r="C974" s="121"/>
      <c r="D974" s="48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spans="1:26" ht="14.25" customHeight="1" x14ac:dyDescent="0.35">
      <c r="A975" s="48"/>
      <c r="B975" s="48"/>
      <c r="C975" s="121"/>
      <c r="D975" s="48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spans="1:26" ht="14.25" customHeight="1" x14ac:dyDescent="0.35">
      <c r="A976" s="48"/>
      <c r="B976" s="48"/>
      <c r="C976" s="121"/>
      <c r="D976" s="48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spans="1:26" ht="14.25" customHeight="1" x14ac:dyDescent="0.35">
      <c r="A977" s="48"/>
      <c r="B977" s="48"/>
      <c r="C977" s="121"/>
      <c r="D977" s="48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spans="1:26" ht="14.25" customHeight="1" x14ac:dyDescent="0.35">
      <c r="A978" s="48"/>
      <c r="B978" s="48"/>
      <c r="C978" s="121"/>
      <c r="D978" s="48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spans="1:26" ht="14.25" customHeight="1" x14ac:dyDescent="0.35">
      <c r="A979" s="48"/>
      <c r="B979" s="48"/>
      <c r="C979" s="121"/>
      <c r="D979" s="48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spans="1:26" ht="14.25" customHeight="1" x14ac:dyDescent="0.35">
      <c r="A980" s="48"/>
      <c r="B980" s="48"/>
      <c r="C980" s="121"/>
      <c r="D980" s="48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spans="1:26" ht="14.25" customHeight="1" x14ac:dyDescent="0.35">
      <c r="A981" s="48"/>
      <c r="B981" s="48"/>
      <c r="C981" s="121"/>
      <c r="D981" s="48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spans="1:26" ht="14.25" customHeight="1" x14ac:dyDescent="0.35">
      <c r="A982" s="48"/>
      <c r="B982" s="48"/>
      <c r="C982" s="121"/>
      <c r="D982" s="48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spans="1:26" ht="14.25" customHeight="1" x14ac:dyDescent="0.35">
      <c r="A983" s="48"/>
      <c r="B983" s="48"/>
      <c r="C983" s="121"/>
      <c r="D983" s="48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spans="1:26" ht="14.25" customHeight="1" x14ac:dyDescent="0.35">
      <c r="A984" s="48"/>
      <c r="B984" s="48"/>
      <c r="C984" s="121"/>
      <c r="D984" s="48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spans="1:26" ht="14.25" customHeight="1" x14ac:dyDescent="0.35">
      <c r="A985" s="48"/>
      <c r="B985" s="48"/>
      <c r="C985" s="121"/>
      <c r="D985" s="48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spans="1:26" ht="14.25" customHeight="1" x14ac:dyDescent="0.35">
      <c r="A986" s="48"/>
      <c r="B986" s="48"/>
      <c r="C986" s="121"/>
      <c r="D986" s="48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spans="1:26" ht="14.25" customHeight="1" x14ac:dyDescent="0.35">
      <c r="A987" s="48"/>
      <c r="B987" s="48"/>
      <c r="C987" s="121"/>
      <c r="D987" s="48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spans="1:26" ht="14.25" customHeight="1" x14ac:dyDescent="0.35">
      <c r="A988" s="48"/>
      <c r="B988" s="48"/>
      <c r="C988" s="121"/>
      <c r="D988" s="48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spans="1:26" ht="14.25" customHeight="1" x14ac:dyDescent="0.35">
      <c r="A989" s="48"/>
      <c r="B989" s="48"/>
      <c r="C989" s="121"/>
      <c r="D989" s="48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spans="1:26" ht="14.25" customHeight="1" x14ac:dyDescent="0.35">
      <c r="A990" s="48"/>
      <c r="B990" s="48"/>
      <c r="C990" s="121"/>
      <c r="D990" s="48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spans="1:26" ht="14.25" customHeight="1" x14ac:dyDescent="0.35">
      <c r="A991" s="48"/>
      <c r="B991" s="48"/>
      <c r="C991" s="121"/>
      <c r="D991" s="48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spans="1:26" ht="14.25" customHeight="1" x14ac:dyDescent="0.35">
      <c r="A992" s="48"/>
      <c r="B992" s="48"/>
      <c r="C992" s="121"/>
      <c r="D992" s="48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spans="1:26" ht="14.25" customHeight="1" x14ac:dyDescent="0.35">
      <c r="A993" s="48"/>
      <c r="B993" s="48"/>
      <c r="C993" s="121"/>
      <c r="D993" s="48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spans="1:26" ht="14.25" customHeight="1" x14ac:dyDescent="0.35">
      <c r="A994" s="48"/>
      <c r="B994" s="48"/>
      <c r="C994" s="121"/>
      <c r="D994" s="48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spans="1:26" ht="14.25" customHeight="1" x14ac:dyDescent="0.35">
      <c r="A995" s="48"/>
      <c r="B995" s="48"/>
      <c r="C995" s="121"/>
      <c r="D995" s="48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spans="1:26" ht="14.25" customHeight="1" x14ac:dyDescent="0.35">
      <c r="A996" s="48"/>
      <c r="B996" s="48"/>
      <c r="C996" s="121"/>
      <c r="D996" s="48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spans="1:26" ht="14.25" customHeight="1" x14ac:dyDescent="0.35">
      <c r="A997" s="48"/>
      <c r="B997" s="48"/>
      <c r="C997" s="121"/>
      <c r="D997" s="48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spans="1:26" ht="14.25" customHeight="1" x14ac:dyDescent="0.35">
      <c r="A998" s="48"/>
      <c r="B998" s="48"/>
      <c r="C998" s="121"/>
      <c r="D998" s="48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spans="1:26" ht="14.25" customHeight="1" x14ac:dyDescent="0.35">
      <c r="A999" s="48"/>
      <c r="B999" s="48"/>
      <c r="C999" s="121"/>
      <c r="D999" s="48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spans="1:26" ht="14.25" customHeight="1" x14ac:dyDescent="0.35">
      <c r="A1000" s="48"/>
      <c r="B1000" s="48"/>
      <c r="C1000" s="121"/>
      <c r="D1000" s="48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mergeCells count="3">
    <mergeCell ref="G2:G7"/>
    <mergeCell ref="G8:G14"/>
    <mergeCell ref="A241:E24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Summary Report</vt:lpstr>
      <vt:lpstr>Data-Yearly</vt:lpstr>
      <vt:lpstr>Data-Monthly</vt:lpstr>
      <vt:lpstr>Yearly Returns Chart</vt:lpstr>
      <vt:lpstr>Yearly Rescaled Price Chart </vt:lpstr>
      <vt:lpstr>Market Frontier</vt:lpstr>
      <vt:lpstr>Frequency Distributions Charts</vt:lpstr>
      <vt:lpstr>T-Test Full Sample</vt:lpstr>
      <vt:lpstr>T-Test Bull Market </vt:lpstr>
      <vt:lpstr>CAPM Bull Market</vt:lpstr>
      <vt:lpstr>T-Test Bear Market</vt:lpstr>
      <vt:lpstr>CAPM Bear Market</vt:lpstr>
      <vt:lpstr>F-F_Research_Data_Factors</vt:lpstr>
      <vt:lpstr>Allocation</vt:lpstr>
      <vt:lpstr>Yearly Returns</vt:lpstr>
      <vt:lpstr>Yearly Rescaled Price</vt:lpstr>
      <vt:lpstr>'Market Frontier'!solver_adj</vt:lpstr>
      <vt:lpstr>'Market Frontier'!solver_lhs1</vt:lpstr>
      <vt:lpstr>'Market Frontier'!solver_lhs2</vt:lpstr>
      <vt:lpstr>'Market Frontier'!solver_lhs3</vt:lpstr>
      <vt:lpstr>'Market Frontier'!solver_opt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Mohamed</dc:creator>
  <cp:lastModifiedBy>Nikitha TT</cp:lastModifiedBy>
  <dcterms:created xsi:type="dcterms:W3CDTF">2006-09-16T00:00:00Z</dcterms:created>
  <dcterms:modified xsi:type="dcterms:W3CDTF">2026-06-11T01:51:22Z</dcterms:modified>
</cp:coreProperties>
</file>